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xml"/>
  <Override PartName="/xl/charts/chart9.xml" ContentType="application/vnd.openxmlformats-officedocument.drawingml.chart+xml"/>
  <Override PartName="/xl/drawings/drawing10.xml" ContentType="application/vnd.openxmlformats-officedocument.drawing+xml"/>
  <Override PartName="/xl/charts/chart10.xml" ContentType="application/vnd.openxmlformats-officedocument.drawingml.chart+xml"/>
  <Override PartName="/xl/drawings/drawing11.xml" ContentType="application/vnd.openxmlformats-officedocument.drawing+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1205" codeName="{51196F13-6AD0-C1B8-E2B4-A1F9AE17003E}"/>
  <workbookPr codeName="ThisWorkbook"/>
  <mc:AlternateContent xmlns:mc="http://schemas.openxmlformats.org/markup-compatibility/2006">
    <mc:Choice Requires="x15">
      <x15ac:absPath xmlns:x15ac="http://schemas.microsoft.com/office/spreadsheetml/2010/11/ac" url="/Users/yisongdong/Desktop/MSF&amp;Python/MSF/Financial Engineering II/Problem Set/3/"/>
    </mc:Choice>
  </mc:AlternateContent>
  <bookViews>
    <workbookView xWindow="0" yWindow="460" windowWidth="25600" windowHeight="14460" tabRatio="882"/>
  </bookViews>
  <sheets>
    <sheet name="European CRR" sheetId="5" r:id="rId1"/>
    <sheet name="European RB" sheetId="7" r:id="rId2"/>
    <sheet name="European LR" sheetId="9" r:id="rId3"/>
    <sheet name="Q1-Explanation of the diagram" sheetId="25" r:id="rId4"/>
    <sheet name="Q1-European CRR Extrapolation" sheetId="6" r:id="rId5"/>
    <sheet name="Q1-European RB Extrapolation" sheetId="24" r:id="rId6"/>
    <sheet name="Q1-European LR Extrapolation" sheetId="10" r:id="rId7"/>
    <sheet name="Q1-More effecient method" sheetId="27" r:id="rId8"/>
    <sheet name="Q2-Accurate Value" sheetId="15" r:id="rId9"/>
    <sheet name="American CRR" sheetId="11" r:id="rId10"/>
    <sheet name="American BD" sheetId="16" r:id="rId11"/>
    <sheet name="American LR" sheetId="20" r:id="rId12"/>
    <sheet name="Q2-Explanation of the diagram" sheetId="26" r:id="rId13"/>
    <sheet name="American Put Exercise Boundary" sheetId="17" r:id="rId14"/>
    <sheet name="American CRR Extrapolation" sheetId="28" r:id="rId15"/>
    <sheet name="derivative american option (2)" sheetId="35" r:id="rId16"/>
    <sheet name="derivative american option" sheetId="34" r:id="rId17"/>
    <sheet name="American LR Extrapolation" sheetId="29" r:id="rId18"/>
    <sheet name="American BD Extrapolation" sheetId="30" r:id="rId19"/>
    <sheet name="Q2-More effecient" sheetId="32" r:id="rId20"/>
    <sheet name="Q3-a,b&amp;c" sheetId="21" r:id="rId21"/>
    <sheet name="Q4-a&amp;b" sheetId="22" r:id="rId22"/>
  </sheets>
  <definedNames>
    <definedName name="CIQWBGuid" hidden="1">"44b8a258-0314-4d5e-be94-233cbf8bfe8f"</definedName>
    <definedName name="d">#REF!</definedName>
    <definedName name="div">#REF!</definedName>
    <definedName name="Face">#REF!</definedName>
    <definedName name="h">#REF!</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41918.768599537</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K">#REF!</definedName>
    <definedName name="N">#REF!</definedName>
    <definedName name="p">#REF!</definedName>
    <definedName name="rate">#REF!</definedName>
    <definedName name="Ratio">#REF!</definedName>
    <definedName name="S">#REF!</definedName>
    <definedName name="sigma">#REF!</definedName>
    <definedName name="T">#REF!</definedName>
    <definedName name="u">#REF!</definedName>
  </definedNames>
  <calcPr calcId="171027" concurrentCalc="0"/>
</workbook>
</file>

<file path=xl/calcChain.xml><?xml version="1.0" encoding="utf-8"?>
<calcChain xmlns="http://schemas.openxmlformats.org/spreadsheetml/2006/main">
  <c r="G100" i="35" l="1"/>
  <c r="G99" i="35"/>
  <c r="G98" i="35"/>
  <c r="G97" i="35"/>
  <c r="G96" i="35"/>
  <c r="G95" i="35"/>
  <c r="G94" i="35"/>
  <c r="G93" i="35"/>
  <c r="G92" i="35"/>
  <c r="G91" i="35"/>
  <c r="G90" i="35"/>
  <c r="G89" i="35"/>
  <c r="G88" i="35"/>
  <c r="G87" i="35"/>
  <c r="G86" i="35"/>
  <c r="G85" i="35"/>
  <c r="G84" i="35"/>
  <c r="G83" i="35"/>
  <c r="G82" i="35"/>
  <c r="G81" i="35"/>
  <c r="G80" i="35"/>
  <c r="G79" i="35"/>
  <c r="G78" i="35"/>
  <c r="G77" i="35"/>
  <c r="G76" i="35"/>
  <c r="G75" i="35"/>
  <c r="G74" i="35"/>
  <c r="G73" i="35"/>
  <c r="G72" i="35"/>
  <c r="G71" i="35"/>
  <c r="G70" i="35"/>
  <c r="G69" i="35"/>
  <c r="G68" i="35"/>
  <c r="G67" i="35"/>
  <c r="G66" i="35"/>
  <c r="G65" i="35"/>
  <c r="G64" i="35"/>
  <c r="G63" i="35"/>
  <c r="G62" i="35"/>
  <c r="G61" i="35"/>
  <c r="G60" i="35"/>
  <c r="G59" i="35"/>
  <c r="G58" i="35"/>
  <c r="G57" i="35"/>
  <c r="G56" i="35"/>
  <c r="G55" i="35"/>
  <c r="G54" i="35"/>
  <c r="G53" i="35"/>
  <c r="G52" i="35"/>
  <c r="G51" i="35"/>
  <c r="G50" i="35"/>
  <c r="G49" i="35"/>
  <c r="G48" i="35"/>
  <c r="G47" i="35"/>
  <c r="G46" i="35"/>
  <c r="G45" i="35"/>
  <c r="G44" i="35"/>
  <c r="G43" i="35"/>
  <c r="G42" i="35"/>
  <c r="G41" i="35"/>
  <c r="G40" i="35"/>
  <c r="G39" i="35"/>
  <c r="G38" i="35"/>
  <c r="G37" i="35"/>
  <c r="G36" i="35"/>
  <c r="G35" i="35"/>
  <c r="G34" i="35"/>
  <c r="G33" i="35"/>
  <c r="G32" i="35"/>
  <c r="G31" i="35"/>
  <c r="G30" i="35"/>
  <c r="G29" i="35"/>
  <c r="G28" i="35"/>
  <c r="G27" i="35"/>
  <c r="G26" i="35"/>
  <c r="G25" i="35"/>
  <c r="G24" i="35"/>
  <c r="G23" i="35"/>
  <c r="G22" i="35"/>
  <c r="G21" i="35"/>
  <c r="G20" i="35"/>
  <c r="G19" i="35"/>
  <c r="G18" i="35"/>
  <c r="G17" i="35"/>
  <c r="G16" i="35"/>
  <c r="G15" i="35"/>
  <c r="G14" i="35"/>
  <c r="G13" i="35"/>
  <c r="G12" i="35"/>
  <c r="G11" i="35"/>
  <c r="G10" i="35"/>
  <c r="G9" i="35"/>
  <c r="G8" i="35"/>
  <c r="G7" i="35"/>
  <c r="G6" i="35"/>
  <c r="G5" i="35"/>
  <c r="G4" i="35"/>
  <c r="G3" i="35"/>
  <c r="G4" i="34"/>
  <c r="G5" i="34"/>
  <c r="G6" i="34"/>
  <c r="G7" i="34"/>
  <c r="G8" i="34"/>
  <c r="G9" i="34"/>
  <c r="G10" i="34"/>
  <c r="G11" i="34"/>
  <c r="G12" i="34"/>
  <c r="G13" i="34"/>
  <c r="G14" i="34"/>
  <c r="G15" i="34"/>
  <c r="G16" i="34"/>
  <c r="G17" i="34"/>
  <c r="G18" i="34"/>
  <c r="G19" i="34"/>
  <c r="G20" i="34"/>
  <c r="G21" i="34"/>
  <c r="G22" i="34"/>
  <c r="G23" i="34"/>
  <c r="G24" i="34"/>
  <c r="G25" i="34"/>
  <c r="G26" i="34"/>
  <c r="G27" i="34"/>
  <c r="G28" i="34"/>
  <c r="G29" i="34"/>
  <c r="G30" i="34"/>
  <c r="G31" i="34"/>
  <c r="G32" i="34"/>
  <c r="G33" i="34"/>
  <c r="G34" i="34"/>
  <c r="G35" i="34"/>
  <c r="G36" i="34"/>
  <c r="G37" i="34"/>
  <c r="G38" i="34"/>
  <c r="G39" i="34"/>
  <c r="G40" i="34"/>
  <c r="G41" i="34"/>
  <c r="G42" i="34"/>
  <c r="G43" i="34"/>
  <c r="G44" i="34"/>
  <c r="G45" i="34"/>
  <c r="G46" i="34"/>
  <c r="G47" i="34"/>
  <c r="G48" i="34"/>
  <c r="G49" i="34"/>
  <c r="G50" i="34"/>
  <c r="G51" i="34"/>
  <c r="G52" i="34"/>
  <c r="G53" i="34"/>
  <c r="G54" i="34"/>
  <c r="G55" i="34"/>
  <c r="G56" i="34"/>
  <c r="G57" i="34"/>
  <c r="G58" i="34"/>
  <c r="G59" i="34"/>
  <c r="G60" i="34"/>
  <c r="G61" i="34"/>
  <c r="G62" i="34"/>
  <c r="G63" i="34"/>
  <c r="G64" i="34"/>
  <c r="G65" i="34"/>
  <c r="G66" i="34"/>
  <c r="G67" i="34"/>
  <c r="G68" i="34"/>
  <c r="G69" i="34"/>
  <c r="G70" i="34"/>
  <c r="G71" i="34"/>
  <c r="G72" i="34"/>
  <c r="G73" i="34"/>
  <c r="G74" i="34"/>
  <c r="G75" i="34"/>
  <c r="G76" i="34"/>
  <c r="G77" i="34"/>
  <c r="G78" i="34"/>
  <c r="G79" i="34"/>
  <c r="G80" i="34"/>
  <c r="G81" i="34"/>
  <c r="G82" i="34"/>
  <c r="G83" i="34"/>
  <c r="G84" i="34"/>
  <c r="G85" i="34"/>
  <c r="G86" i="34"/>
  <c r="G87" i="34"/>
  <c r="G88" i="34"/>
  <c r="G89" i="34"/>
  <c r="G90" i="34"/>
  <c r="G91" i="34"/>
  <c r="G92" i="34"/>
  <c r="G93" i="34"/>
  <c r="G94" i="34"/>
  <c r="G95" i="34"/>
  <c r="G96" i="34"/>
  <c r="G97" i="34"/>
  <c r="G98" i="34"/>
  <c r="G99" i="34"/>
  <c r="G100" i="34"/>
  <c r="G3" i="34"/>
  <c r="B8" i="29"/>
  <c r="B9" i="29"/>
  <c r="B9" i="20"/>
  <c r="B8" i="20"/>
  <c r="B10" i="30"/>
  <c r="B12" i="29"/>
  <c r="B10" i="28"/>
  <c r="B10" i="17"/>
  <c r="B12" i="20"/>
  <c r="B10" i="16"/>
  <c r="B10" i="11"/>
  <c r="F3" i="15"/>
  <c r="A15" i="15"/>
  <c r="B9" i="15"/>
  <c r="B8" i="15"/>
  <c r="F7" i="15"/>
  <c r="F6" i="15"/>
  <c r="B9" i="24"/>
  <c r="B8" i="24"/>
  <c r="B12" i="24"/>
  <c r="B9" i="10"/>
  <c r="B8" i="10"/>
  <c r="B12" i="10"/>
  <c r="I3" i="22"/>
  <c r="I4" i="22"/>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2" i="22"/>
  <c r="B11" i="22"/>
  <c r="B12" i="22"/>
  <c r="B9" i="22"/>
  <c r="B10" i="22"/>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2" i="21"/>
  <c r="B9" i="21"/>
  <c r="B10" i="21"/>
  <c r="B11" i="21"/>
  <c r="B12" i="21"/>
  <c r="B13" i="21"/>
  <c r="B9" i="9"/>
  <c r="B8" i="9"/>
  <c r="B12" i="9"/>
  <c r="B9" i="7"/>
  <c r="B8" i="7"/>
  <c r="B12" i="7"/>
  <c r="B9" i="6"/>
  <c r="B8" i="6"/>
  <c r="B12" i="6"/>
  <c r="B9" i="5"/>
  <c r="B8" i="5"/>
  <c r="B12" i="5"/>
  <c r="R1" i="17"/>
  <c r="S1" i="17"/>
  <c r="T1" i="17"/>
  <c r="U1" i="17"/>
  <c r="V1" i="17"/>
  <c r="W1" i="17"/>
  <c r="X1" i="17"/>
  <c r="Y1" i="17"/>
  <c r="Z1" i="17"/>
  <c r="AA1" i="17"/>
  <c r="AB1" i="17"/>
  <c r="AC1" i="17"/>
  <c r="AD1" i="17"/>
  <c r="AE1" i="17"/>
  <c r="AF1" i="17"/>
  <c r="AG1" i="17"/>
  <c r="AH1" i="17"/>
  <c r="AI1" i="17"/>
  <c r="AJ1" i="17"/>
  <c r="AK1" i="17"/>
  <c r="AL1" i="17"/>
  <c r="AM1" i="17"/>
  <c r="AN1" i="17"/>
  <c r="AO1" i="17"/>
  <c r="AP1" i="17"/>
  <c r="AQ1" i="17"/>
  <c r="AR1" i="17"/>
  <c r="AS1" i="17"/>
  <c r="AT1" i="17"/>
  <c r="AU1" i="17"/>
  <c r="AV1" i="17"/>
  <c r="AW1" i="17"/>
  <c r="AX1" i="17"/>
  <c r="AY1" i="17"/>
  <c r="AZ1" i="17"/>
  <c r="BA1" i="17"/>
  <c r="BB1" i="17"/>
  <c r="BC1" i="17"/>
  <c r="BD1" i="17"/>
  <c r="BE1" i="17"/>
  <c r="BF1" i="17"/>
  <c r="BG1" i="17"/>
  <c r="BH1" i="17"/>
  <c r="BI1" i="17"/>
  <c r="BJ1" i="17"/>
  <c r="BK1" i="17"/>
  <c r="BL1" i="17"/>
  <c r="BM1" i="17"/>
  <c r="BN1" i="17"/>
  <c r="BO1" i="17"/>
  <c r="BP1" i="17"/>
  <c r="BQ1" i="17"/>
  <c r="BR1" i="17"/>
  <c r="BS1" i="17"/>
  <c r="BT1" i="17"/>
  <c r="BU1" i="17"/>
  <c r="BV1" i="17"/>
  <c r="BW1" i="17"/>
  <c r="BX1" i="17"/>
  <c r="BY1" i="17"/>
  <c r="BZ1" i="17"/>
  <c r="CA1" i="17"/>
  <c r="CB1" i="17"/>
  <c r="CC1" i="17"/>
  <c r="CD1" i="17"/>
  <c r="CE1" i="17"/>
  <c r="CF1" i="17"/>
  <c r="CG1" i="17"/>
  <c r="CH1" i="17"/>
  <c r="CI1" i="17"/>
  <c r="CJ1" i="17"/>
  <c r="CK1" i="17"/>
  <c r="CL1" i="17"/>
  <c r="CM1" i="17"/>
  <c r="CN1" i="17"/>
  <c r="CO1" i="17"/>
  <c r="CP1" i="17"/>
  <c r="CQ1" i="17"/>
  <c r="CR1" i="17"/>
  <c r="CS1" i="17"/>
  <c r="CT1" i="17"/>
  <c r="CU1" i="17"/>
  <c r="CV1" i="17"/>
  <c r="Q1" i="17"/>
  <c r="P1" i="17"/>
</calcChain>
</file>

<file path=xl/sharedStrings.xml><?xml version="1.0" encoding="utf-8"?>
<sst xmlns="http://schemas.openxmlformats.org/spreadsheetml/2006/main" count="249" uniqueCount="64">
  <si>
    <t>S</t>
  </si>
  <si>
    <t>T</t>
  </si>
  <si>
    <t>div</t>
  </si>
  <si>
    <t>sig</t>
  </si>
  <si>
    <t>r</t>
  </si>
  <si>
    <t>Number of steps</t>
  </si>
  <si>
    <t>CRR</t>
  </si>
  <si>
    <t>Error CRR</t>
  </si>
  <si>
    <t>Black-Scholes</t>
  </si>
  <si>
    <t>K</t>
  </si>
  <si>
    <t>Error RB</t>
    <phoneticPr fontId="5" type="noConversion"/>
  </si>
  <si>
    <t>RB</t>
    <phoneticPr fontId="5" type="noConversion"/>
  </si>
  <si>
    <t>LR</t>
    <phoneticPr fontId="5" type="noConversion"/>
  </si>
  <si>
    <t>Error LR</t>
    <phoneticPr fontId="5" type="noConversion"/>
  </si>
  <si>
    <t>American</t>
    <phoneticPr fontId="5" type="noConversion"/>
  </si>
  <si>
    <t>CRR</t>
    <phoneticPr fontId="5" type="noConversion"/>
  </si>
  <si>
    <t>Error CRR</t>
    <phoneticPr fontId="5" type="noConversion"/>
  </si>
  <si>
    <t>BD</t>
    <phoneticPr fontId="5" type="noConversion"/>
  </si>
  <si>
    <t>Error BD</t>
    <phoneticPr fontId="5" type="noConversion"/>
  </si>
  <si>
    <t>d1</t>
    <phoneticPr fontId="5" type="noConversion"/>
  </si>
  <si>
    <t>d2</t>
    <phoneticPr fontId="5" type="noConversion"/>
  </si>
  <si>
    <t>LR</t>
    <phoneticPr fontId="5" type="noConversion"/>
  </si>
  <si>
    <t>Error LR</t>
    <phoneticPr fontId="5" type="noConversion"/>
  </si>
  <si>
    <t>B</t>
    <phoneticPr fontId="5" type="noConversion"/>
  </si>
  <si>
    <t>h1</t>
    <phoneticPr fontId="5" type="noConversion"/>
  </si>
  <si>
    <t>h2</t>
    <phoneticPr fontId="5" type="noConversion"/>
  </si>
  <si>
    <t>Lambda</t>
    <phoneticPr fontId="5" type="noConversion"/>
  </si>
  <si>
    <t>SK</t>
    <phoneticPr fontId="5" type="noConversion"/>
  </si>
  <si>
    <t>Barrier</t>
    <phoneticPr fontId="5" type="noConversion"/>
  </si>
  <si>
    <t>Accurate Value</t>
    <phoneticPr fontId="5" type="noConversion"/>
  </si>
  <si>
    <t>t1</t>
    <phoneticPr fontId="5" type="noConversion"/>
  </si>
  <si>
    <t>t2</t>
    <phoneticPr fontId="5" type="noConversion"/>
  </si>
  <si>
    <t>t3</t>
    <phoneticPr fontId="5" type="noConversion"/>
  </si>
  <si>
    <t>t4</t>
    <phoneticPr fontId="5" type="noConversion"/>
  </si>
  <si>
    <t xml:space="preserve"> </t>
    <phoneticPr fontId="5" type="noConversion"/>
  </si>
  <si>
    <t>SK</t>
    <phoneticPr fontId="5" type="noConversion"/>
  </si>
  <si>
    <t>SK-1</t>
    <phoneticPr fontId="5" type="noConversion"/>
  </si>
  <si>
    <t>Lambda</t>
    <phoneticPr fontId="5" type="noConversion"/>
  </si>
  <si>
    <t>American Option Boundary</t>
    <phoneticPr fontId="5" type="noConversion"/>
  </si>
  <si>
    <t>European</t>
    <phoneticPr fontId="5" type="noConversion"/>
  </si>
  <si>
    <t>European</t>
    <phoneticPr fontId="5" type="noConversion"/>
  </si>
  <si>
    <t>SK-1</t>
    <phoneticPr fontId="5" type="noConversion"/>
  </si>
  <si>
    <r>
      <t xml:space="preserve">Explanations:There are two features in CRR and RB diagram. </t>
    </r>
    <r>
      <rPr>
        <b/>
        <sz val="12"/>
        <rFont val="Arial"/>
        <family val="2"/>
      </rPr>
      <t>(1)</t>
    </r>
    <r>
      <rPr>
        <sz val="10"/>
        <rFont val="Arial"/>
      </rPr>
      <t xml:space="preserve"> The first one is sawtoothing,which is caused by the odd-even effect. This is because if N moves from 2n steps to 2n+1 steps, the contribution of the final nodes of binomial tree in calculating the option value will change. For example, maybe there are n+1 nodes below strike price and n+1 nodes above the strike price when N=2n+1, while there are n+1 nodes below strik price and n nodes above strike price when N=2n. </t>
    </r>
    <r>
      <rPr>
        <b/>
        <sz val="12"/>
        <rFont val="Arial"/>
        <family val="2"/>
      </rPr>
      <t>(2)</t>
    </r>
    <r>
      <rPr>
        <sz val="10"/>
        <rFont val="Arial"/>
      </rPr>
      <t xml:space="preserve"> The second feature is periodic humps. This is because as we add more and more steps in binomial tree, nodes position relative to the strike price will change. If we denote SK as the closest node above strike price and S(K-1) as the closest node below the strike price. Then (SK-K)/(SK-S(K-1)) will change periodically. </t>
    </r>
    <r>
      <rPr>
        <b/>
        <sz val="12"/>
        <rFont val="Arial"/>
        <family val="2"/>
      </rPr>
      <t>(3)</t>
    </r>
    <r>
      <rPr>
        <sz val="10"/>
        <rFont val="Arial"/>
      </rPr>
      <t xml:space="preserve"> For LR method, we can only observe the sawtoothing. That's because this method use special calcualtion of u and d to remove the non-linearity feature.</t>
    </r>
    <phoneticPr fontId="5" type="noConversion"/>
  </si>
  <si>
    <t>However, this plan failed because of the unestimatable running time and unexpected crush, as well as the limited RAM/CPU capacity.</t>
    <phoneticPr fontId="5" type="noConversion"/>
  </si>
  <si>
    <t>American</t>
    <phoneticPr fontId="5" type="noConversion"/>
  </si>
  <si>
    <t>N</t>
    <phoneticPr fontId="5" type="noConversion"/>
  </si>
  <si>
    <t>V</t>
    <phoneticPr fontId="5" type="noConversion"/>
  </si>
  <si>
    <t>d1</t>
    <phoneticPr fontId="5" type="noConversion"/>
  </si>
  <si>
    <t>At the very first, our plan is to use a while loop, to specify the very value that makes V_N - V_N-1 less than .0000001 .</t>
    <phoneticPr fontId="5" type="noConversion"/>
  </si>
  <si>
    <t>We found that the largest 2-dimension array we can constructed is a 23000 x 23000 (Approximately) matrix.</t>
    <phoneticPr fontId="5" type="noConversion"/>
  </si>
  <si>
    <t>So we use a conservative N, 22999, and tested the differences with N = 22998 and N = 22997.</t>
    <phoneticPr fontId="5" type="noConversion"/>
  </si>
  <si>
    <t>When we substitute N steps with M=2N or M=2N+1 steps, the effeciency is improved. The accuracu of the valuation is also improved. That's because when we use 2N or 2N+1, the odd-even effect has been removed. And CRR&amp;RB method works better in even steps while LR method works better in odd  steps. That's why we choose 2N for CRR&amp;RB and 2N+1 for LR.</t>
    <phoneticPr fontId="5" type="noConversion"/>
  </si>
  <si>
    <r>
      <rPr>
        <b/>
        <sz val="10"/>
        <rFont val="Arial"/>
        <family val="2"/>
      </rPr>
      <t>Question c</t>
    </r>
    <r>
      <rPr>
        <sz val="10"/>
        <rFont val="Arial"/>
      </rPr>
      <t>:Based on the diagram, we can find that the upper boundary of the periodic error becomes smaller when N becomes bigger. Therefore, we can improve the convergence by using a large N, which will make the upper boundary of the periodic error close to 0.</t>
    </r>
    <phoneticPr fontId="5" type="noConversion"/>
  </si>
  <si>
    <t>BD</t>
    <phoneticPr fontId="5" type="noConversion"/>
  </si>
  <si>
    <t>Error BD</t>
    <phoneticPr fontId="5" type="noConversion"/>
  </si>
  <si>
    <t xml:space="preserve">When subsititute step N with M=2N or M=2N+1, the convergence has become more efficient. That's because 2N steps or 2N+1 steps has removed odd-even effect. For CRR method, there is only non-linearity error and the error becomes smaller as step increases. For LR and BD method, both of the periodical humps and odd-even effect has been removed. </t>
    <phoneticPr fontId="5" type="noConversion"/>
  </si>
  <si>
    <r>
      <t>Explanations:</t>
    </r>
    <r>
      <rPr>
        <b/>
        <sz val="10"/>
        <rFont val="Arial"/>
        <family val="2"/>
      </rPr>
      <t>(1)</t>
    </r>
    <r>
      <rPr>
        <sz val="10"/>
        <rFont val="Arial"/>
      </rPr>
      <t xml:space="preserve">There are two features in CRR method, the first one is sawtoothing, which is caused by the odd-even effect. This is because if N moves from 2n steps to 2n+1 steps, the contribution of the final nodes of binomial tree in calculating the option value will change. For example, maybe there are n+1 nodes below strike price and n+1 nodes above the strike price when N=2n+1, while there are n+1 nodes below strik price and n nodes above strike price when N=2n. The second feature is periodic humps. This is because as we add more and more steps in binomial tree, nodes position relative to the strike price will change. If we denote SK as the closest node above strike price and S(K-1) as the closest node below the strike price. Then (SK-K)/(SK-S(K-1)) will change periodically. </t>
    </r>
    <r>
      <rPr>
        <b/>
        <sz val="10"/>
        <rFont val="Arial"/>
        <family val="2"/>
      </rPr>
      <t>(2)</t>
    </r>
    <r>
      <rPr>
        <sz val="10"/>
        <rFont val="Arial"/>
      </rPr>
      <t xml:space="preserve">For LR method, the special calculation for u and d has removed the non-linearity error. Therefore, there is no periodic hums in the diagram. </t>
    </r>
    <r>
      <rPr>
        <b/>
        <sz val="10"/>
        <rFont val="Arial"/>
        <family val="2"/>
      </rPr>
      <t>(3)</t>
    </r>
    <r>
      <rPr>
        <sz val="10"/>
        <rFont val="Arial"/>
      </rPr>
      <t xml:space="preserve"> For BD method, the combination of BS formula and binomial tree has removed sawtoothing and non-linearity error. Therefore we see a curve that shows the error becomes smaller when N necomes bigger</t>
    </r>
    <phoneticPr fontId="5" type="noConversion"/>
  </si>
  <si>
    <t>This diagram looks pretty close to the true boundary, which is also sawtoothing and goes up as j increases. The only difference is that at the beginning of the curve, the true boundary is lower than our diagram. The effect would be that our estimation may be a little higher than the true value.</t>
    <phoneticPr fontId="5" type="noConversion"/>
  </si>
  <si>
    <r>
      <rPr>
        <b/>
        <sz val="10"/>
        <rFont val="Arial"/>
        <family val="2"/>
      </rPr>
      <t>Question b</t>
    </r>
    <r>
      <rPr>
        <sz val="10"/>
        <rFont val="Arial"/>
      </rPr>
      <t xml:space="preserve">:  The tree gives the accurate value at the position where the blue line meets the x-axis. </t>
    </r>
    <phoneticPr fontId="5" type="noConversion"/>
  </si>
  <si>
    <t>The estimated value</t>
  </si>
  <si>
    <t>Value form 1 c)</t>
  </si>
  <si>
    <t>The difference between estimated value and 1 c) value</t>
  </si>
  <si>
    <t>The difference between steps</t>
  </si>
  <si>
    <t>Based on the simulation result of 2 steps to 100 steps, when the step is larger than 50, the erroe between steps will be less than 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</si>
</sst>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83" formatCode="0.00000000_);\(0.00000000\)"/>
    <numFmt numFmtId="184" formatCode="0.0000000_);[Red]\(0.0000000\)"/>
    <numFmt numFmtId="185" formatCode="0.00000000_);[Red]\(0.00000000\)"/>
  </numFmts>
  <fonts count="9">
    <font>
      <sz val="10"/>
      <name val="Arial"/>
    </font>
    <font>
      <sz val="10"/>
      <name val="Arial"/>
    </font>
    <font>
      <b/>
      <u/>
      <sz val="10"/>
      <name val="Garamond"/>
      <family val="1"/>
    </font>
    <font>
      <sz val="10"/>
      <name val="Garamond"/>
      <family val="1"/>
    </font>
    <font>
      <b/>
      <sz val="10"/>
      <name val="Garamond"/>
      <family val="1"/>
    </font>
    <font>
      <sz val="9"/>
      <name val="宋体"/>
      <charset val="134"/>
    </font>
    <font>
      <b/>
      <sz val="10"/>
      <name val="Arial"/>
      <family val="2"/>
    </font>
    <font>
      <b/>
      <sz val="12"/>
      <name val="Arial"/>
      <family val="2"/>
    </font>
    <font>
      <sz val="10"/>
      <color rgb="FFFF0000"/>
      <name val="Arial"/>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1" fillId="0" borderId="0"/>
  </cellStyleXfs>
  <cellXfs count="14">
    <xf numFmtId="0" fontId="0" fillId="0" borderId="0" xfId="0"/>
    <xf numFmtId="0" fontId="2" fillId="0" borderId="0" xfId="0" applyFont="1"/>
    <xf numFmtId="0" fontId="3" fillId="0" borderId="0" xfId="0" applyFont="1"/>
    <xf numFmtId="0" fontId="4" fillId="0" borderId="0" xfId="0" applyFont="1"/>
    <xf numFmtId="183" fontId="3" fillId="0" borderId="0" xfId="0" applyNumberFormat="1" applyFont="1"/>
    <xf numFmtId="0" fontId="2" fillId="0" borderId="0" xfId="0" applyFont="1" applyAlignment="1">
      <alignment horizontal="left"/>
    </xf>
    <xf numFmtId="0" fontId="0" fillId="0" borderId="0" xfId="0" applyAlignment="1">
      <alignment wrapText="1"/>
    </xf>
    <xf numFmtId="184" fontId="0" fillId="0" borderId="0" xfId="0" applyNumberFormat="1"/>
    <xf numFmtId="185" fontId="0" fillId="0" borderId="0" xfId="0" applyNumberFormat="1"/>
    <xf numFmtId="0" fontId="2" fillId="0" borderId="0" xfId="1" applyFont="1" applyAlignment="1">
      <alignment horizontal="left"/>
    </xf>
    <xf numFmtId="0" fontId="1" fillId="0" borderId="0" xfId="1"/>
    <xf numFmtId="0" fontId="8" fillId="0" borderId="0" xfId="0" applyFont="1"/>
    <xf numFmtId="0" fontId="0" fillId="0" borderId="0" xfId="0" applyAlignment="1">
      <alignment horizontal="center" wrapText="1"/>
    </xf>
    <xf numFmtId="0" fontId="0" fillId="2" borderId="0" xfId="0" applyFill="1" applyAlignment="1">
      <alignment horizontal="center" wrapText="1"/>
    </xf>
  </cellXfs>
  <cellStyles count="2">
    <cellStyle name="Normal" xfId="0" builtinId="0"/>
    <cellStyle name="常规 2" xfId="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lineChart>
        <c:grouping val="standard"/>
        <c:varyColors val="0"/>
        <c:ser>
          <c:idx val="0"/>
          <c:order val="0"/>
          <c:tx>
            <c:strRef>
              <c:f>'European CRR'!$F$1</c:f>
              <c:strCache>
                <c:ptCount val="1"/>
                <c:pt idx="0">
                  <c:v>Error CRR</c:v>
                </c:pt>
              </c:strCache>
            </c:strRef>
          </c:tx>
          <c:spPr>
            <a:ln w="25400">
              <a:solidFill>
                <a:srgbClr val="666699"/>
              </a:solidFill>
              <a:prstDash val="solid"/>
            </a:ln>
          </c:spPr>
          <c:marker>
            <c:symbol val="none"/>
          </c:marker>
          <c:cat>
            <c:numRef>
              <c:f>'European CRR'!$D$2:$D$454</c:f>
              <c:numCache>
                <c:formatCode>General</c:formatCode>
                <c:ptCount val="453"/>
                <c:pt idx="0">
                  <c:v>50</c:v>
                </c:pt>
                <c:pt idx="1">
                  <c:v>51</c:v>
                </c:pt>
                <c:pt idx="2">
                  <c:v>52</c:v>
                </c:pt>
                <c:pt idx="3">
                  <c:v>53</c:v>
                </c:pt>
                <c:pt idx="4">
                  <c:v>54</c:v>
                </c:pt>
                <c:pt idx="5">
                  <c:v>55</c:v>
                </c:pt>
                <c:pt idx="6">
                  <c:v>56</c:v>
                </c:pt>
                <c:pt idx="7">
                  <c:v>57</c:v>
                </c:pt>
                <c:pt idx="8">
                  <c:v>58</c:v>
                </c:pt>
                <c:pt idx="9">
                  <c:v>59</c:v>
                </c:pt>
                <c:pt idx="10">
                  <c:v>60</c:v>
                </c:pt>
                <c:pt idx="11">
                  <c:v>61</c:v>
                </c:pt>
                <c:pt idx="12">
                  <c:v>62</c:v>
                </c:pt>
                <c:pt idx="13">
                  <c:v>63</c:v>
                </c:pt>
                <c:pt idx="14">
                  <c:v>64</c:v>
                </c:pt>
                <c:pt idx="15">
                  <c:v>65</c:v>
                </c:pt>
                <c:pt idx="16">
                  <c:v>66</c:v>
                </c:pt>
                <c:pt idx="17">
                  <c:v>67</c:v>
                </c:pt>
                <c:pt idx="18">
                  <c:v>68</c:v>
                </c:pt>
                <c:pt idx="19">
                  <c:v>69</c:v>
                </c:pt>
                <c:pt idx="20">
                  <c:v>70</c:v>
                </c:pt>
                <c:pt idx="21">
                  <c:v>71</c:v>
                </c:pt>
                <c:pt idx="22">
                  <c:v>72</c:v>
                </c:pt>
                <c:pt idx="23">
                  <c:v>73</c:v>
                </c:pt>
                <c:pt idx="24">
                  <c:v>74</c:v>
                </c:pt>
                <c:pt idx="25">
                  <c:v>75</c:v>
                </c:pt>
                <c:pt idx="26">
                  <c:v>76</c:v>
                </c:pt>
                <c:pt idx="27">
                  <c:v>77</c:v>
                </c:pt>
                <c:pt idx="28">
                  <c:v>78</c:v>
                </c:pt>
                <c:pt idx="29">
                  <c:v>79</c:v>
                </c:pt>
                <c:pt idx="30">
                  <c:v>80</c:v>
                </c:pt>
                <c:pt idx="31">
                  <c:v>81</c:v>
                </c:pt>
                <c:pt idx="32">
                  <c:v>82</c:v>
                </c:pt>
                <c:pt idx="33">
                  <c:v>83</c:v>
                </c:pt>
                <c:pt idx="34">
                  <c:v>84</c:v>
                </c:pt>
                <c:pt idx="35">
                  <c:v>85</c:v>
                </c:pt>
                <c:pt idx="36">
                  <c:v>86</c:v>
                </c:pt>
                <c:pt idx="37">
                  <c:v>87</c:v>
                </c:pt>
                <c:pt idx="38">
                  <c:v>88</c:v>
                </c:pt>
                <c:pt idx="39">
                  <c:v>89</c:v>
                </c:pt>
                <c:pt idx="40">
                  <c:v>90</c:v>
                </c:pt>
                <c:pt idx="41">
                  <c:v>91</c:v>
                </c:pt>
                <c:pt idx="42">
                  <c:v>92</c:v>
                </c:pt>
                <c:pt idx="43">
                  <c:v>93</c:v>
                </c:pt>
                <c:pt idx="44">
                  <c:v>94</c:v>
                </c:pt>
                <c:pt idx="45">
                  <c:v>95</c:v>
                </c:pt>
                <c:pt idx="46">
                  <c:v>96</c:v>
                </c:pt>
                <c:pt idx="47">
                  <c:v>97</c:v>
                </c:pt>
                <c:pt idx="48">
                  <c:v>98</c:v>
                </c:pt>
                <c:pt idx="49">
                  <c:v>99</c:v>
                </c:pt>
                <c:pt idx="50">
                  <c:v>100</c:v>
                </c:pt>
                <c:pt idx="51">
                  <c:v>101</c:v>
                </c:pt>
                <c:pt idx="52">
                  <c:v>102</c:v>
                </c:pt>
                <c:pt idx="53">
                  <c:v>103</c:v>
                </c:pt>
                <c:pt idx="54">
                  <c:v>104</c:v>
                </c:pt>
                <c:pt idx="55">
                  <c:v>105</c:v>
                </c:pt>
                <c:pt idx="56">
                  <c:v>106</c:v>
                </c:pt>
                <c:pt idx="57">
                  <c:v>107</c:v>
                </c:pt>
                <c:pt idx="58">
                  <c:v>108</c:v>
                </c:pt>
                <c:pt idx="59">
                  <c:v>109</c:v>
                </c:pt>
                <c:pt idx="60">
                  <c:v>110</c:v>
                </c:pt>
                <c:pt idx="61">
                  <c:v>111</c:v>
                </c:pt>
                <c:pt idx="62">
                  <c:v>112</c:v>
                </c:pt>
                <c:pt idx="63">
                  <c:v>113</c:v>
                </c:pt>
                <c:pt idx="64">
                  <c:v>114</c:v>
                </c:pt>
                <c:pt idx="65">
                  <c:v>115</c:v>
                </c:pt>
                <c:pt idx="66">
                  <c:v>116</c:v>
                </c:pt>
                <c:pt idx="67">
                  <c:v>117</c:v>
                </c:pt>
                <c:pt idx="68">
                  <c:v>118</c:v>
                </c:pt>
                <c:pt idx="69">
                  <c:v>119</c:v>
                </c:pt>
                <c:pt idx="70">
                  <c:v>120</c:v>
                </c:pt>
                <c:pt idx="71">
                  <c:v>121</c:v>
                </c:pt>
                <c:pt idx="72">
                  <c:v>122</c:v>
                </c:pt>
                <c:pt idx="73">
                  <c:v>123</c:v>
                </c:pt>
                <c:pt idx="74">
                  <c:v>124</c:v>
                </c:pt>
                <c:pt idx="75">
                  <c:v>125</c:v>
                </c:pt>
                <c:pt idx="76">
                  <c:v>126</c:v>
                </c:pt>
                <c:pt idx="77">
                  <c:v>127</c:v>
                </c:pt>
                <c:pt idx="78">
                  <c:v>128</c:v>
                </c:pt>
                <c:pt idx="79">
                  <c:v>129</c:v>
                </c:pt>
                <c:pt idx="80">
                  <c:v>130</c:v>
                </c:pt>
                <c:pt idx="81">
                  <c:v>131</c:v>
                </c:pt>
                <c:pt idx="82">
                  <c:v>132</c:v>
                </c:pt>
                <c:pt idx="83">
                  <c:v>133</c:v>
                </c:pt>
                <c:pt idx="84">
                  <c:v>134</c:v>
                </c:pt>
                <c:pt idx="85">
                  <c:v>135</c:v>
                </c:pt>
                <c:pt idx="86">
                  <c:v>136</c:v>
                </c:pt>
                <c:pt idx="87">
                  <c:v>137</c:v>
                </c:pt>
                <c:pt idx="88">
                  <c:v>138</c:v>
                </c:pt>
                <c:pt idx="89">
                  <c:v>139</c:v>
                </c:pt>
                <c:pt idx="90">
                  <c:v>140</c:v>
                </c:pt>
                <c:pt idx="91">
                  <c:v>141</c:v>
                </c:pt>
                <c:pt idx="92">
                  <c:v>142</c:v>
                </c:pt>
                <c:pt idx="93">
                  <c:v>143</c:v>
                </c:pt>
                <c:pt idx="94">
                  <c:v>144</c:v>
                </c:pt>
                <c:pt idx="95">
                  <c:v>145</c:v>
                </c:pt>
                <c:pt idx="96">
                  <c:v>146</c:v>
                </c:pt>
                <c:pt idx="97">
                  <c:v>147</c:v>
                </c:pt>
                <c:pt idx="98">
                  <c:v>148</c:v>
                </c:pt>
                <c:pt idx="99">
                  <c:v>149</c:v>
                </c:pt>
                <c:pt idx="100">
                  <c:v>150</c:v>
                </c:pt>
                <c:pt idx="101">
                  <c:v>151</c:v>
                </c:pt>
                <c:pt idx="102">
                  <c:v>152</c:v>
                </c:pt>
                <c:pt idx="103">
                  <c:v>153</c:v>
                </c:pt>
                <c:pt idx="104">
                  <c:v>154</c:v>
                </c:pt>
                <c:pt idx="105">
                  <c:v>155</c:v>
                </c:pt>
                <c:pt idx="106">
                  <c:v>156</c:v>
                </c:pt>
                <c:pt idx="107">
                  <c:v>157</c:v>
                </c:pt>
                <c:pt idx="108">
                  <c:v>158</c:v>
                </c:pt>
                <c:pt idx="109">
                  <c:v>159</c:v>
                </c:pt>
                <c:pt idx="110">
                  <c:v>160</c:v>
                </c:pt>
                <c:pt idx="111">
                  <c:v>161</c:v>
                </c:pt>
                <c:pt idx="112">
                  <c:v>162</c:v>
                </c:pt>
                <c:pt idx="113">
                  <c:v>163</c:v>
                </c:pt>
                <c:pt idx="114">
                  <c:v>164</c:v>
                </c:pt>
                <c:pt idx="115">
                  <c:v>165</c:v>
                </c:pt>
                <c:pt idx="116">
                  <c:v>166</c:v>
                </c:pt>
                <c:pt idx="117">
                  <c:v>167</c:v>
                </c:pt>
                <c:pt idx="118">
                  <c:v>168</c:v>
                </c:pt>
                <c:pt idx="119">
                  <c:v>169</c:v>
                </c:pt>
                <c:pt idx="120">
                  <c:v>170</c:v>
                </c:pt>
                <c:pt idx="121">
                  <c:v>171</c:v>
                </c:pt>
                <c:pt idx="122">
                  <c:v>172</c:v>
                </c:pt>
                <c:pt idx="123">
                  <c:v>173</c:v>
                </c:pt>
                <c:pt idx="124">
                  <c:v>174</c:v>
                </c:pt>
                <c:pt idx="125">
                  <c:v>175</c:v>
                </c:pt>
                <c:pt idx="126">
                  <c:v>176</c:v>
                </c:pt>
                <c:pt idx="127">
                  <c:v>177</c:v>
                </c:pt>
                <c:pt idx="128">
                  <c:v>178</c:v>
                </c:pt>
                <c:pt idx="129">
                  <c:v>179</c:v>
                </c:pt>
                <c:pt idx="130">
                  <c:v>180</c:v>
                </c:pt>
                <c:pt idx="131">
                  <c:v>181</c:v>
                </c:pt>
                <c:pt idx="132">
                  <c:v>182</c:v>
                </c:pt>
                <c:pt idx="133">
                  <c:v>183</c:v>
                </c:pt>
                <c:pt idx="134">
                  <c:v>184</c:v>
                </c:pt>
                <c:pt idx="135">
                  <c:v>185</c:v>
                </c:pt>
                <c:pt idx="136">
                  <c:v>186</c:v>
                </c:pt>
                <c:pt idx="137">
                  <c:v>187</c:v>
                </c:pt>
                <c:pt idx="138">
                  <c:v>188</c:v>
                </c:pt>
                <c:pt idx="139">
                  <c:v>189</c:v>
                </c:pt>
                <c:pt idx="140">
                  <c:v>190</c:v>
                </c:pt>
                <c:pt idx="141">
                  <c:v>191</c:v>
                </c:pt>
                <c:pt idx="142">
                  <c:v>192</c:v>
                </c:pt>
                <c:pt idx="143">
                  <c:v>193</c:v>
                </c:pt>
                <c:pt idx="144">
                  <c:v>194</c:v>
                </c:pt>
                <c:pt idx="145">
                  <c:v>195</c:v>
                </c:pt>
                <c:pt idx="146">
                  <c:v>196</c:v>
                </c:pt>
                <c:pt idx="147">
                  <c:v>197</c:v>
                </c:pt>
                <c:pt idx="148">
                  <c:v>198</c:v>
                </c:pt>
                <c:pt idx="149">
                  <c:v>199</c:v>
                </c:pt>
                <c:pt idx="150">
                  <c:v>200</c:v>
                </c:pt>
                <c:pt idx="151">
                  <c:v>201</c:v>
                </c:pt>
                <c:pt idx="152">
                  <c:v>202</c:v>
                </c:pt>
                <c:pt idx="153">
                  <c:v>203</c:v>
                </c:pt>
                <c:pt idx="154">
                  <c:v>204</c:v>
                </c:pt>
                <c:pt idx="155">
                  <c:v>205</c:v>
                </c:pt>
                <c:pt idx="156">
                  <c:v>206</c:v>
                </c:pt>
                <c:pt idx="157">
                  <c:v>207</c:v>
                </c:pt>
                <c:pt idx="158">
                  <c:v>208</c:v>
                </c:pt>
                <c:pt idx="159">
                  <c:v>209</c:v>
                </c:pt>
                <c:pt idx="160">
                  <c:v>210</c:v>
                </c:pt>
                <c:pt idx="161">
                  <c:v>211</c:v>
                </c:pt>
                <c:pt idx="162">
                  <c:v>212</c:v>
                </c:pt>
                <c:pt idx="163">
                  <c:v>213</c:v>
                </c:pt>
                <c:pt idx="164">
                  <c:v>214</c:v>
                </c:pt>
                <c:pt idx="165">
                  <c:v>215</c:v>
                </c:pt>
                <c:pt idx="166">
                  <c:v>216</c:v>
                </c:pt>
                <c:pt idx="167">
                  <c:v>217</c:v>
                </c:pt>
                <c:pt idx="168">
                  <c:v>218</c:v>
                </c:pt>
                <c:pt idx="169">
                  <c:v>219</c:v>
                </c:pt>
                <c:pt idx="170">
                  <c:v>220</c:v>
                </c:pt>
                <c:pt idx="171">
                  <c:v>221</c:v>
                </c:pt>
                <c:pt idx="172">
                  <c:v>222</c:v>
                </c:pt>
                <c:pt idx="173">
                  <c:v>223</c:v>
                </c:pt>
                <c:pt idx="174">
                  <c:v>224</c:v>
                </c:pt>
                <c:pt idx="175">
                  <c:v>225</c:v>
                </c:pt>
                <c:pt idx="176">
                  <c:v>226</c:v>
                </c:pt>
                <c:pt idx="177">
                  <c:v>227</c:v>
                </c:pt>
                <c:pt idx="178">
                  <c:v>228</c:v>
                </c:pt>
                <c:pt idx="179">
                  <c:v>229</c:v>
                </c:pt>
                <c:pt idx="180">
                  <c:v>230</c:v>
                </c:pt>
                <c:pt idx="181">
                  <c:v>231</c:v>
                </c:pt>
                <c:pt idx="182">
                  <c:v>232</c:v>
                </c:pt>
                <c:pt idx="183">
                  <c:v>233</c:v>
                </c:pt>
                <c:pt idx="184">
                  <c:v>234</c:v>
                </c:pt>
                <c:pt idx="185">
                  <c:v>235</c:v>
                </c:pt>
                <c:pt idx="186">
                  <c:v>236</c:v>
                </c:pt>
                <c:pt idx="187">
                  <c:v>237</c:v>
                </c:pt>
                <c:pt idx="188">
                  <c:v>238</c:v>
                </c:pt>
                <c:pt idx="189">
                  <c:v>239</c:v>
                </c:pt>
                <c:pt idx="190">
                  <c:v>240</c:v>
                </c:pt>
                <c:pt idx="191">
                  <c:v>241</c:v>
                </c:pt>
                <c:pt idx="192">
                  <c:v>242</c:v>
                </c:pt>
                <c:pt idx="193">
                  <c:v>243</c:v>
                </c:pt>
                <c:pt idx="194">
                  <c:v>244</c:v>
                </c:pt>
                <c:pt idx="195">
                  <c:v>245</c:v>
                </c:pt>
                <c:pt idx="196">
                  <c:v>246</c:v>
                </c:pt>
                <c:pt idx="197">
                  <c:v>247</c:v>
                </c:pt>
                <c:pt idx="198">
                  <c:v>248</c:v>
                </c:pt>
                <c:pt idx="199">
                  <c:v>249</c:v>
                </c:pt>
                <c:pt idx="200">
                  <c:v>250</c:v>
                </c:pt>
                <c:pt idx="201">
                  <c:v>251</c:v>
                </c:pt>
                <c:pt idx="202">
                  <c:v>252</c:v>
                </c:pt>
                <c:pt idx="203">
                  <c:v>253</c:v>
                </c:pt>
                <c:pt idx="204">
                  <c:v>254</c:v>
                </c:pt>
                <c:pt idx="205">
                  <c:v>255</c:v>
                </c:pt>
                <c:pt idx="206">
                  <c:v>256</c:v>
                </c:pt>
                <c:pt idx="207">
                  <c:v>257</c:v>
                </c:pt>
                <c:pt idx="208">
                  <c:v>258</c:v>
                </c:pt>
                <c:pt idx="209">
                  <c:v>259</c:v>
                </c:pt>
                <c:pt idx="210">
                  <c:v>260</c:v>
                </c:pt>
                <c:pt idx="211">
                  <c:v>261</c:v>
                </c:pt>
                <c:pt idx="212">
                  <c:v>262</c:v>
                </c:pt>
                <c:pt idx="213">
                  <c:v>263</c:v>
                </c:pt>
                <c:pt idx="214">
                  <c:v>264</c:v>
                </c:pt>
                <c:pt idx="215">
                  <c:v>265</c:v>
                </c:pt>
                <c:pt idx="216">
                  <c:v>266</c:v>
                </c:pt>
                <c:pt idx="217">
                  <c:v>267</c:v>
                </c:pt>
                <c:pt idx="218">
                  <c:v>268</c:v>
                </c:pt>
                <c:pt idx="219">
                  <c:v>269</c:v>
                </c:pt>
                <c:pt idx="220">
                  <c:v>270</c:v>
                </c:pt>
                <c:pt idx="221">
                  <c:v>271</c:v>
                </c:pt>
                <c:pt idx="222">
                  <c:v>272</c:v>
                </c:pt>
                <c:pt idx="223">
                  <c:v>273</c:v>
                </c:pt>
                <c:pt idx="224">
                  <c:v>274</c:v>
                </c:pt>
                <c:pt idx="225">
                  <c:v>275</c:v>
                </c:pt>
                <c:pt idx="226">
                  <c:v>276</c:v>
                </c:pt>
                <c:pt idx="227">
                  <c:v>277</c:v>
                </c:pt>
                <c:pt idx="228">
                  <c:v>278</c:v>
                </c:pt>
                <c:pt idx="229">
                  <c:v>279</c:v>
                </c:pt>
                <c:pt idx="230">
                  <c:v>280</c:v>
                </c:pt>
                <c:pt idx="231">
                  <c:v>281</c:v>
                </c:pt>
                <c:pt idx="232">
                  <c:v>282</c:v>
                </c:pt>
                <c:pt idx="233">
                  <c:v>283</c:v>
                </c:pt>
                <c:pt idx="234">
                  <c:v>284</c:v>
                </c:pt>
                <c:pt idx="235">
                  <c:v>285</c:v>
                </c:pt>
                <c:pt idx="236">
                  <c:v>286</c:v>
                </c:pt>
                <c:pt idx="237">
                  <c:v>287</c:v>
                </c:pt>
                <c:pt idx="238">
                  <c:v>288</c:v>
                </c:pt>
                <c:pt idx="239">
                  <c:v>289</c:v>
                </c:pt>
                <c:pt idx="240">
                  <c:v>290</c:v>
                </c:pt>
                <c:pt idx="241">
                  <c:v>291</c:v>
                </c:pt>
                <c:pt idx="242">
                  <c:v>292</c:v>
                </c:pt>
                <c:pt idx="243">
                  <c:v>293</c:v>
                </c:pt>
                <c:pt idx="244">
                  <c:v>294</c:v>
                </c:pt>
                <c:pt idx="245">
                  <c:v>295</c:v>
                </c:pt>
                <c:pt idx="246">
                  <c:v>296</c:v>
                </c:pt>
                <c:pt idx="247">
                  <c:v>297</c:v>
                </c:pt>
                <c:pt idx="248">
                  <c:v>298</c:v>
                </c:pt>
                <c:pt idx="249">
                  <c:v>299</c:v>
                </c:pt>
                <c:pt idx="250">
                  <c:v>300</c:v>
                </c:pt>
                <c:pt idx="251">
                  <c:v>301</c:v>
                </c:pt>
                <c:pt idx="252">
                  <c:v>302</c:v>
                </c:pt>
                <c:pt idx="253">
                  <c:v>303</c:v>
                </c:pt>
                <c:pt idx="254">
                  <c:v>304</c:v>
                </c:pt>
                <c:pt idx="255">
                  <c:v>305</c:v>
                </c:pt>
                <c:pt idx="256">
                  <c:v>306</c:v>
                </c:pt>
                <c:pt idx="257">
                  <c:v>307</c:v>
                </c:pt>
                <c:pt idx="258">
                  <c:v>308</c:v>
                </c:pt>
                <c:pt idx="259">
                  <c:v>309</c:v>
                </c:pt>
                <c:pt idx="260">
                  <c:v>310</c:v>
                </c:pt>
                <c:pt idx="261">
                  <c:v>311</c:v>
                </c:pt>
                <c:pt idx="262">
                  <c:v>312</c:v>
                </c:pt>
                <c:pt idx="263">
                  <c:v>313</c:v>
                </c:pt>
                <c:pt idx="264">
                  <c:v>314</c:v>
                </c:pt>
                <c:pt idx="265">
                  <c:v>315</c:v>
                </c:pt>
                <c:pt idx="266">
                  <c:v>316</c:v>
                </c:pt>
                <c:pt idx="267">
                  <c:v>317</c:v>
                </c:pt>
                <c:pt idx="268">
                  <c:v>318</c:v>
                </c:pt>
                <c:pt idx="269">
                  <c:v>319</c:v>
                </c:pt>
                <c:pt idx="270">
                  <c:v>320</c:v>
                </c:pt>
                <c:pt idx="271">
                  <c:v>321</c:v>
                </c:pt>
                <c:pt idx="272">
                  <c:v>322</c:v>
                </c:pt>
                <c:pt idx="273">
                  <c:v>323</c:v>
                </c:pt>
                <c:pt idx="274">
                  <c:v>324</c:v>
                </c:pt>
                <c:pt idx="275">
                  <c:v>325</c:v>
                </c:pt>
                <c:pt idx="276">
                  <c:v>326</c:v>
                </c:pt>
                <c:pt idx="277">
                  <c:v>327</c:v>
                </c:pt>
                <c:pt idx="278">
                  <c:v>328</c:v>
                </c:pt>
                <c:pt idx="279">
                  <c:v>329</c:v>
                </c:pt>
                <c:pt idx="280">
                  <c:v>330</c:v>
                </c:pt>
                <c:pt idx="281">
                  <c:v>331</c:v>
                </c:pt>
                <c:pt idx="282">
                  <c:v>332</c:v>
                </c:pt>
                <c:pt idx="283">
                  <c:v>333</c:v>
                </c:pt>
                <c:pt idx="284">
                  <c:v>334</c:v>
                </c:pt>
                <c:pt idx="285">
                  <c:v>335</c:v>
                </c:pt>
                <c:pt idx="286">
                  <c:v>336</c:v>
                </c:pt>
                <c:pt idx="287">
                  <c:v>337</c:v>
                </c:pt>
                <c:pt idx="288">
                  <c:v>338</c:v>
                </c:pt>
                <c:pt idx="289">
                  <c:v>339</c:v>
                </c:pt>
                <c:pt idx="290">
                  <c:v>340</c:v>
                </c:pt>
                <c:pt idx="291">
                  <c:v>341</c:v>
                </c:pt>
                <c:pt idx="292">
                  <c:v>342</c:v>
                </c:pt>
                <c:pt idx="293">
                  <c:v>343</c:v>
                </c:pt>
                <c:pt idx="294">
                  <c:v>344</c:v>
                </c:pt>
                <c:pt idx="295">
                  <c:v>345</c:v>
                </c:pt>
                <c:pt idx="296">
                  <c:v>346</c:v>
                </c:pt>
                <c:pt idx="297">
                  <c:v>347</c:v>
                </c:pt>
                <c:pt idx="298">
                  <c:v>348</c:v>
                </c:pt>
                <c:pt idx="299">
                  <c:v>349</c:v>
                </c:pt>
                <c:pt idx="300">
                  <c:v>350</c:v>
                </c:pt>
                <c:pt idx="301">
                  <c:v>351</c:v>
                </c:pt>
                <c:pt idx="302">
                  <c:v>352</c:v>
                </c:pt>
                <c:pt idx="303">
                  <c:v>353</c:v>
                </c:pt>
                <c:pt idx="304">
                  <c:v>354</c:v>
                </c:pt>
                <c:pt idx="305">
                  <c:v>355</c:v>
                </c:pt>
                <c:pt idx="306">
                  <c:v>356</c:v>
                </c:pt>
                <c:pt idx="307">
                  <c:v>357</c:v>
                </c:pt>
                <c:pt idx="308">
                  <c:v>358</c:v>
                </c:pt>
                <c:pt idx="309">
                  <c:v>359</c:v>
                </c:pt>
                <c:pt idx="310">
                  <c:v>360</c:v>
                </c:pt>
                <c:pt idx="311">
                  <c:v>361</c:v>
                </c:pt>
                <c:pt idx="312">
                  <c:v>362</c:v>
                </c:pt>
                <c:pt idx="313">
                  <c:v>363</c:v>
                </c:pt>
                <c:pt idx="314">
                  <c:v>364</c:v>
                </c:pt>
                <c:pt idx="315">
                  <c:v>365</c:v>
                </c:pt>
                <c:pt idx="316">
                  <c:v>366</c:v>
                </c:pt>
                <c:pt idx="317">
                  <c:v>367</c:v>
                </c:pt>
                <c:pt idx="318">
                  <c:v>368</c:v>
                </c:pt>
                <c:pt idx="319">
                  <c:v>369</c:v>
                </c:pt>
                <c:pt idx="320">
                  <c:v>370</c:v>
                </c:pt>
                <c:pt idx="321">
                  <c:v>371</c:v>
                </c:pt>
                <c:pt idx="322">
                  <c:v>372</c:v>
                </c:pt>
                <c:pt idx="323">
                  <c:v>373</c:v>
                </c:pt>
                <c:pt idx="324">
                  <c:v>374</c:v>
                </c:pt>
                <c:pt idx="325">
                  <c:v>375</c:v>
                </c:pt>
                <c:pt idx="326">
                  <c:v>376</c:v>
                </c:pt>
                <c:pt idx="327">
                  <c:v>377</c:v>
                </c:pt>
                <c:pt idx="328">
                  <c:v>378</c:v>
                </c:pt>
                <c:pt idx="329">
                  <c:v>379</c:v>
                </c:pt>
                <c:pt idx="330">
                  <c:v>380</c:v>
                </c:pt>
                <c:pt idx="331">
                  <c:v>381</c:v>
                </c:pt>
                <c:pt idx="332">
                  <c:v>382</c:v>
                </c:pt>
                <c:pt idx="333">
                  <c:v>383</c:v>
                </c:pt>
                <c:pt idx="334">
                  <c:v>384</c:v>
                </c:pt>
                <c:pt idx="335">
                  <c:v>385</c:v>
                </c:pt>
                <c:pt idx="336">
                  <c:v>386</c:v>
                </c:pt>
                <c:pt idx="337">
                  <c:v>387</c:v>
                </c:pt>
                <c:pt idx="338">
                  <c:v>388</c:v>
                </c:pt>
                <c:pt idx="339">
                  <c:v>389</c:v>
                </c:pt>
                <c:pt idx="340">
                  <c:v>390</c:v>
                </c:pt>
                <c:pt idx="341">
                  <c:v>391</c:v>
                </c:pt>
                <c:pt idx="342">
                  <c:v>392</c:v>
                </c:pt>
                <c:pt idx="343">
                  <c:v>393</c:v>
                </c:pt>
                <c:pt idx="344">
                  <c:v>394</c:v>
                </c:pt>
                <c:pt idx="345">
                  <c:v>395</c:v>
                </c:pt>
                <c:pt idx="346">
                  <c:v>396</c:v>
                </c:pt>
                <c:pt idx="347">
                  <c:v>397</c:v>
                </c:pt>
                <c:pt idx="348">
                  <c:v>398</c:v>
                </c:pt>
                <c:pt idx="349">
                  <c:v>399</c:v>
                </c:pt>
                <c:pt idx="350">
                  <c:v>400</c:v>
                </c:pt>
                <c:pt idx="351">
                  <c:v>401</c:v>
                </c:pt>
                <c:pt idx="352">
                  <c:v>402</c:v>
                </c:pt>
                <c:pt idx="353">
                  <c:v>403</c:v>
                </c:pt>
                <c:pt idx="354">
                  <c:v>404</c:v>
                </c:pt>
                <c:pt idx="355">
                  <c:v>405</c:v>
                </c:pt>
                <c:pt idx="356">
                  <c:v>406</c:v>
                </c:pt>
                <c:pt idx="357">
                  <c:v>407</c:v>
                </c:pt>
                <c:pt idx="358">
                  <c:v>408</c:v>
                </c:pt>
                <c:pt idx="359">
                  <c:v>409</c:v>
                </c:pt>
                <c:pt idx="360">
                  <c:v>410</c:v>
                </c:pt>
                <c:pt idx="361">
                  <c:v>411</c:v>
                </c:pt>
                <c:pt idx="362">
                  <c:v>412</c:v>
                </c:pt>
                <c:pt idx="363">
                  <c:v>413</c:v>
                </c:pt>
                <c:pt idx="364">
                  <c:v>414</c:v>
                </c:pt>
                <c:pt idx="365">
                  <c:v>415</c:v>
                </c:pt>
                <c:pt idx="366">
                  <c:v>416</c:v>
                </c:pt>
                <c:pt idx="367">
                  <c:v>417</c:v>
                </c:pt>
                <c:pt idx="368">
                  <c:v>418</c:v>
                </c:pt>
                <c:pt idx="369">
                  <c:v>419</c:v>
                </c:pt>
                <c:pt idx="370">
                  <c:v>420</c:v>
                </c:pt>
                <c:pt idx="371">
                  <c:v>421</c:v>
                </c:pt>
                <c:pt idx="372">
                  <c:v>422</c:v>
                </c:pt>
                <c:pt idx="373">
                  <c:v>423</c:v>
                </c:pt>
                <c:pt idx="374">
                  <c:v>424</c:v>
                </c:pt>
                <c:pt idx="375">
                  <c:v>425</c:v>
                </c:pt>
                <c:pt idx="376">
                  <c:v>426</c:v>
                </c:pt>
                <c:pt idx="377">
                  <c:v>427</c:v>
                </c:pt>
                <c:pt idx="378">
                  <c:v>428</c:v>
                </c:pt>
                <c:pt idx="379">
                  <c:v>429</c:v>
                </c:pt>
                <c:pt idx="380">
                  <c:v>430</c:v>
                </c:pt>
                <c:pt idx="381">
                  <c:v>431</c:v>
                </c:pt>
                <c:pt idx="382">
                  <c:v>432</c:v>
                </c:pt>
                <c:pt idx="383">
                  <c:v>433</c:v>
                </c:pt>
                <c:pt idx="384">
                  <c:v>434</c:v>
                </c:pt>
                <c:pt idx="385">
                  <c:v>435</c:v>
                </c:pt>
                <c:pt idx="386">
                  <c:v>436</c:v>
                </c:pt>
                <c:pt idx="387">
                  <c:v>437</c:v>
                </c:pt>
                <c:pt idx="388">
                  <c:v>438</c:v>
                </c:pt>
                <c:pt idx="389">
                  <c:v>439</c:v>
                </c:pt>
                <c:pt idx="390">
                  <c:v>440</c:v>
                </c:pt>
                <c:pt idx="391">
                  <c:v>441</c:v>
                </c:pt>
                <c:pt idx="392">
                  <c:v>442</c:v>
                </c:pt>
                <c:pt idx="393">
                  <c:v>443</c:v>
                </c:pt>
                <c:pt idx="394">
                  <c:v>444</c:v>
                </c:pt>
                <c:pt idx="395">
                  <c:v>445</c:v>
                </c:pt>
                <c:pt idx="396">
                  <c:v>446</c:v>
                </c:pt>
                <c:pt idx="397">
                  <c:v>447</c:v>
                </c:pt>
                <c:pt idx="398">
                  <c:v>448</c:v>
                </c:pt>
                <c:pt idx="399">
                  <c:v>449</c:v>
                </c:pt>
                <c:pt idx="400">
                  <c:v>450</c:v>
                </c:pt>
                <c:pt idx="401">
                  <c:v>451</c:v>
                </c:pt>
                <c:pt idx="402">
                  <c:v>452</c:v>
                </c:pt>
                <c:pt idx="403">
                  <c:v>453</c:v>
                </c:pt>
                <c:pt idx="404">
                  <c:v>454</c:v>
                </c:pt>
                <c:pt idx="405">
                  <c:v>455</c:v>
                </c:pt>
                <c:pt idx="406">
                  <c:v>456</c:v>
                </c:pt>
                <c:pt idx="407">
                  <c:v>457</c:v>
                </c:pt>
                <c:pt idx="408">
                  <c:v>458</c:v>
                </c:pt>
                <c:pt idx="409">
                  <c:v>459</c:v>
                </c:pt>
                <c:pt idx="410">
                  <c:v>460</c:v>
                </c:pt>
                <c:pt idx="411">
                  <c:v>461</c:v>
                </c:pt>
                <c:pt idx="412">
                  <c:v>462</c:v>
                </c:pt>
                <c:pt idx="413">
                  <c:v>463</c:v>
                </c:pt>
                <c:pt idx="414">
                  <c:v>464</c:v>
                </c:pt>
                <c:pt idx="415">
                  <c:v>465</c:v>
                </c:pt>
                <c:pt idx="416">
                  <c:v>466</c:v>
                </c:pt>
                <c:pt idx="417">
                  <c:v>467</c:v>
                </c:pt>
                <c:pt idx="418">
                  <c:v>468</c:v>
                </c:pt>
                <c:pt idx="419">
                  <c:v>469</c:v>
                </c:pt>
                <c:pt idx="420">
                  <c:v>470</c:v>
                </c:pt>
                <c:pt idx="421">
                  <c:v>471</c:v>
                </c:pt>
                <c:pt idx="422">
                  <c:v>472</c:v>
                </c:pt>
                <c:pt idx="423">
                  <c:v>473</c:v>
                </c:pt>
                <c:pt idx="424">
                  <c:v>474</c:v>
                </c:pt>
                <c:pt idx="425">
                  <c:v>475</c:v>
                </c:pt>
                <c:pt idx="426">
                  <c:v>476</c:v>
                </c:pt>
                <c:pt idx="427">
                  <c:v>477</c:v>
                </c:pt>
                <c:pt idx="428">
                  <c:v>478</c:v>
                </c:pt>
                <c:pt idx="429">
                  <c:v>479</c:v>
                </c:pt>
                <c:pt idx="430">
                  <c:v>480</c:v>
                </c:pt>
                <c:pt idx="431">
                  <c:v>481</c:v>
                </c:pt>
                <c:pt idx="432">
                  <c:v>482</c:v>
                </c:pt>
                <c:pt idx="433">
                  <c:v>483</c:v>
                </c:pt>
                <c:pt idx="434">
                  <c:v>484</c:v>
                </c:pt>
                <c:pt idx="435">
                  <c:v>485</c:v>
                </c:pt>
                <c:pt idx="436">
                  <c:v>486</c:v>
                </c:pt>
                <c:pt idx="437">
                  <c:v>487</c:v>
                </c:pt>
                <c:pt idx="438">
                  <c:v>488</c:v>
                </c:pt>
                <c:pt idx="439">
                  <c:v>489</c:v>
                </c:pt>
                <c:pt idx="440">
                  <c:v>490</c:v>
                </c:pt>
                <c:pt idx="441">
                  <c:v>491</c:v>
                </c:pt>
                <c:pt idx="442">
                  <c:v>492</c:v>
                </c:pt>
                <c:pt idx="443">
                  <c:v>493</c:v>
                </c:pt>
                <c:pt idx="444">
                  <c:v>494</c:v>
                </c:pt>
                <c:pt idx="445">
                  <c:v>495</c:v>
                </c:pt>
                <c:pt idx="446">
                  <c:v>496</c:v>
                </c:pt>
                <c:pt idx="447">
                  <c:v>497</c:v>
                </c:pt>
                <c:pt idx="448">
                  <c:v>498</c:v>
                </c:pt>
                <c:pt idx="449">
                  <c:v>499</c:v>
                </c:pt>
                <c:pt idx="450">
                  <c:v>500</c:v>
                </c:pt>
              </c:numCache>
            </c:numRef>
          </c:cat>
          <c:val>
            <c:numRef>
              <c:f>'European CRR'!$F$2:$F$454</c:f>
              <c:numCache>
                <c:formatCode>0.00000000_);\(0.00000000\)</c:formatCode>
                <c:ptCount val="453"/>
                <c:pt idx="0">
                  <c:v>-5.9912267685895415E-3</c:v>
                </c:pt>
                <c:pt idx="1">
                  <c:v>2.3875794040080223E-2</c:v>
                </c:pt>
                <c:pt idx="2">
                  <c:v>-2.0806048562747037E-3</c:v>
                </c:pt>
                <c:pt idx="3">
                  <c:v>2.1573381052398588E-2</c:v>
                </c:pt>
                <c:pt idx="4">
                  <c:v>1.2757878515543553E-3</c:v>
                </c:pt>
                <c:pt idx="5">
                  <c:v>1.9254032021152057E-2</c:v>
                </c:pt>
                <c:pt idx="6">
                  <c:v>4.1496743636937339E-3</c:v>
                </c:pt>
                <c:pt idx="7">
                  <c:v>1.6928984733944219E-2</c:v>
                </c:pt>
                <c:pt idx="8">
                  <c:v>6.6020037971981083E-3</c:v>
                </c:pt>
                <c:pt idx="9">
                  <c:v>1.4607178490150474E-2</c:v>
                </c:pt>
                <c:pt idx="10">
                  <c:v>8.6848268989996313E-3</c:v>
                </c:pt>
                <c:pt idx="11">
                  <c:v>1.229571634282145E-2</c:v>
                </c:pt>
                <c:pt idx="12">
                  <c:v>1.0442800406664787E-2</c:v>
                </c:pt>
                <c:pt idx="13">
                  <c:v>1.0000227622370517E-2</c:v>
                </c:pt>
                <c:pt idx="14">
                  <c:v>1.191440224427609E-2</c:v>
                </c:pt>
                <c:pt idx="15">
                  <c:v>7.7251541003438007E-3</c:v>
                </c:pt>
                <c:pt idx="16">
                  <c:v>1.3132919629619266E-2</c:v>
                </c:pt>
                <c:pt idx="17">
                  <c:v>5.4739772282683674E-3</c:v>
                </c:pt>
                <c:pt idx="18">
                  <c:v>1.4127257510809343E-2</c:v>
                </c:pt>
                <c:pt idx="19">
                  <c:v>3.2493995800564335E-3</c:v>
                </c:pt>
                <c:pt idx="20">
                  <c:v>1.4922603845153759E-2</c:v>
                </c:pt>
                <c:pt idx="21">
                  <c:v>1.0534904543373358E-3</c:v>
                </c:pt>
                <c:pt idx="22">
                  <c:v>1.5540980059880027E-2</c:v>
                </c:pt>
                <c:pt idx="23">
                  <c:v>-1.1121967315457226E-3</c:v>
                </c:pt>
                <c:pt idx="24">
                  <c:v>1.6001698862094571E-2</c:v>
                </c:pt>
                <c:pt idx="25">
                  <c:v>-3.2465293943317874E-3</c:v>
                </c:pt>
                <c:pt idx="26">
                  <c:v>1.6321746833737549E-2</c:v>
                </c:pt>
                <c:pt idx="27">
                  <c:v>-5.3487185251945846E-3</c:v>
                </c:pt>
                <c:pt idx="28">
                  <c:v>1.6516105635862033E-2</c:v>
                </c:pt>
                <c:pt idx="29">
                  <c:v>-7.4182556676181122E-3</c:v>
                </c:pt>
                <c:pt idx="30">
                  <c:v>1.6598022850484284E-2</c:v>
                </c:pt>
                <c:pt idx="31">
                  <c:v>-9.454861340369547E-3</c:v>
                </c:pt>
                <c:pt idx="32">
                  <c:v>1.6579241283983137E-2</c:v>
                </c:pt>
                <c:pt idx="33">
                  <c:v>-1.1458442708905281E-2</c:v>
                </c:pt>
                <c:pt idx="34">
                  <c:v>1.6470193874845052E-2</c:v>
                </c:pt>
                <c:pt idx="35">
                  <c:v>-1.3429058751533773E-2</c:v>
                </c:pt>
                <c:pt idx="36">
                  <c:v>1.6280169962593405E-2</c:v>
                </c:pt>
                <c:pt idx="37">
                  <c:v>-1.5366891530453231E-2</c:v>
                </c:pt>
                <c:pt idx="38">
                  <c:v>1.6017457642263366E-2</c:v>
                </c:pt>
                <c:pt idx="39">
                  <c:v>-1.7272222450595009E-2</c:v>
                </c:pt>
                <c:pt idx="40">
                  <c:v>1.5689466041434841E-2</c:v>
                </c:pt>
                <c:pt idx="41">
                  <c:v>-1.5153104895320624E-2</c:v>
                </c:pt>
                <c:pt idx="42">
                  <c:v>1.5302830694880143E-2</c:v>
                </c:pt>
                <c:pt idx="43">
                  <c:v>-1.2853588906361679E-2</c:v>
                </c:pt>
                <c:pt idx="44">
                  <c:v>1.4863504625587609E-2</c:v>
                </c:pt>
                <c:pt idx="45">
                  <c:v>-1.0733791865190412E-2</c:v>
                </c:pt>
                <c:pt idx="46">
                  <c:v>1.4376837305579926E-2</c:v>
                </c:pt>
                <c:pt idx="47">
                  <c:v>-8.7803938403112625E-3</c:v>
                </c:pt>
                <c:pt idx="48">
                  <c:v>1.3847643296637457E-2</c:v>
                </c:pt>
                <c:pt idx="49">
                  <c:v>-6.9812408347882382E-3</c:v>
                </c:pt>
                <c:pt idx="50">
                  <c:v>1.3280262078943394E-2</c:v>
                </c:pt>
                <c:pt idx="51">
                  <c:v>-5.3252247936566022E-3</c:v>
                </c:pt>
                <c:pt idx="52">
                  <c:v>1.2678610336427809E-2</c:v>
                </c:pt>
                <c:pt idx="53">
                  <c:v>-3.8021778415124885E-3</c:v>
                </c:pt>
                <c:pt idx="54">
                  <c:v>1.2046227757844363E-2</c:v>
                </c:pt>
                <c:pt idx="55">
                  <c:v>-2.4027788337601663E-3</c:v>
                </c:pt>
                <c:pt idx="56">
                  <c:v>1.1386317249836964E-2</c:v>
                </c:pt>
                <c:pt idx="57">
                  <c:v>-1.1184706092652874E-3</c:v>
                </c:pt>
                <c:pt idx="58">
                  <c:v>1.0701780332926347E-2</c:v>
                </c:pt>
                <c:pt idx="59">
                  <c:v>5.8613451058064925E-5</c:v>
                </c:pt>
                <c:pt idx="60">
                  <c:v>9.9952483528138458E-3</c:v>
                </c:pt>
                <c:pt idx="61">
                  <c:v>1.1357147333619366E-3</c:v>
                </c:pt>
                <c:pt idx="62">
                  <c:v>9.2691100696171702E-3</c:v>
                </c:pt>
                <c:pt idx="63">
                  <c:v>2.119507588268732E-3</c:v>
                </c:pt>
                <c:pt idx="64">
                  <c:v>8.5255360838978334E-3</c:v>
                </c:pt>
                <c:pt idx="65">
                  <c:v>3.0161512970448001E-3</c:v>
                </c:pt>
                <c:pt idx="66">
                  <c:v>7.7665005157534495E-3</c:v>
                </c:pt>
                <c:pt idx="67">
                  <c:v>3.831336554517506E-3</c:v>
                </c:pt>
                <c:pt idx="68">
                  <c:v>6.9938002709264424E-3</c:v>
                </c:pt>
                <c:pt idx="69">
                  <c:v>4.5703271264514456E-3</c:v>
                </c:pt>
                <c:pt idx="70">
                  <c:v>6.2090721982368535E-3</c:v>
                </c:pt>
                <c:pt idx="71">
                  <c:v>5.2379972459402069E-3</c:v>
                </c:pt>
                <c:pt idx="72">
                  <c:v>5.4138083961721151E-3</c:v>
                </c:pt>
                <c:pt idx="73">
                  <c:v>5.8388652422856069E-3</c:v>
                </c:pt>
                <c:pt idx="74">
                  <c:v>4.6093698865501409E-3</c:v>
                </c:pt>
                <c:pt idx="75">
                  <c:v>6.3771238335821323E-3</c:v>
                </c:pt>
                <c:pt idx="76">
                  <c:v>3.7969988555133227E-3</c:v>
                </c:pt>
                <c:pt idx="77">
                  <c:v>6.8566674537517969E-3</c:v>
                </c:pt>
                <c:pt idx="78">
                  <c:v>2.9778296203843979E-3</c:v>
                </c:pt>
                <c:pt idx="79">
                  <c:v>7.2811169437834167E-3</c:v>
                </c:pt>
                <c:pt idx="80">
                  <c:v>2.1528984826524322E-3</c:v>
                </c:pt>
                <c:pt idx="81">
                  <c:v>7.6538418944736009E-3</c:v>
                </c:pt>
                <c:pt idx="82">
                  <c:v>1.3231525739936245E-3</c:v>
                </c:pt>
                <c:pt idx="83">
                  <c:v>7.9779808964755006E-3</c:v>
                </c:pt>
                <c:pt idx="84">
                  <c:v>4.8945782897469314E-4</c:v>
                </c:pt>
                <c:pt idx="85">
                  <c:v>8.2564599103172043E-3</c:v>
                </c:pt>
                <c:pt idx="86">
                  <c:v>-3.4739383275628199E-4</c:v>
                </c:pt>
                <c:pt idx="87">
                  <c:v>8.4920089651667752E-3</c:v>
                </c:pt>
                <c:pt idx="88">
                  <c:v>-1.1866780200531224E-3</c:v>
                </c:pt>
                <c:pt idx="89">
                  <c:v>8.6871773519252571E-3</c:v>
                </c:pt>
                <c:pt idx="90">
                  <c:v>-2.0277320141985911E-3</c:v>
                </c:pt>
                <c:pt idx="91">
                  <c:v>8.8443474595525373E-3</c:v>
                </c:pt>
                <c:pt idx="92">
                  <c:v>-2.8699494655413105E-3</c:v>
                </c:pt>
                <c:pt idx="93">
                  <c:v>8.96574740170486E-3</c:v>
                </c:pt>
                <c:pt idx="94">
                  <c:v>-3.7127755888874958E-3</c:v>
                </c:pt>
                <c:pt idx="95">
                  <c:v>9.0534625491685006E-3</c:v>
                </c:pt>
                <c:pt idx="96">
                  <c:v>-4.555702810383977E-3</c:v>
                </c:pt>
                <c:pt idx="97">
                  <c:v>9.1094460710667846E-3</c:v>
                </c:pt>
                <c:pt idx="98">
                  <c:v>-5.3982668084469054E-3</c:v>
                </c:pt>
                <c:pt idx="99">
                  <c:v>9.1355285827443566E-3</c:v>
                </c:pt>
                <c:pt idx="100">
                  <c:v>-6.2400429241886712E-3</c:v>
                </c:pt>
                <c:pt idx="101">
                  <c:v>9.1334269950582581E-3</c:v>
                </c:pt>
                <c:pt idx="102">
                  <c:v>-7.0806428842420388E-3</c:v>
                </c:pt>
                <c:pt idx="103">
                  <c:v>9.1047526238448029E-3</c:v>
                </c:pt>
                <c:pt idx="104">
                  <c:v>-7.9197118298246494E-3</c:v>
                </c:pt>
                <c:pt idx="105">
                  <c:v>9.0510186422161354E-3</c:v>
                </c:pt>
                <c:pt idx="106">
                  <c:v>-8.7569255941932767E-3</c:v>
                </c:pt>
                <c:pt idx="107">
                  <c:v>8.9736469305918831E-3</c:v>
                </c:pt>
                <c:pt idx="108">
                  <c:v>-9.5919882288804104E-3</c:v>
                </c:pt>
                <c:pt idx="109">
                  <c:v>8.8739743771011348E-3</c:v>
                </c:pt>
                <c:pt idx="110">
                  <c:v>-9.044752148259505E-3</c:v>
                </c:pt>
                <c:pt idx="111">
                  <c:v>8.7532586884133678E-3</c:v>
                </c:pt>
                <c:pt idx="112">
                  <c:v>-8.0583242923832898E-3</c:v>
                </c:pt>
                <c:pt idx="113">
                  <c:v>8.6126837405338108E-3</c:v>
                </c:pt>
                <c:pt idx="114">
                  <c:v>-7.1224815416410792E-3</c:v>
                </c:pt>
                <c:pt idx="115">
                  <c:v>8.4533645146169789E-3</c:v>
                </c:pt>
                <c:pt idx="116">
                  <c:v>-6.2349742847853662E-3</c:v>
                </c:pt>
                <c:pt idx="117">
                  <c:v>8.2763516671189308E-3</c:v>
                </c:pt>
                <c:pt idx="118">
                  <c:v>-5.3936704528503299E-3</c:v>
                </c:pt>
                <c:pt idx="119">
                  <c:v>8.0826357403918081E-3</c:v>
                </c:pt>
                <c:pt idx="120">
                  <c:v>-4.5965482760976784E-3</c:v>
                </c:pt>
                <c:pt idx="121">
                  <c:v>7.8731510696830043E-3</c:v>
                </c:pt>
                <c:pt idx="122">
                  <c:v>-3.8416895553510244E-3</c:v>
                </c:pt>
                <c:pt idx="123">
                  <c:v>7.6487793967281448E-3</c:v>
                </c:pt>
                <c:pt idx="124">
                  <c:v>-3.1272734119802692E-3</c:v>
                </c:pt>
                <c:pt idx="125">
                  <c:v>7.4103532164944141E-3</c:v>
                </c:pt>
                <c:pt idx="126">
                  <c:v>-2.4515704653893522E-3</c:v>
                </c:pt>
                <c:pt idx="127">
                  <c:v>7.1586588870822254E-3</c:v>
                </c:pt>
                <c:pt idx="128">
                  <c:v>-1.8129374305679846E-3</c:v>
                </c:pt>
                <c:pt idx="129">
                  <c:v>6.8944395112673362E-3</c:v>
                </c:pt>
                <c:pt idx="130">
                  <c:v>-1.2098120627452857E-3</c:v>
                </c:pt>
                <c:pt idx="131">
                  <c:v>6.6183976168225911E-3</c:v>
                </c:pt>
                <c:pt idx="132">
                  <c:v>-6.4070847093411487E-4</c:v>
                </c:pt>
                <c:pt idx="133">
                  <c:v>6.3311976432078865E-3</c:v>
                </c:pt>
                <c:pt idx="134">
                  <c:v>-1.0421271978344748E-4</c:v>
                </c:pt>
                <c:pt idx="135">
                  <c:v>6.0334682614335833E-3</c:v>
                </c:pt>
                <c:pt idx="136">
                  <c:v>4.0102125781338316E-4</c:v>
                </c:pt>
                <c:pt idx="137">
                  <c:v>5.725804532858092E-3</c:v>
                </c:pt>
                <c:pt idx="138">
                  <c:v>8.7627548407276379E-4</c:v>
                </c:pt>
                <c:pt idx="139">
                  <c:v>5.4087699110407783E-3</c:v>
                </c:pt>
                <c:pt idx="140">
                  <c:v>1.3227715186410194E-3</c:v>
                </c:pt>
                <c:pt idx="141">
                  <c:v>5.0828981207668988E-3</c:v>
                </c:pt>
                <c:pt idx="142">
                  <c:v>1.7416737923401371E-3</c:v>
                </c:pt>
                <c:pt idx="143">
                  <c:v>4.7486949039043935E-3</c:v>
                </c:pt>
                <c:pt idx="144">
                  <c:v>2.1340927475765881E-3</c:v>
                </c:pt>
                <c:pt idx="145">
                  <c:v>4.4066396512043582E-3</c:v>
                </c:pt>
                <c:pt idx="146">
                  <c:v>2.5010877666247211E-3</c:v>
                </c:pt>
                <c:pt idx="147">
                  <c:v>4.0571869223953172E-3</c:v>
                </c:pt>
                <c:pt idx="148">
                  <c:v>2.8436699194589465E-3</c:v>
                </c:pt>
                <c:pt idx="149">
                  <c:v>3.7007678737328575E-3</c:v>
                </c:pt>
                <c:pt idx="150">
                  <c:v>3.1628045425087237E-3</c:v>
                </c:pt>
                <c:pt idx="151">
                  <c:v>3.3377915880787867E-3</c:v>
                </c:pt>
                <c:pt idx="152">
                  <c:v>3.4594136558894206E-3</c:v>
                </c:pt>
                <c:pt idx="153">
                  <c:v>2.9686463190401469E-3</c:v>
                </c:pt>
                <c:pt idx="154">
                  <c:v>3.7343782369028133E-3</c:v>
                </c:pt>
                <c:pt idx="155">
                  <c:v>2.593700661305931E-3</c:v>
                </c:pt>
                <c:pt idx="156">
                  <c:v>3.988540349913805E-3</c:v>
                </c:pt>
                <c:pt idx="157">
                  <c:v>2.2133046412999846E-3</c:v>
                </c:pt>
                <c:pt idx="158">
                  <c:v>4.2227051551630979E-3</c:v>
                </c:pt>
                <c:pt idx="159">
                  <c:v>1.8277907436115015E-3</c:v>
                </c:pt>
                <c:pt idx="160">
                  <c:v>4.4376427940200358E-3</c:v>
                </c:pt>
                <c:pt idx="161">
                  <c:v>1.4374748670356041E-3</c:v>
                </c:pt>
                <c:pt idx="162">
                  <c:v>4.6340901608559193E-3</c:v>
                </c:pt>
                <c:pt idx="163">
                  <c:v>1.0426572316752925E-3</c:v>
                </c:pt>
                <c:pt idx="164">
                  <c:v>4.812752579827162E-3</c:v>
                </c:pt>
                <c:pt idx="165">
                  <c:v>6.4362322320477006E-4</c:v>
                </c:pt>
                <c:pt idx="166">
                  <c:v>4.974305374986443E-3</c:v>
                </c:pt>
                <c:pt idx="167">
                  <c:v>2.406441859932329E-4</c:v>
                </c:pt>
                <c:pt idx="168">
                  <c:v>5.1193953561856631E-3</c:v>
                </c:pt>
                <c:pt idx="169">
                  <c:v>-1.6602182217972938E-4</c:v>
                </c:pt>
                <c:pt idx="170">
                  <c:v>5.2486422159745416E-3</c:v>
                </c:pt>
                <c:pt idx="171">
                  <c:v>-5.761293402208878E-4</c:v>
                </c:pt>
                <c:pt idx="172">
                  <c:v>5.3626398540913556E-3</c:v>
                </c:pt>
                <c:pt idx="173">
                  <c:v>-9.8944482860829908E-4</c:v>
                </c:pt>
                <c:pt idx="174">
                  <c:v>5.4619576158145833E-3</c:v>
                </c:pt>
                <c:pt idx="175">
                  <c:v>-1.4057460566299085E-3</c:v>
                </c:pt>
                <c:pt idx="176">
                  <c:v>5.5471414807417574E-3</c:v>
                </c:pt>
                <c:pt idx="177">
                  <c:v>-1.8248215158660486E-3</c:v>
                </c:pt>
                <c:pt idx="178">
                  <c:v>5.6187151629583099E-3</c:v>
                </c:pt>
                <c:pt idx="179">
                  <c:v>-2.2464698610722422E-3</c:v>
                </c:pt>
                <c:pt idx="180">
                  <c:v>5.677181165498979E-3</c:v>
                </c:pt>
                <c:pt idx="181">
                  <c:v>-2.6704993988637682E-3</c:v>
                </c:pt>
                <c:pt idx="182">
                  <c:v>5.72302177925188E-3</c:v>
                </c:pt>
                <c:pt idx="183">
                  <c:v>-3.096727593003834E-3</c:v>
                </c:pt>
                <c:pt idx="184">
                  <c:v>5.7567000186011796E-3</c:v>
                </c:pt>
                <c:pt idx="185">
                  <c:v>-3.5249806001047546E-3</c:v>
                </c:pt>
                <c:pt idx="186">
                  <c:v>5.7786605080583087E-3</c:v>
                </c:pt>
                <c:pt idx="187">
                  <c:v>-3.9550928345910563E-3</c:v>
                </c:pt>
                <c:pt idx="188">
                  <c:v>5.7893303331901791E-3</c:v>
                </c:pt>
                <c:pt idx="189">
                  <c:v>-4.3869065605210977E-3</c:v>
                </c:pt>
                <c:pt idx="190">
                  <c:v>5.7891198346933237E-3</c:v>
                </c:pt>
                <c:pt idx="191">
                  <c:v>-4.8202714937666258E-3</c:v>
                </c:pt>
                <c:pt idx="192">
                  <c:v>5.7784233633775273E-3</c:v>
                </c:pt>
                <c:pt idx="193">
                  <c:v>-5.2550444442243105E-3</c:v>
                </c:pt>
                <c:pt idx="194">
                  <c:v>5.7576200003772726E-3</c:v>
                </c:pt>
                <c:pt idx="195">
                  <c:v>-5.6910889568442258E-3</c:v>
                </c:pt>
                <c:pt idx="196">
                  <c:v>5.7270742344677217E-3</c:v>
                </c:pt>
                <c:pt idx="197">
                  <c:v>-6.1282749909636891E-3</c:v>
                </c:pt>
                <c:pt idx="198">
                  <c:v>5.6871366129289669E-3</c:v>
                </c:pt>
                <c:pt idx="199">
                  <c:v>-5.9366037758952217E-3</c:v>
                </c:pt>
                <c:pt idx="200">
                  <c:v>5.6381443461024361E-3</c:v>
                </c:pt>
                <c:pt idx="201">
                  <c:v>-5.4312132307856587E-3</c:v>
                </c:pt>
                <c:pt idx="202">
                  <c:v>5.5804219009090161E-3</c:v>
                </c:pt>
                <c:pt idx="203">
                  <c:v>-4.944619513217674E-3</c:v>
                </c:pt>
                <c:pt idx="204">
                  <c:v>5.5142815387281274E-3</c:v>
                </c:pt>
                <c:pt idx="205">
                  <c:v>-4.4762670536027116E-3</c:v>
                </c:pt>
                <c:pt idx="206">
                  <c:v>5.44002385433906E-3</c:v>
                </c:pt>
                <c:pt idx="207">
                  <c:v>-4.0256194492478414E-3</c:v>
                </c:pt>
                <c:pt idx="208">
                  <c:v>5.3579382694461941E-3</c:v>
                </c:pt>
                <c:pt idx="209">
                  <c:v>-3.5921586819540607E-3</c:v>
                </c:pt>
                <c:pt idx="210">
                  <c:v>5.2683035042804249E-3</c:v>
                </c:pt>
                <c:pt idx="211">
                  <c:v>-3.1753843698218986E-3</c:v>
                </c:pt>
                <c:pt idx="212">
                  <c:v>5.171388036247393E-3</c:v>
                </c:pt>
                <c:pt idx="213">
                  <c:v>-2.7748130656117809E-3</c:v>
                </c:pt>
                <c:pt idx="214">
                  <c:v>5.0674505244057144E-3</c:v>
                </c:pt>
                <c:pt idx="215">
                  <c:v>-2.3899775784066435E-3</c:v>
                </c:pt>
                <c:pt idx="216">
                  <c:v>4.9567402218215761E-3</c:v>
                </c:pt>
                <c:pt idx="217">
                  <c:v>-2.0204263267711298E-3</c:v>
                </c:pt>
                <c:pt idx="218">
                  <c:v>4.8394973628411719E-3</c:v>
                </c:pt>
                <c:pt idx="219">
                  <c:v>-1.6657227319925028E-3</c:v>
                </c:pt>
                <c:pt idx="220">
                  <c:v>4.7159535380174589E-3</c:v>
                </c:pt>
                <c:pt idx="221">
                  <c:v>-1.325444620018601E-3</c:v>
                </c:pt>
                <c:pt idx="222">
                  <c:v>4.5863320448162881E-3</c:v>
                </c:pt>
                <c:pt idx="223">
                  <c:v>-9.9918367405749109E-4</c:v>
                </c:pt>
                <c:pt idx="224">
                  <c:v>4.4508482217988643E-3</c:v>
                </c:pt>
                <c:pt idx="225">
                  <c:v>-6.8654489459518686E-4</c:v>
                </c:pt>
                <c:pt idx="226">
                  <c:v>4.3097097800934847E-3</c:v>
                </c:pt>
                <c:pt idx="227">
                  <c:v>-3.8714608216849911E-4</c:v>
                </c:pt>
                <c:pt idx="228">
                  <c:v>4.1631170996794253E-3</c:v>
                </c:pt>
                <c:pt idx="229">
                  <c:v>-1.0061736202437999E-4</c:v>
                </c:pt>
                <c:pt idx="230">
                  <c:v>4.0112635297422372E-3</c:v>
                </c:pt>
                <c:pt idx="231">
                  <c:v>1.7339929114079666E-4</c:v>
                </c:pt>
                <c:pt idx="232">
                  <c:v>3.8543356595468481E-3</c:v>
                </c:pt>
                <c:pt idx="233">
                  <c:v>4.3525049891002254E-4</c:v>
                </c:pt>
                <c:pt idx="234">
                  <c:v>3.6925135963574718E-3</c:v>
                </c:pt>
                <c:pt idx="235">
                  <c:v>6.8527189997702465E-4</c:v>
                </c:pt>
                <c:pt idx="236">
                  <c:v>3.5259712073916205E-3</c:v>
                </c:pt>
                <c:pt idx="237">
                  <c:v>9.237885621331543E-4</c:v>
                </c:pt>
                <c:pt idx="238">
                  <c:v>3.3548763775144153E-3</c:v>
                </c:pt>
                <c:pt idx="239">
                  <c:v>1.1511153769774296E-3</c:v>
                </c:pt>
                <c:pt idx="240">
                  <c:v>3.1793912248030409E-3</c:v>
                </c:pt>
                <c:pt idx="241">
                  <c:v>1.3675574228688703E-3</c:v>
                </c:pt>
                <c:pt idx="242">
                  <c:v>2.999672337026027E-3</c:v>
                </c:pt>
                <c:pt idx="243">
                  <c:v>1.5734103326963123E-3</c:v>
                </c:pt>
                <c:pt idx="244">
                  <c:v>2.8158709785284231E-3</c:v>
                </c:pt>
                <c:pt idx="245">
                  <c:v>1.7689606326758422E-3</c:v>
                </c:pt>
                <c:pt idx="246">
                  <c:v>2.6281332917292843E-3</c:v>
                </c:pt>
                <c:pt idx="247">
                  <c:v>1.954486068632022E-3</c:v>
                </c:pt>
                <c:pt idx="248">
                  <c:v>2.4366004922864448E-3</c:v>
                </c:pt>
                <c:pt idx="249">
                  <c:v>2.1302559259623877E-3</c:v>
                </c:pt>
                <c:pt idx="250">
                  <c:v>2.2414090580102908E-3</c:v>
                </c:pt>
                <c:pt idx="251">
                  <c:v>2.2965313287119926E-3</c:v>
                </c:pt>
                <c:pt idx="252">
                  <c:v>2.0426909038437913E-3</c:v>
                </c:pt>
                <c:pt idx="253">
                  <c:v>2.4535655243482779E-3</c:v>
                </c:pt>
                <c:pt idx="254">
                  <c:v>1.8405735536592971E-3</c:v>
                </c:pt>
                <c:pt idx="255">
                  <c:v>2.6016041702519033E-3</c:v>
                </c:pt>
                <c:pt idx="256">
                  <c:v>1.635180299322414E-3</c:v>
                </c:pt>
                <c:pt idx="257">
                  <c:v>2.7408855901409623E-3</c:v>
                </c:pt>
                <c:pt idx="258">
                  <c:v>1.4266303638752476E-3</c:v>
                </c:pt>
                <c:pt idx="259">
                  <c:v>2.8716410357443323E-3</c:v>
                </c:pt>
                <c:pt idx="260">
                  <c:v>1.2150390467535743E-3</c:v>
                </c:pt>
                <c:pt idx="261">
                  <c:v>2.9940949321609622E-3</c:v>
                </c:pt>
                <c:pt idx="262">
                  <c:v>1.0005178680323468E-3</c:v>
                </c:pt>
                <c:pt idx="263">
                  <c:v>3.1084651064645641E-3</c:v>
                </c:pt>
                <c:pt idx="264">
                  <c:v>7.8317470390310007E-4</c:v>
                </c:pt>
                <c:pt idx="265">
                  <c:v>3.2149630196158796E-3</c:v>
                </c:pt>
                <c:pt idx="266">
                  <c:v>5.6311392332375476E-4</c:v>
                </c:pt>
                <c:pt idx="267">
                  <c:v>3.3137939835246044E-3</c:v>
                </c:pt>
                <c:pt idx="268">
                  <c:v>3.4043651229431759E-4</c:v>
                </c:pt>
                <c:pt idx="269">
                  <c:v>3.405157365138578E-3</c:v>
                </c:pt>
                <c:pt idx="270">
                  <c:v>1.1524019189401713E-4</c:v>
                </c:pt>
                <c:pt idx="271">
                  <c:v>3.4892467872271737E-3</c:v>
                </c:pt>
                <c:pt idx="272">
                  <c:v>-1.1238046363182264E-4</c:v>
                </c:pt>
                <c:pt idx="273">
                  <c:v>3.5662503253028888E-3</c:v>
                </c:pt>
                <c:pt idx="274">
                  <c:v>-3.4233391264670843E-4</c:v>
                </c:pt>
                <c:pt idx="275">
                  <c:v>3.6363506900265463E-3</c:v>
                </c:pt>
                <c:pt idx="276">
                  <c:v>-5.7453153787001554E-4</c:v>
                </c:pt>
                <c:pt idx="277">
                  <c:v>3.6997254028587889E-3</c:v>
                </c:pt>
                <c:pt idx="278">
                  <c:v>-8.088875486969016E-4</c:v>
                </c:pt>
                <c:pt idx="279">
                  <c:v>3.7565469693099374E-3</c:v>
                </c:pt>
                <c:pt idx="280">
                  <c:v>-1.045318883546642E-3</c:v>
                </c:pt>
                <c:pt idx="281">
                  <c:v>3.8069830427822637E-3</c:v>
                </c:pt>
                <c:pt idx="282">
                  <c:v>-1.2837451070950578E-3</c:v>
                </c:pt>
                <c:pt idx="283">
                  <c:v>3.8511965859857611E-3</c:v>
                </c:pt>
                <c:pt idx="284">
                  <c:v>-1.5240883225366986E-3</c:v>
                </c:pt>
                <c:pt idx="285">
                  <c:v>3.8893460186013584E-3</c:v>
                </c:pt>
                <c:pt idx="286">
                  <c:v>-1.766273089794268E-3</c:v>
                </c:pt>
                <c:pt idx="287">
                  <c:v>3.9215853659158029E-3</c:v>
                </c:pt>
                <c:pt idx="288">
                  <c:v>-2.0102263312171686E-3</c:v>
                </c:pt>
                <c:pt idx="289">
                  <c:v>3.9480643974858509E-3</c:v>
                </c:pt>
                <c:pt idx="290">
                  <c:v>-2.2558772611258604E-3</c:v>
                </c:pt>
                <c:pt idx="291">
                  <c:v>3.9689287693001063E-3</c:v>
                </c:pt>
                <c:pt idx="292">
                  <c:v>-2.5031572949476555E-3</c:v>
                </c:pt>
                <c:pt idx="293">
                  <c:v>3.9843201526768013E-3</c:v>
                </c:pt>
                <c:pt idx="294">
                  <c:v>-2.7519999911387316E-3</c:v>
                </c:pt>
                <c:pt idx="295">
                  <c:v>3.9943763506506968E-3</c:v>
                </c:pt>
                <c:pt idx="296">
                  <c:v>-3.0023409636967813E-3</c:v>
                </c:pt>
                <c:pt idx="297">
                  <c:v>3.9992314390726591E-3</c:v>
                </c:pt>
                <c:pt idx="298">
                  <c:v>-3.2541178227543099E-3</c:v>
                </c:pt>
                <c:pt idx="299">
                  <c:v>3.9990158624778616E-3</c:v>
                </c:pt>
                <c:pt idx="300">
                  <c:v>-3.5072701027765163E-3</c:v>
                </c:pt>
                <c:pt idx="301">
                  <c:v>3.9938565578765406E-3</c:v>
                </c:pt>
                <c:pt idx="302">
                  <c:v>-3.7617392023836516E-3</c:v>
                </c:pt>
                <c:pt idx="303">
                  <c:v>3.9838770724429651E-3</c:v>
                </c:pt>
                <c:pt idx="304">
                  <c:v>-4.0174683177518489E-3</c:v>
                </c:pt>
                <c:pt idx="305">
                  <c:v>3.9691976460307643E-3</c:v>
                </c:pt>
                <c:pt idx="306">
                  <c:v>-4.274402387450138E-3</c:v>
                </c:pt>
                <c:pt idx="307">
                  <c:v>3.9499353311995833E-3</c:v>
                </c:pt>
                <c:pt idx="308">
                  <c:v>-4.1623194335773661E-3</c:v>
                </c:pt>
                <c:pt idx="309">
                  <c:v>3.926204085987095E-3</c:v>
                </c:pt>
                <c:pt idx="310">
                  <c:v>-3.8711129262267718E-3</c:v>
                </c:pt>
                <c:pt idx="311">
                  <c:v>3.8981148625953921E-3</c:v>
                </c:pt>
                <c:pt idx="312">
                  <c:v>-3.5882888170721827E-3</c:v>
                </c:pt>
                <c:pt idx="313">
                  <c:v>3.8657757084390454E-3</c:v>
                </c:pt>
                <c:pt idx="314">
                  <c:v>-3.3136706475129785E-3</c:v>
                </c:pt>
                <c:pt idx="315">
                  <c:v>3.8292918416527044E-3</c:v>
                </c:pt>
                <c:pt idx="316">
                  <c:v>-3.0470862600342485E-3</c:v>
                </c:pt>
                <c:pt idx="317">
                  <c:v>3.7887657444244383E-3</c:v>
                </c:pt>
                <c:pt idx="318">
                  <c:v>-2.7883676838591498E-3</c:v>
                </c:pt>
                <c:pt idx="319">
                  <c:v>3.74429724618075E-3</c:v>
                </c:pt>
                <c:pt idx="320">
                  <c:v>-2.5373510160946466E-3</c:v>
                </c:pt>
                <c:pt idx="321">
                  <c:v>3.6959835961258847E-3</c:v>
                </c:pt>
                <c:pt idx="322">
                  <c:v>-2.2938762925068801E-3</c:v>
                </c:pt>
                <c:pt idx="323">
                  <c:v>3.6439195404724956E-3</c:v>
                </c:pt>
                <c:pt idx="324">
                  <c:v>-2.0577873883720343E-3</c:v>
                </c:pt>
                <c:pt idx="325">
                  <c:v>3.5881974035838482E-3</c:v>
                </c:pt>
                <c:pt idx="326">
                  <c:v>-1.8289319044964003E-3</c:v>
                </c:pt>
                <c:pt idx="327">
                  <c:v>3.5289071454531751E-3</c:v>
                </c:pt>
                <c:pt idx="328">
                  <c:v>-1.6071610666106295E-3</c:v>
                </c:pt>
                <c:pt idx="329">
                  <c:v>3.4661364492158953E-3</c:v>
                </c:pt>
                <c:pt idx="330">
                  <c:v>-1.3923296188362855E-3</c:v>
                </c:pt>
                <c:pt idx="331">
                  <c:v>3.3999707669973844E-3</c:v>
                </c:pt>
                <c:pt idx="332">
                  <c:v>-1.1842957294980749E-3</c:v>
                </c:pt>
                <c:pt idx="333">
                  <c:v>3.330493404101631E-3</c:v>
                </c:pt>
                <c:pt idx="334">
                  <c:v>-9.8292089100304736E-4</c:v>
                </c:pt>
                <c:pt idx="335">
                  <c:v>3.2577855608373341E-3</c:v>
                </c:pt>
                <c:pt idx="336">
                  <c:v>-7.8806983590951063E-4</c:v>
                </c:pt>
                <c:pt idx="337">
                  <c:v>3.1819264138821524E-3</c:v>
                </c:pt>
                <c:pt idx="338">
                  <c:v>-5.9961044179779321E-4</c:v>
                </c:pt>
                <c:pt idx="339">
                  <c:v>3.1029931560908608E-3</c:v>
                </c:pt>
                <c:pt idx="340">
                  <c:v>-4.174136460743938E-4</c:v>
                </c:pt>
                <c:pt idx="341">
                  <c:v>3.021061066229791E-3</c:v>
                </c:pt>
                <c:pt idx="342">
                  <c:v>-2.4135337162434212E-4</c:v>
                </c:pt>
                <c:pt idx="343">
                  <c:v>2.9362035502344952E-3</c:v>
                </c:pt>
                <c:pt idx="344">
                  <c:v>-7.13064249922013E-5</c:v>
                </c:pt>
                <c:pt idx="345">
                  <c:v>2.8484922089742071E-3</c:v>
                </c:pt>
                <c:pt idx="346">
                  <c:v>9.2847555192676623E-5</c:v>
                </c:pt>
                <c:pt idx="347">
                  <c:v>2.7579968750330863E-3</c:v>
                </c:pt>
                <c:pt idx="348">
                  <c:v>2.512261957381412E-4</c:v>
                </c:pt>
                <c:pt idx="349">
                  <c:v>2.6647856755204202E-3</c:v>
                </c:pt>
                <c:pt idx="350">
                  <c:v>4.0394445174030125E-4</c:v>
                </c:pt>
                <c:pt idx="351">
                  <c:v>2.5689250641391936E-3</c:v>
                </c:pt>
                <c:pt idx="352">
                  <c:v>5.511146780996512E-4</c:v>
                </c:pt>
                <c:pt idx="353">
                  <c:v>2.4704798798360628E-3</c:v>
                </c:pt>
                <c:pt idx="354">
                  <c:v>6.928466970315128E-4</c:v>
                </c:pt>
                <c:pt idx="355">
                  <c:v>2.3695133908674393E-3</c:v>
                </c:pt>
                <c:pt idx="356">
                  <c:v>8.292478779559076E-4</c:v>
                </c:pt>
                <c:pt idx="357">
                  <c:v>2.2660873294508832E-3</c:v>
                </c:pt>
                <c:pt idx="358">
                  <c:v>9.6042317789546416E-4</c:v>
                </c:pt>
                <c:pt idx="359">
                  <c:v>2.1602619385152622E-3</c:v>
                </c:pt>
                <c:pt idx="360">
                  <c:v>1.0864752312222947E-3</c:v>
                </c:pt>
                <c:pt idx="361">
                  <c:v>2.0520960194421178E-3</c:v>
                </c:pt>
                <c:pt idx="362">
                  <c:v>1.2075043883559289E-3</c:v>
                </c:pt>
                <c:pt idx="363">
                  <c:v>1.9416469575244122E-3</c:v>
                </c:pt>
                <c:pt idx="364">
                  <c:v>1.323608791057751E-3</c:v>
                </c:pt>
                <c:pt idx="365">
                  <c:v>1.8289707709495673E-3</c:v>
                </c:pt>
                <c:pt idx="366">
                  <c:v>1.4348844154916662E-3</c:v>
                </c:pt>
                <c:pt idx="367">
                  <c:v>1.7141221458985001E-3</c:v>
                </c:pt>
                <c:pt idx="368">
                  <c:v>1.5414251426832948E-3</c:v>
                </c:pt>
                <c:pt idx="369">
                  <c:v>1.5971544658608394E-3</c:v>
                </c:pt>
                <c:pt idx="370">
                  <c:v>1.643322796125446E-3</c:v>
                </c:pt>
                <c:pt idx="371">
                  <c:v>1.4781198537505702E-3</c:v>
                </c:pt>
                <c:pt idx="372">
                  <c:v>1.7406672095159337E-3</c:v>
                </c:pt>
                <c:pt idx="373">
                  <c:v>1.3570692029976072E-3</c:v>
                </c:pt>
                <c:pt idx="374">
                  <c:v>1.8335462669956115E-3</c:v>
                </c:pt>
                <c:pt idx="375">
                  <c:v>1.2340522103997387E-3</c:v>
                </c:pt>
                <c:pt idx="376">
                  <c:v>1.9220459566202663E-3</c:v>
                </c:pt>
                <c:pt idx="377">
                  <c:v>1.1091174100759105E-3</c:v>
                </c:pt>
                <c:pt idx="378">
                  <c:v>2.0062504203135489E-3</c:v>
                </c:pt>
                <c:pt idx="379">
                  <c:v>9.8231219357458599E-4</c:v>
                </c:pt>
                <c:pt idx="380">
                  <c:v>2.0862419894331907E-3</c:v>
                </c:pt>
                <c:pt idx="381">
                  <c:v>8.5368285533782284E-4</c:v>
                </c:pt>
                <c:pt idx="382">
                  <c:v>2.1621012461388034E-3</c:v>
                </c:pt>
                <c:pt idx="383">
                  <c:v>7.2327461391807901E-4</c:v>
                </c:pt>
                <c:pt idx="384">
                  <c:v>2.2339070562633623E-3</c:v>
                </c:pt>
                <c:pt idx="385">
                  <c:v>5.9113163504953548E-4</c:v>
                </c:pt>
                <c:pt idx="386">
                  <c:v>2.3017366135107409E-3</c:v>
                </c:pt>
                <c:pt idx="387">
                  <c:v>4.5729706568131689E-4</c:v>
                </c:pt>
                <c:pt idx="388">
                  <c:v>2.3656654778996256E-3</c:v>
                </c:pt>
                <c:pt idx="389">
                  <c:v>3.2181306102430085E-4</c:v>
                </c:pt>
                <c:pt idx="390">
                  <c:v>2.4257676294130448E-3</c:v>
                </c:pt>
                <c:pt idx="391">
                  <c:v>1.8472080648379574E-4</c:v>
                </c:pt>
                <c:pt idx="392">
                  <c:v>2.4821154850549476E-3</c:v>
                </c:pt>
                <c:pt idx="393">
                  <c:v>4.6060541468051497E-5</c:v>
                </c:pt>
                <c:pt idx="394">
                  <c:v>2.5347799605590637E-3</c:v>
                </c:pt>
                <c:pt idx="395">
                  <c:v>-9.4128413312688508E-5</c:v>
                </c:pt>
                <c:pt idx="396">
                  <c:v>2.5838304839886916E-3</c:v>
                </c:pt>
                <c:pt idx="397">
                  <c:v>-2.3580763008546057E-4</c:v>
                </c:pt>
                <c:pt idx="398">
                  <c:v>2.6293350488586498E-3</c:v>
                </c:pt>
                <c:pt idx="399">
                  <c:v>-3.7893955671464141E-4</c:v>
                </c:pt>
                <c:pt idx="400">
                  <c:v>2.671360247768817E-3</c:v>
                </c:pt>
                <c:pt idx="401">
                  <c:v>-5.234874921580257E-4</c:v>
                </c:pt>
                <c:pt idx="402">
                  <c:v>2.7099712865883419E-3</c:v>
                </c:pt>
                <c:pt idx="403">
                  <c:v>-6.6941557151878328E-4</c:v>
                </c:pt>
                <c:pt idx="404">
                  <c:v>2.7452320490723991E-3</c:v>
                </c:pt>
                <c:pt idx="405">
                  <c:v>-8.1668872485707311E-4</c:v>
                </c:pt>
                <c:pt idx="406">
                  <c:v>2.7772050993544184E-3</c:v>
                </c:pt>
                <c:pt idx="407">
                  <c:v>-9.6527268425461443E-4</c:v>
                </c:pt>
                <c:pt idx="408">
                  <c:v>2.8059517300711434E-3</c:v>
                </c:pt>
                <c:pt idx="409">
                  <c:v>-1.1151339456816345E-3</c:v>
                </c:pt>
                <c:pt idx="410">
                  <c:v>2.831531987002478E-3</c:v>
                </c:pt>
                <c:pt idx="411">
                  <c:v>-1.2662397531109093E-3</c:v>
                </c:pt>
                <c:pt idx="412">
                  <c:v>2.8540047033374094E-3</c:v>
                </c:pt>
                <c:pt idx="413">
                  <c:v>-1.4185580862875469E-3</c:v>
                </c:pt>
                <c:pt idx="414">
                  <c:v>2.873427514815674E-3</c:v>
                </c:pt>
                <c:pt idx="415">
                  <c:v>-1.5720576324742552E-3</c:v>
                </c:pt>
                <c:pt idx="416">
                  <c:v>2.8898569070499036E-3</c:v>
                </c:pt>
                <c:pt idx="417">
                  <c:v>-1.7267077811951026E-3</c:v>
                </c:pt>
                <c:pt idx="418">
                  <c:v>2.9033482256561882E-3</c:v>
                </c:pt>
                <c:pt idx="419">
                  <c:v>-1.8824785989490778E-3</c:v>
                </c:pt>
                <c:pt idx="420">
                  <c:v>2.9139557105004599E-3</c:v>
                </c:pt>
                <c:pt idx="421">
                  <c:v>-2.0393408102155064E-3</c:v>
                </c:pt>
                <c:pt idx="422">
                  <c:v>2.9217325264117022E-3</c:v>
                </c:pt>
                <c:pt idx="423">
                  <c:v>-2.1972657885847013E-3</c:v>
                </c:pt>
                <c:pt idx="424">
                  <c:v>2.9267307691682731E-3</c:v>
                </c:pt>
                <c:pt idx="425">
                  <c:v>-2.3562255382820751E-3</c:v>
                </c:pt>
                <c:pt idx="426">
                  <c:v>2.9290015199325836E-3</c:v>
                </c:pt>
                <c:pt idx="427">
                  <c:v>-2.5161926782377719E-3</c:v>
                </c:pt>
                <c:pt idx="428">
                  <c:v>2.9285948338380052E-3</c:v>
                </c:pt>
                <c:pt idx="429">
                  <c:v>-2.6771404253533859E-3</c:v>
                </c:pt>
                <c:pt idx="430">
                  <c:v>2.9255597904374042E-3</c:v>
                </c:pt>
                <c:pt idx="431">
                  <c:v>-2.8390425862134805E-3</c:v>
                </c:pt>
                <c:pt idx="432">
                  <c:v>2.9199445036756089E-3</c:v>
                </c:pt>
                <c:pt idx="433">
                  <c:v>-3.0018735357550952E-3</c:v>
                </c:pt>
                <c:pt idx="434">
                  <c:v>2.9117961483962063E-3</c:v>
                </c:pt>
                <c:pt idx="435">
                  <c:v>-3.1656082081745751E-3</c:v>
                </c:pt>
                <c:pt idx="436">
                  <c:v>2.9011609793077042E-3</c:v>
                </c:pt>
                <c:pt idx="437">
                  <c:v>-3.0613917641613142E-3</c:v>
                </c:pt>
                <c:pt idx="438">
                  <c:v>2.8880843490330932E-3</c:v>
                </c:pt>
                <c:pt idx="439">
                  <c:v>-2.8791128804321886E-3</c:v>
                </c:pt>
                <c:pt idx="440">
                  <c:v>2.8726107335934614E-3</c:v>
                </c:pt>
                <c:pt idx="441">
                  <c:v>-2.7010811712706584E-3</c:v>
                </c:pt>
                <c:pt idx="442">
                  <c:v>2.8547837447820967E-3</c:v>
                </c:pt>
                <c:pt idx="443">
                  <c:v>-2.5272297221548001E-3</c:v>
                </c:pt>
                <c:pt idx="444">
                  <c:v>2.8346461589663363E-3</c:v>
                </c:pt>
                <c:pt idx="445">
                  <c:v>-2.3574928362322112E-3</c:v>
                </c:pt>
                <c:pt idx="446">
                  <c:v>2.8122399367607187E-3</c:v>
                </c:pt>
                <c:pt idx="447">
                  <c:v>-2.19180601119362E-3</c:v>
                </c:pt>
                <c:pt idx="448">
                  <c:v>2.7876062190763662E-3</c:v>
                </c:pt>
                <c:pt idx="449">
                  <c:v>-2.0301058995961796E-3</c:v>
                </c:pt>
                <c:pt idx="450">
                  <c:v>2.7607853730629017E-3</c:v>
                </c:pt>
              </c:numCache>
            </c:numRef>
          </c:val>
          <c:smooth val="0"/>
          <c:extLst>
            <c:ext xmlns:c16="http://schemas.microsoft.com/office/drawing/2014/chart" uri="{C3380CC4-5D6E-409C-BE32-E72D297353CC}">
              <c16:uniqueId val="{00000000-3CCA-004A-BD3A-80A426FD0922}"/>
            </c:ext>
          </c:extLst>
        </c:ser>
        <c:dLbls>
          <c:showLegendKey val="0"/>
          <c:showVal val="0"/>
          <c:showCatName val="0"/>
          <c:showSerName val="0"/>
          <c:showPercent val="0"/>
          <c:showBubbleSize val="0"/>
        </c:dLbls>
        <c:smooth val="0"/>
        <c:axId val="1906011087"/>
        <c:axId val="1"/>
      </c:lineChart>
      <c:catAx>
        <c:axId val="1906011087"/>
        <c:scaling>
          <c:orientation val="minMax"/>
        </c:scaling>
        <c:delete val="0"/>
        <c:axPos val="b"/>
        <c:numFmt formatCode="General" sourceLinked="1"/>
        <c:majorTickMark val="none"/>
        <c:minorTickMark val="none"/>
        <c:tickLblPos val="nextTo"/>
        <c:spPr>
          <a:ln w="3175">
            <a:solidFill>
              <a:srgbClr val="C0C0C0"/>
            </a:solidFill>
            <a:prstDash val="solid"/>
          </a:ln>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3175">
              <a:solidFill>
                <a:srgbClr val="C0C0C0"/>
              </a:solidFill>
              <a:prstDash val="solid"/>
            </a:ln>
          </c:spPr>
        </c:majorGridlines>
        <c:numFmt formatCode="0.00000000_);\(0.00000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906011087"/>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lineChart>
        <c:grouping val="standard"/>
        <c:varyColors val="0"/>
        <c:ser>
          <c:idx val="0"/>
          <c:order val="0"/>
          <c:tx>
            <c:strRef>
              <c:f>'European RB'!$F$1</c:f>
              <c:strCache>
                <c:ptCount val="1"/>
                <c:pt idx="0">
                  <c:v>Error RB</c:v>
                </c:pt>
              </c:strCache>
            </c:strRef>
          </c:tx>
          <c:spPr>
            <a:ln w="25400">
              <a:solidFill>
                <a:srgbClr val="666699"/>
              </a:solidFill>
              <a:prstDash val="solid"/>
            </a:ln>
          </c:spPr>
          <c:marker>
            <c:symbol val="none"/>
          </c:marker>
          <c:cat>
            <c:numRef>
              <c:f>'European RB'!$D$2:$D$452</c:f>
              <c:numCache>
                <c:formatCode>General</c:formatCode>
                <c:ptCount val="451"/>
                <c:pt idx="0">
                  <c:v>50</c:v>
                </c:pt>
                <c:pt idx="1">
                  <c:v>51</c:v>
                </c:pt>
                <c:pt idx="2">
                  <c:v>52</c:v>
                </c:pt>
                <c:pt idx="3">
                  <c:v>53</c:v>
                </c:pt>
                <c:pt idx="4">
                  <c:v>54</c:v>
                </c:pt>
                <c:pt idx="5">
                  <c:v>55</c:v>
                </c:pt>
                <c:pt idx="6">
                  <c:v>56</c:v>
                </c:pt>
                <c:pt idx="7">
                  <c:v>57</c:v>
                </c:pt>
                <c:pt idx="8">
                  <c:v>58</c:v>
                </c:pt>
                <c:pt idx="9">
                  <c:v>59</c:v>
                </c:pt>
                <c:pt idx="10">
                  <c:v>60</c:v>
                </c:pt>
                <c:pt idx="11">
                  <c:v>61</c:v>
                </c:pt>
                <c:pt idx="12">
                  <c:v>62</c:v>
                </c:pt>
                <c:pt idx="13">
                  <c:v>63</c:v>
                </c:pt>
                <c:pt idx="14">
                  <c:v>64</c:v>
                </c:pt>
                <c:pt idx="15">
                  <c:v>65</c:v>
                </c:pt>
                <c:pt idx="16">
                  <c:v>66</c:v>
                </c:pt>
                <c:pt idx="17">
                  <c:v>67</c:v>
                </c:pt>
                <c:pt idx="18">
                  <c:v>68</c:v>
                </c:pt>
                <c:pt idx="19">
                  <c:v>69</c:v>
                </c:pt>
                <c:pt idx="20">
                  <c:v>70</c:v>
                </c:pt>
                <c:pt idx="21">
                  <c:v>71</c:v>
                </c:pt>
                <c:pt idx="22">
                  <c:v>72</c:v>
                </c:pt>
                <c:pt idx="23">
                  <c:v>73</c:v>
                </c:pt>
                <c:pt idx="24">
                  <c:v>74</c:v>
                </c:pt>
                <c:pt idx="25">
                  <c:v>75</c:v>
                </c:pt>
                <c:pt idx="26">
                  <c:v>76</c:v>
                </c:pt>
                <c:pt idx="27">
                  <c:v>77</c:v>
                </c:pt>
                <c:pt idx="28">
                  <c:v>78</c:v>
                </c:pt>
                <c:pt idx="29">
                  <c:v>79</c:v>
                </c:pt>
                <c:pt idx="30">
                  <c:v>80</c:v>
                </c:pt>
                <c:pt idx="31">
                  <c:v>81</c:v>
                </c:pt>
                <c:pt idx="32">
                  <c:v>82</c:v>
                </c:pt>
                <c:pt idx="33">
                  <c:v>83</c:v>
                </c:pt>
                <c:pt idx="34">
                  <c:v>84</c:v>
                </c:pt>
                <c:pt idx="35">
                  <c:v>85</c:v>
                </c:pt>
                <c:pt idx="36">
                  <c:v>86</c:v>
                </c:pt>
                <c:pt idx="37">
                  <c:v>87</c:v>
                </c:pt>
                <c:pt idx="38">
                  <c:v>88</c:v>
                </c:pt>
                <c:pt idx="39">
                  <c:v>89</c:v>
                </c:pt>
                <c:pt idx="40">
                  <c:v>90</c:v>
                </c:pt>
                <c:pt idx="41">
                  <c:v>91</c:v>
                </c:pt>
                <c:pt idx="42">
                  <c:v>92</c:v>
                </c:pt>
                <c:pt idx="43">
                  <c:v>93</c:v>
                </c:pt>
                <c:pt idx="44">
                  <c:v>94</c:v>
                </c:pt>
                <c:pt idx="45">
                  <c:v>95</c:v>
                </c:pt>
                <c:pt idx="46">
                  <c:v>96</c:v>
                </c:pt>
                <c:pt idx="47">
                  <c:v>97</c:v>
                </c:pt>
                <c:pt idx="48">
                  <c:v>98</c:v>
                </c:pt>
                <c:pt idx="49">
                  <c:v>99</c:v>
                </c:pt>
                <c:pt idx="50">
                  <c:v>100</c:v>
                </c:pt>
                <c:pt idx="51">
                  <c:v>101</c:v>
                </c:pt>
                <c:pt idx="52">
                  <c:v>102</c:v>
                </c:pt>
                <c:pt idx="53">
                  <c:v>103</c:v>
                </c:pt>
                <c:pt idx="54">
                  <c:v>104</c:v>
                </c:pt>
                <c:pt idx="55">
                  <c:v>105</c:v>
                </c:pt>
                <c:pt idx="56">
                  <c:v>106</c:v>
                </c:pt>
                <c:pt idx="57">
                  <c:v>107</c:v>
                </c:pt>
                <c:pt idx="58">
                  <c:v>108</c:v>
                </c:pt>
                <c:pt idx="59">
                  <c:v>109</c:v>
                </c:pt>
                <c:pt idx="60">
                  <c:v>110</c:v>
                </c:pt>
                <c:pt idx="61">
                  <c:v>111</c:v>
                </c:pt>
                <c:pt idx="62">
                  <c:v>112</c:v>
                </c:pt>
                <c:pt idx="63">
                  <c:v>113</c:v>
                </c:pt>
                <c:pt idx="64">
                  <c:v>114</c:v>
                </c:pt>
                <c:pt idx="65">
                  <c:v>115</c:v>
                </c:pt>
                <c:pt idx="66">
                  <c:v>116</c:v>
                </c:pt>
                <c:pt idx="67">
                  <c:v>117</c:v>
                </c:pt>
                <c:pt idx="68">
                  <c:v>118</c:v>
                </c:pt>
                <c:pt idx="69">
                  <c:v>119</c:v>
                </c:pt>
                <c:pt idx="70">
                  <c:v>120</c:v>
                </c:pt>
                <c:pt idx="71">
                  <c:v>121</c:v>
                </c:pt>
                <c:pt idx="72">
                  <c:v>122</c:v>
                </c:pt>
                <c:pt idx="73">
                  <c:v>123</c:v>
                </c:pt>
                <c:pt idx="74">
                  <c:v>124</c:v>
                </c:pt>
                <c:pt idx="75">
                  <c:v>125</c:v>
                </c:pt>
                <c:pt idx="76">
                  <c:v>126</c:v>
                </c:pt>
                <c:pt idx="77">
                  <c:v>127</c:v>
                </c:pt>
                <c:pt idx="78">
                  <c:v>128</c:v>
                </c:pt>
                <c:pt idx="79">
                  <c:v>129</c:v>
                </c:pt>
                <c:pt idx="80">
                  <c:v>130</c:v>
                </c:pt>
                <c:pt idx="81">
                  <c:v>131</c:v>
                </c:pt>
                <c:pt idx="82">
                  <c:v>132</c:v>
                </c:pt>
                <c:pt idx="83">
                  <c:v>133</c:v>
                </c:pt>
                <c:pt idx="84">
                  <c:v>134</c:v>
                </c:pt>
                <c:pt idx="85">
                  <c:v>135</c:v>
                </c:pt>
                <c:pt idx="86">
                  <c:v>136</c:v>
                </c:pt>
                <c:pt idx="87">
                  <c:v>137</c:v>
                </c:pt>
                <c:pt idx="88">
                  <c:v>138</c:v>
                </c:pt>
                <c:pt idx="89">
                  <c:v>139</c:v>
                </c:pt>
                <c:pt idx="90">
                  <c:v>140</c:v>
                </c:pt>
                <c:pt idx="91">
                  <c:v>141</c:v>
                </c:pt>
                <c:pt idx="92">
                  <c:v>142</c:v>
                </c:pt>
                <c:pt idx="93">
                  <c:v>143</c:v>
                </c:pt>
                <c:pt idx="94">
                  <c:v>144</c:v>
                </c:pt>
                <c:pt idx="95">
                  <c:v>145</c:v>
                </c:pt>
                <c:pt idx="96">
                  <c:v>146</c:v>
                </c:pt>
                <c:pt idx="97">
                  <c:v>147</c:v>
                </c:pt>
                <c:pt idx="98">
                  <c:v>148</c:v>
                </c:pt>
                <c:pt idx="99">
                  <c:v>149</c:v>
                </c:pt>
                <c:pt idx="100">
                  <c:v>150</c:v>
                </c:pt>
                <c:pt idx="101">
                  <c:v>151</c:v>
                </c:pt>
                <c:pt idx="102">
                  <c:v>152</c:v>
                </c:pt>
                <c:pt idx="103">
                  <c:v>153</c:v>
                </c:pt>
                <c:pt idx="104">
                  <c:v>154</c:v>
                </c:pt>
                <c:pt idx="105">
                  <c:v>155</c:v>
                </c:pt>
                <c:pt idx="106">
                  <c:v>156</c:v>
                </c:pt>
                <c:pt idx="107">
                  <c:v>157</c:v>
                </c:pt>
                <c:pt idx="108">
                  <c:v>158</c:v>
                </c:pt>
                <c:pt idx="109">
                  <c:v>159</c:v>
                </c:pt>
                <c:pt idx="110">
                  <c:v>160</c:v>
                </c:pt>
                <c:pt idx="111">
                  <c:v>161</c:v>
                </c:pt>
                <c:pt idx="112">
                  <c:v>162</c:v>
                </c:pt>
                <c:pt idx="113">
                  <c:v>163</c:v>
                </c:pt>
                <c:pt idx="114">
                  <c:v>164</c:v>
                </c:pt>
                <c:pt idx="115">
                  <c:v>165</c:v>
                </c:pt>
                <c:pt idx="116">
                  <c:v>166</c:v>
                </c:pt>
                <c:pt idx="117">
                  <c:v>167</c:v>
                </c:pt>
                <c:pt idx="118">
                  <c:v>168</c:v>
                </c:pt>
                <c:pt idx="119">
                  <c:v>169</c:v>
                </c:pt>
                <c:pt idx="120">
                  <c:v>170</c:v>
                </c:pt>
                <c:pt idx="121">
                  <c:v>171</c:v>
                </c:pt>
                <c:pt idx="122">
                  <c:v>172</c:v>
                </c:pt>
                <c:pt idx="123">
                  <c:v>173</c:v>
                </c:pt>
                <c:pt idx="124">
                  <c:v>174</c:v>
                </c:pt>
                <c:pt idx="125">
                  <c:v>175</c:v>
                </c:pt>
                <c:pt idx="126">
                  <c:v>176</c:v>
                </c:pt>
                <c:pt idx="127">
                  <c:v>177</c:v>
                </c:pt>
                <c:pt idx="128">
                  <c:v>178</c:v>
                </c:pt>
                <c:pt idx="129">
                  <c:v>179</c:v>
                </c:pt>
                <c:pt idx="130">
                  <c:v>180</c:v>
                </c:pt>
                <c:pt idx="131">
                  <c:v>181</c:v>
                </c:pt>
                <c:pt idx="132">
                  <c:v>182</c:v>
                </c:pt>
                <c:pt idx="133">
                  <c:v>183</c:v>
                </c:pt>
                <c:pt idx="134">
                  <c:v>184</c:v>
                </c:pt>
                <c:pt idx="135">
                  <c:v>185</c:v>
                </c:pt>
                <c:pt idx="136">
                  <c:v>186</c:v>
                </c:pt>
                <c:pt idx="137">
                  <c:v>187</c:v>
                </c:pt>
                <c:pt idx="138">
                  <c:v>188</c:v>
                </c:pt>
                <c:pt idx="139">
                  <c:v>189</c:v>
                </c:pt>
                <c:pt idx="140">
                  <c:v>190</c:v>
                </c:pt>
                <c:pt idx="141">
                  <c:v>191</c:v>
                </c:pt>
                <c:pt idx="142">
                  <c:v>192</c:v>
                </c:pt>
                <c:pt idx="143">
                  <c:v>193</c:v>
                </c:pt>
                <c:pt idx="144">
                  <c:v>194</c:v>
                </c:pt>
                <c:pt idx="145">
                  <c:v>195</c:v>
                </c:pt>
                <c:pt idx="146">
                  <c:v>196</c:v>
                </c:pt>
                <c:pt idx="147">
                  <c:v>197</c:v>
                </c:pt>
                <c:pt idx="148">
                  <c:v>198</c:v>
                </c:pt>
                <c:pt idx="149">
                  <c:v>199</c:v>
                </c:pt>
                <c:pt idx="150">
                  <c:v>200</c:v>
                </c:pt>
                <c:pt idx="151">
                  <c:v>201</c:v>
                </c:pt>
                <c:pt idx="152">
                  <c:v>202</c:v>
                </c:pt>
                <c:pt idx="153">
                  <c:v>203</c:v>
                </c:pt>
                <c:pt idx="154">
                  <c:v>204</c:v>
                </c:pt>
                <c:pt idx="155">
                  <c:v>205</c:v>
                </c:pt>
                <c:pt idx="156">
                  <c:v>206</c:v>
                </c:pt>
                <c:pt idx="157">
                  <c:v>207</c:v>
                </c:pt>
                <c:pt idx="158">
                  <c:v>208</c:v>
                </c:pt>
                <c:pt idx="159">
                  <c:v>209</c:v>
                </c:pt>
                <c:pt idx="160">
                  <c:v>210</c:v>
                </c:pt>
                <c:pt idx="161">
                  <c:v>211</c:v>
                </c:pt>
                <c:pt idx="162">
                  <c:v>212</c:v>
                </c:pt>
                <c:pt idx="163">
                  <c:v>213</c:v>
                </c:pt>
                <c:pt idx="164">
                  <c:v>214</c:v>
                </c:pt>
                <c:pt idx="165">
                  <c:v>215</c:v>
                </c:pt>
                <c:pt idx="166">
                  <c:v>216</c:v>
                </c:pt>
                <c:pt idx="167">
                  <c:v>217</c:v>
                </c:pt>
                <c:pt idx="168">
                  <c:v>218</c:v>
                </c:pt>
                <c:pt idx="169">
                  <c:v>219</c:v>
                </c:pt>
                <c:pt idx="170">
                  <c:v>220</c:v>
                </c:pt>
                <c:pt idx="171">
                  <c:v>221</c:v>
                </c:pt>
                <c:pt idx="172">
                  <c:v>222</c:v>
                </c:pt>
                <c:pt idx="173">
                  <c:v>223</c:v>
                </c:pt>
                <c:pt idx="174">
                  <c:v>224</c:v>
                </c:pt>
                <c:pt idx="175">
                  <c:v>225</c:v>
                </c:pt>
                <c:pt idx="176">
                  <c:v>226</c:v>
                </c:pt>
                <c:pt idx="177">
                  <c:v>227</c:v>
                </c:pt>
                <c:pt idx="178">
                  <c:v>228</c:v>
                </c:pt>
                <c:pt idx="179">
                  <c:v>229</c:v>
                </c:pt>
                <c:pt idx="180">
                  <c:v>230</c:v>
                </c:pt>
                <c:pt idx="181">
                  <c:v>231</c:v>
                </c:pt>
                <c:pt idx="182">
                  <c:v>232</c:v>
                </c:pt>
                <c:pt idx="183">
                  <c:v>233</c:v>
                </c:pt>
                <c:pt idx="184">
                  <c:v>234</c:v>
                </c:pt>
                <c:pt idx="185">
                  <c:v>235</c:v>
                </c:pt>
                <c:pt idx="186">
                  <c:v>236</c:v>
                </c:pt>
                <c:pt idx="187">
                  <c:v>237</c:v>
                </c:pt>
                <c:pt idx="188">
                  <c:v>238</c:v>
                </c:pt>
                <c:pt idx="189">
                  <c:v>239</c:v>
                </c:pt>
                <c:pt idx="190">
                  <c:v>240</c:v>
                </c:pt>
                <c:pt idx="191">
                  <c:v>241</c:v>
                </c:pt>
                <c:pt idx="192">
                  <c:v>242</c:v>
                </c:pt>
                <c:pt idx="193">
                  <c:v>243</c:v>
                </c:pt>
                <c:pt idx="194">
                  <c:v>244</c:v>
                </c:pt>
                <c:pt idx="195">
                  <c:v>245</c:v>
                </c:pt>
                <c:pt idx="196">
                  <c:v>246</c:v>
                </c:pt>
                <c:pt idx="197">
                  <c:v>247</c:v>
                </c:pt>
                <c:pt idx="198">
                  <c:v>248</c:v>
                </c:pt>
                <c:pt idx="199">
                  <c:v>249</c:v>
                </c:pt>
                <c:pt idx="200">
                  <c:v>250</c:v>
                </c:pt>
                <c:pt idx="201">
                  <c:v>251</c:v>
                </c:pt>
                <c:pt idx="202">
                  <c:v>252</c:v>
                </c:pt>
                <c:pt idx="203">
                  <c:v>253</c:v>
                </c:pt>
                <c:pt idx="204">
                  <c:v>254</c:v>
                </c:pt>
                <c:pt idx="205">
                  <c:v>255</c:v>
                </c:pt>
                <c:pt idx="206">
                  <c:v>256</c:v>
                </c:pt>
                <c:pt idx="207">
                  <c:v>257</c:v>
                </c:pt>
                <c:pt idx="208">
                  <c:v>258</c:v>
                </c:pt>
                <c:pt idx="209">
                  <c:v>259</c:v>
                </c:pt>
                <c:pt idx="210">
                  <c:v>260</c:v>
                </c:pt>
                <c:pt idx="211">
                  <c:v>261</c:v>
                </c:pt>
                <c:pt idx="212">
                  <c:v>262</c:v>
                </c:pt>
                <c:pt idx="213">
                  <c:v>263</c:v>
                </c:pt>
                <c:pt idx="214">
                  <c:v>264</c:v>
                </c:pt>
                <c:pt idx="215">
                  <c:v>265</c:v>
                </c:pt>
                <c:pt idx="216">
                  <c:v>266</c:v>
                </c:pt>
                <c:pt idx="217">
                  <c:v>267</c:v>
                </c:pt>
                <c:pt idx="218">
                  <c:v>268</c:v>
                </c:pt>
                <c:pt idx="219">
                  <c:v>269</c:v>
                </c:pt>
                <c:pt idx="220">
                  <c:v>270</c:v>
                </c:pt>
                <c:pt idx="221">
                  <c:v>271</c:v>
                </c:pt>
                <c:pt idx="222">
                  <c:v>272</c:v>
                </c:pt>
                <c:pt idx="223">
                  <c:v>273</c:v>
                </c:pt>
                <c:pt idx="224">
                  <c:v>274</c:v>
                </c:pt>
                <c:pt idx="225">
                  <c:v>275</c:v>
                </c:pt>
                <c:pt idx="226">
                  <c:v>276</c:v>
                </c:pt>
                <c:pt idx="227">
                  <c:v>277</c:v>
                </c:pt>
                <c:pt idx="228">
                  <c:v>278</c:v>
                </c:pt>
                <c:pt idx="229">
                  <c:v>279</c:v>
                </c:pt>
                <c:pt idx="230">
                  <c:v>280</c:v>
                </c:pt>
                <c:pt idx="231">
                  <c:v>281</c:v>
                </c:pt>
                <c:pt idx="232">
                  <c:v>282</c:v>
                </c:pt>
                <c:pt idx="233">
                  <c:v>283</c:v>
                </c:pt>
                <c:pt idx="234">
                  <c:v>284</c:v>
                </c:pt>
                <c:pt idx="235">
                  <c:v>285</c:v>
                </c:pt>
                <c:pt idx="236">
                  <c:v>286</c:v>
                </c:pt>
                <c:pt idx="237">
                  <c:v>287</c:v>
                </c:pt>
                <c:pt idx="238">
                  <c:v>288</c:v>
                </c:pt>
                <c:pt idx="239">
                  <c:v>289</c:v>
                </c:pt>
                <c:pt idx="240">
                  <c:v>290</c:v>
                </c:pt>
                <c:pt idx="241">
                  <c:v>291</c:v>
                </c:pt>
                <c:pt idx="242">
                  <c:v>292</c:v>
                </c:pt>
                <c:pt idx="243">
                  <c:v>293</c:v>
                </c:pt>
                <c:pt idx="244">
                  <c:v>294</c:v>
                </c:pt>
                <c:pt idx="245">
                  <c:v>295</c:v>
                </c:pt>
                <c:pt idx="246">
                  <c:v>296</c:v>
                </c:pt>
                <c:pt idx="247">
                  <c:v>297</c:v>
                </c:pt>
                <c:pt idx="248">
                  <c:v>298</c:v>
                </c:pt>
                <c:pt idx="249">
                  <c:v>299</c:v>
                </c:pt>
                <c:pt idx="250">
                  <c:v>300</c:v>
                </c:pt>
                <c:pt idx="251">
                  <c:v>301</c:v>
                </c:pt>
                <c:pt idx="252">
                  <c:v>302</c:v>
                </c:pt>
                <c:pt idx="253">
                  <c:v>303</c:v>
                </c:pt>
                <c:pt idx="254">
                  <c:v>304</c:v>
                </c:pt>
                <c:pt idx="255">
                  <c:v>305</c:v>
                </c:pt>
                <c:pt idx="256">
                  <c:v>306</c:v>
                </c:pt>
                <c:pt idx="257">
                  <c:v>307</c:v>
                </c:pt>
                <c:pt idx="258">
                  <c:v>308</c:v>
                </c:pt>
                <c:pt idx="259">
                  <c:v>309</c:v>
                </c:pt>
                <c:pt idx="260">
                  <c:v>310</c:v>
                </c:pt>
                <c:pt idx="261">
                  <c:v>311</c:v>
                </c:pt>
                <c:pt idx="262">
                  <c:v>312</c:v>
                </c:pt>
                <c:pt idx="263">
                  <c:v>313</c:v>
                </c:pt>
                <c:pt idx="264">
                  <c:v>314</c:v>
                </c:pt>
                <c:pt idx="265">
                  <c:v>315</c:v>
                </c:pt>
                <c:pt idx="266">
                  <c:v>316</c:v>
                </c:pt>
                <c:pt idx="267">
                  <c:v>317</c:v>
                </c:pt>
                <c:pt idx="268">
                  <c:v>318</c:v>
                </c:pt>
                <c:pt idx="269">
                  <c:v>319</c:v>
                </c:pt>
                <c:pt idx="270">
                  <c:v>320</c:v>
                </c:pt>
                <c:pt idx="271">
                  <c:v>321</c:v>
                </c:pt>
                <c:pt idx="272">
                  <c:v>322</c:v>
                </c:pt>
                <c:pt idx="273">
                  <c:v>323</c:v>
                </c:pt>
                <c:pt idx="274">
                  <c:v>324</c:v>
                </c:pt>
                <c:pt idx="275">
                  <c:v>325</c:v>
                </c:pt>
                <c:pt idx="276">
                  <c:v>326</c:v>
                </c:pt>
                <c:pt idx="277">
                  <c:v>327</c:v>
                </c:pt>
                <c:pt idx="278">
                  <c:v>328</c:v>
                </c:pt>
                <c:pt idx="279">
                  <c:v>329</c:v>
                </c:pt>
                <c:pt idx="280">
                  <c:v>330</c:v>
                </c:pt>
                <c:pt idx="281">
                  <c:v>331</c:v>
                </c:pt>
                <c:pt idx="282">
                  <c:v>332</c:v>
                </c:pt>
                <c:pt idx="283">
                  <c:v>333</c:v>
                </c:pt>
                <c:pt idx="284">
                  <c:v>334</c:v>
                </c:pt>
                <c:pt idx="285">
                  <c:v>335</c:v>
                </c:pt>
                <c:pt idx="286">
                  <c:v>336</c:v>
                </c:pt>
                <c:pt idx="287">
                  <c:v>337</c:v>
                </c:pt>
                <c:pt idx="288">
                  <c:v>338</c:v>
                </c:pt>
                <c:pt idx="289">
                  <c:v>339</c:v>
                </c:pt>
                <c:pt idx="290">
                  <c:v>340</c:v>
                </c:pt>
                <c:pt idx="291">
                  <c:v>341</c:v>
                </c:pt>
                <c:pt idx="292">
                  <c:v>342</c:v>
                </c:pt>
                <c:pt idx="293">
                  <c:v>343</c:v>
                </c:pt>
                <c:pt idx="294">
                  <c:v>344</c:v>
                </c:pt>
                <c:pt idx="295">
                  <c:v>345</c:v>
                </c:pt>
                <c:pt idx="296">
                  <c:v>346</c:v>
                </c:pt>
                <c:pt idx="297">
                  <c:v>347</c:v>
                </c:pt>
                <c:pt idx="298">
                  <c:v>348</c:v>
                </c:pt>
                <c:pt idx="299">
                  <c:v>349</c:v>
                </c:pt>
                <c:pt idx="300">
                  <c:v>350</c:v>
                </c:pt>
                <c:pt idx="301">
                  <c:v>351</c:v>
                </c:pt>
                <c:pt idx="302">
                  <c:v>352</c:v>
                </c:pt>
                <c:pt idx="303">
                  <c:v>353</c:v>
                </c:pt>
                <c:pt idx="304">
                  <c:v>354</c:v>
                </c:pt>
                <c:pt idx="305">
                  <c:v>355</c:v>
                </c:pt>
                <c:pt idx="306">
                  <c:v>356</c:v>
                </c:pt>
                <c:pt idx="307">
                  <c:v>357</c:v>
                </c:pt>
                <c:pt idx="308">
                  <c:v>358</c:v>
                </c:pt>
                <c:pt idx="309">
                  <c:v>359</c:v>
                </c:pt>
                <c:pt idx="310">
                  <c:v>360</c:v>
                </c:pt>
                <c:pt idx="311">
                  <c:v>361</c:v>
                </c:pt>
                <c:pt idx="312">
                  <c:v>362</c:v>
                </c:pt>
                <c:pt idx="313">
                  <c:v>363</c:v>
                </c:pt>
                <c:pt idx="314">
                  <c:v>364</c:v>
                </c:pt>
                <c:pt idx="315">
                  <c:v>365</c:v>
                </c:pt>
                <c:pt idx="316">
                  <c:v>366</c:v>
                </c:pt>
                <c:pt idx="317">
                  <c:v>367</c:v>
                </c:pt>
                <c:pt idx="318">
                  <c:v>368</c:v>
                </c:pt>
                <c:pt idx="319">
                  <c:v>369</c:v>
                </c:pt>
                <c:pt idx="320">
                  <c:v>370</c:v>
                </c:pt>
                <c:pt idx="321">
                  <c:v>371</c:v>
                </c:pt>
                <c:pt idx="322">
                  <c:v>372</c:v>
                </c:pt>
                <c:pt idx="323">
                  <c:v>373</c:v>
                </c:pt>
                <c:pt idx="324">
                  <c:v>374</c:v>
                </c:pt>
                <c:pt idx="325">
                  <c:v>375</c:v>
                </c:pt>
                <c:pt idx="326">
                  <c:v>376</c:v>
                </c:pt>
                <c:pt idx="327">
                  <c:v>377</c:v>
                </c:pt>
                <c:pt idx="328">
                  <c:v>378</c:v>
                </c:pt>
                <c:pt idx="329">
                  <c:v>379</c:v>
                </c:pt>
                <c:pt idx="330">
                  <c:v>380</c:v>
                </c:pt>
                <c:pt idx="331">
                  <c:v>381</c:v>
                </c:pt>
                <c:pt idx="332">
                  <c:v>382</c:v>
                </c:pt>
                <c:pt idx="333">
                  <c:v>383</c:v>
                </c:pt>
                <c:pt idx="334">
                  <c:v>384</c:v>
                </c:pt>
                <c:pt idx="335">
                  <c:v>385</c:v>
                </c:pt>
                <c:pt idx="336">
                  <c:v>386</c:v>
                </c:pt>
                <c:pt idx="337">
                  <c:v>387</c:v>
                </c:pt>
                <c:pt idx="338">
                  <c:v>388</c:v>
                </c:pt>
                <c:pt idx="339">
                  <c:v>389</c:v>
                </c:pt>
                <c:pt idx="340">
                  <c:v>390</c:v>
                </c:pt>
                <c:pt idx="341">
                  <c:v>391</c:v>
                </c:pt>
                <c:pt idx="342">
                  <c:v>392</c:v>
                </c:pt>
                <c:pt idx="343">
                  <c:v>393</c:v>
                </c:pt>
                <c:pt idx="344">
                  <c:v>394</c:v>
                </c:pt>
                <c:pt idx="345">
                  <c:v>395</c:v>
                </c:pt>
                <c:pt idx="346">
                  <c:v>396</c:v>
                </c:pt>
                <c:pt idx="347">
                  <c:v>397</c:v>
                </c:pt>
                <c:pt idx="348">
                  <c:v>398</c:v>
                </c:pt>
                <c:pt idx="349">
                  <c:v>399</c:v>
                </c:pt>
                <c:pt idx="350">
                  <c:v>400</c:v>
                </c:pt>
                <c:pt idx="351">
                  <c:v>401</c:v>
                </c:pt>
                <c:pt idx="352">
                  <c:v>402</c:v>
                </c:pt>
                <c:pt idx="353">
                  <c:v>403</c:v>
                </c:pt>
                <c:pt idx="354">
                  <c:v>404</c:v>
                </c:pt>
                <c:pt idx="355">
                  <c:v>405</c:v>
                </c:pt>
                <c:pt idx="356">
                  <c:v>406</c:v>
                </c:pt>
                <c:pt idx="357">
                  <c:v>407</c:v>
                </c:pt>
                <c:pt idx="358">
                  <c:v>408</c:v>
                </c:pt>
                <c:pt idx="359">
                  <c:v>409</c:v>
                </c:pt>
                <c:pt idx="360">
                  <c:v>410</c:v>
                </c:pt>
                <c:pt idx="361">
                  <c:v>411</c:v>
                </c:pt>
                <c:pt idx="362">
                  <c:v>412</c:v>
                </c:pt>
                <c:pt idx="363">
                  <c:v>413</c:v>
                </c:pt>
                <c:pt idx="364">
                  <c:v>414</c:v>
                </c:pt>
                <c:pt idx="365">
                  <c:v>415</c:v>
                </c:pt>
                <c:pt idx="366">
                  <c:v>416</c:v>
                </c:pt>
                <c:pt idx="367">
                  <c:v>417</c:v>
                </c:pt>
                <c:pt idx="368">
                  <c:v>418</c:v>
                </c:pt>
                <c:pt idx="369">
                  <c:v>419</c:v>
                </c:pt>
                <c:pt idx="370">
                  <c:v>420</c:v>
                </c:pt>
                <c:pt idx="371">
                  <c:v>421</c:v>
                </c:pt>
                <c:pt idx="372">
                  <c:v>422</c:v>
                </c:pt>
                <c:pt idx="373">
                  <c:v>423</c:v>
                </c:pt>
                <c:pt idx="374">
                  <c:v>424</c:v>
                </c:pt>
                <c:pt idx="375">
                  <c:v>425</c:v>
                </c:pt>
                <c:pt idx="376">
                  <c:v>426</c:v>
                </c:pt>
                <c:pt idx="377">
                  <c:v>427</c:v>
                </c:pt>
                <c:pt idx="378">
                  <c:v>428</c:v>
                </c:pt>
                <c:pt idx="379">
                  <c:v>429</c:v>
                </c:pt>
                <c:pt idx="380">
                  <c:v>430</c:v>
                </c:pt>
                <c:pt idx="381">
                  <c:v>431</c:v>
                </c:pt>
                <c:pt idx="382">
                  <c:v>432</c:v>
                </c:pt>
                <c:pt idx="383">
                  <c:v>433</c:v>
                </c:pt>
                <c:pt idx="384">
                  <c:v>434</c:v>
                </c:pt>
                <c:pt idx="385">
                  <c:v>435</c:v>
                </c:pt>
                <c:pt idx="386">
                  <c:v>436</c:v>
                </c:pt>
                <c:pt idx="387">
                  <c:v>437</c:v>
                </c:pt>
                <c:pt idx="388">
                  <c:v>438</c:v>
                </c:pt>
                <c:pt idx="389">
                  <c:v>439</c:v>
                </c:pt>
                <c:pt idx="390">
                  <c:v>440</c:v>
                </c:pt>
                <c:pt idx="391">
                  <c:v>441</c:v>
                </c:pt>
                <c:pt idx="392">
                  <c:v>442</c:v>
                </c:pt>
                <c:pt idx="393">
                  <c:v>443</c:v>
                </c:pt>
                <c:pt idx="394">
                  <c:v>444</c:v>
                </c:pt>
                <c:pt idx="395">
                  <c:v>445</c:v>
                </c:pt>
                <c:pt idx="396">
                  <c:v>446</c:v>
                </c:pt>
                <c:pt idx="397">
                  <c:v>447</c:v>
                </c:pt>
                <c:pt idx="398">
                  <c:v>448</c:v>
                </c:pt>
                <c:pt idx="399">
                  <c:v>449</c:v>
                </c:pt>
                <c:pt idx="400">
                  <c:v>450</c:v>
                </c:pt>
                <c:pt idx="401">
                  <c:v>451</c:v>
                </c:pt>
                <c:pt idx="402">
                  <c:v>452</c:v>
                </c:pt>
                <c:pt idx="403">
                  <c:v>453</c:v>
                </c:pt>
                <c:pt idx="404">
                  <c:v>454</c:v>
                </c:pt>
                <c:pt idx="405">
                  <c:v>455</c:v>
                </c:pt>
                <c:pt idx="406">
                  <c:v>456</c:v>
                </c:pt>
                <c:pt idx="407">
                  <c:v>457</c:v>
                </c:pt>
                <c:pt idx="408">
                  <c:v>458</c:v>
                </c:pt>
                <c:pt idx="409">
                  <c:v>459</c:v>
                </c:pt>
                <c:pt idx="410">
                  <c:v>460</c:v>
                </c:pt>
                <c:pt idx="411">
                  <c:v>461</c:v>
                </c:pt>
                <c:pt idx="412">
                  <c:v>462</c:v>
                </c:pt>
                <c:pt idx="413">
                  <c:v>463</c:v>
                </c:pt>
                <c:pt idx="414">
                  <c:v>464</c:v>
                </c:pt>
                <c:pt idx="415">
                  <c:v>465</c:v>
                </c:pt>
                <c:pt idx="416">
                  <c:v>466</c:v>
                </c:pt>
                <c:pt idx="417">
                  <c:v>467</c:v>
                </c:pt>
                <c:pt idx="418">
                  <c:v>468</c:v>
                </c:pt>
                <c:pt idx="419">
                  <c:v>469</c:v>
                </c:pt>
                <c:pt idx="420">
                  <c:v>470</c:v>
                </c:pt>
                <c:pt idx="421">
                  <c:v>471</c:v>
                </c:pt>
                <c:pt idx="422">
                  <c:v>472</c:v>
                </c:pt>
                <c:pt idx="423">
                  <c:v>473</c:v>
                </c:pt>
                <c:pt idx="424">
                  <c:v>474</c:v>
                </c:pt>
                <c:pt idx="425">
                  <c:v>475</c:v>
                </c:pt>
                <c:pt idx="426">
                  <c:v>476</c:v>
                </c:pt>
                <c:pt idx="427">
                  <c:v>477</c:v>
                </c:pt>
                <c:pt idx="428">
                  <c:v>478</c:v>
                </c:pt>
                <c:pt idx="429">
                  <c:v>479</c:v>
                </c:pt>
                <c:pt idx="430">
                  <c:v>480</c:v>
                </c:pt>
                <c:pt idx="431">
                  <c:v>481</c:v>
                </c:pt>
                <c:pt idx="432">
                  <c:v>482</c:v>
                </c:pt>
                <c:pt idx="433">
                  <c:v>483</c:v>
                </c:pt>
                <c:pt idx="434">
                  <c:v>484</c:v>
                </c:pt>
                <c:pt idx="435">
                  <c:v>485</c:v>
                </c:pt>
                <c:pt idx="436">
                  <c:v>486</c:v>
                </c:pt>
                <c:pt idx="437">
                  <c:v>487</c:v>
                </c:pt>
                <c:pt idx="438">
                  <c:v>488</c:v>
                </c:pt>
                <c:pt idx="439">
                  <c:v>489</c:v>
                </c:pt>
                <c:pt idx="440">
                  <c:v>490</c:v>
                </c:pt>
                <c:pt idx="441">
                  <c:v>491</c:v>
                </c:pt>
                <c:pt idx="442">
                  <c:v>492</c:v>
                </c:pt>
                <c:pt idx="443">
                  <c:v>493</c:v>
                </c:pt>
                <c:pt idx="444">
                  <c:v>494</c:v>
                </c:pt>
                <c:pt idx="445">
                  <c:v>495</c:v>
                </c:pt>
                <c:pt idx="446">
                  <c:v>496</c:v>
                </c:pt>
                <c:pt idx="447">
                  <c:v>497</c:v>
                </c:pt>
                <c:pt idx="448">
                  <c:v>498</c:v>
                </c:pt>
                <c:pt idx="449">
                  <c:v>499</c:v>
                </c:pt>
                <c:pt idx="450">
                  <c:v>500</c:v>
                </c:pt>
              </c:numCache>
            </c:numRef>
          </c:cat>
          <c:val>
            <c:numRef>
              <c:f>'European RB'!$F$2:$F$452</c:f>
              <c:numCache>
                <c:formatCode>General</c:formatCode>
                <c:ptCount val="451"/>
                <c:pt idx="0">
                  <c:v>2.5513391023661569E-2</c:v>
                </c:pt>
                <c:pt idx="1">
                  <c:v>-2.20485467364675E-2</c:v>
                </c:pt>
                <c:pt idx="2">
                  <c:v>2.390277424929188E-2</c:v>
                </c:pt>
                <c:pt idx="3">
                  <c:v>-1.547551280330417E-2</c:v>
                </c:pt>
                <c:pt idx="4">
                  <c:v>2.2019814730887433E-2</c:v>
                </c:pt>
                <c:pt idx="5">
                  <c:v>-9.8320152148598794E-3</c:v>
                </c:pt>
                <c:pt idx="6">
                  <c:v>1.9913524934780824E-2</c:v>
                </c:pt>
                <c:pt idx="7">
                  <c:v>-5.0007530796971622E-3</c:v>
                </c:pt>
                <c:pt idx="8">
                  <c:v>1.7624580182323157E-2</c:v>
                </c:pt>
                <c:pt idx="9">
                  <c:v>-8.8153816480840419E-4</c:v>
                </c:pt>
                <c:pt idx="10">
                  <c:v>1.518687409996744E-2</c:v>
                </c:pt>
                <c:pt idx="11">
                  <c:v>2.6115937950272894E-3</c:v>
                </c:pt>
                <c:pt idx="12">
                  <c:v>1.2628751777661762E-2</c:v>
                </c:pt>
                <c:pt idx="13">
                  <c:v>5.5527178286158829E-3</c:v>
                </c:pt>
                <c:pt idx="14">
                  <c:v>9.9739942739400789E-3</c:v>
                </c:pt>
                <c:pt idx="15">
                  <c:v>8.005919054404842E-3</c:v>
                </c:pt>
                <c:pt idx="16">
                  <c:v>7.242609736746175E-3</c:v>
                </c:pt>
                <c:pt idx="17">
                  <c:v>1.002684726186942E-2</c:v>
                </c:pt>
                <c:pt idx="18">
                  <c:v>4.451473003504347E-3</c:v>
                </c:pt>
                <c:pt idx="19">
                  <c:v>1.1663996637972573E-2</c:v>
                </c:pt>
                <c:pt idx="20">
                  <c:v>1.6148456418214607E-3</c:v>
                </c:pt>
                <c:pt idx="21">
                  <c:v>1.2959764927057194E-2</c:v>
                </c:pt>
                <c:pt idx="22">
                  <c:v>-1.2551989689608689E-3</c:v>
                </c:pt>
                <c:pt idx="23">
                  <c:v>1.3951334517305014E-2</c:v>
                </c:pt>
                <c:pt idx="24">
                  <c:v>-4.1484264346554056E-3</c:v>
                </c:pt>
                <c:pt idx="25">
                  <c:v>1.4671408912414918E-2</c:v>
                </c:pt>
                <c:pt idx="26">
                  <c:v>-7.0561531386150733E-3</c:v>
                </c:pt>
                <c:pt idx="27">
                  <c:v>1.5148831130831653E-2</c:v>
                </c:pt>
                <c:pt idx="28">
                  <c:v>-9.9710073291916501E-3</c:v>
                </c:pt>
                <c:pt idx="29">
                  <c:v>1.5409105197004891E-2</c:v>
                </c:pt>
                <c:pt idx="30">
                  <c:v>-1.2886730242676947E-2</c:v>
                </c:pt>
                <c:pt idx="31">
                  <c:v>1.5474837708691069E-2</c:v>
                </c:pt>
                <c:pt idx="32">
                  <c:v>-1.5798009921084599E-2</c:v>
                </c:pt>
                <c:pt idx="33">
                  <c:v>1.536611317668779E-2</c:v>
                </c:pt>
                <c:pt idx="34">
                  <c:v>-1.8700341824210653E-2</c:v>
                </c:pt>
                <c:pt idx="35">
                  <c:v>1.5100814249898065E-2</c:v>
                </c:pt>
                <c:pt idx="36">
                  <c:v>-1.7710591532180686E-2</c:v>
                </c:pt>
                <c:pt idx="37">
                  <c:v>1.4694895874457714E-2</c:v>
                </c:pt>
                <c:pt idx="38">
                  <c:v>-1.4387827156506106E-2</c:v>
                </c:pt>
                <c:pt idx="39">
                  <c:v>1.4162620798778391E-2</c:v>
                </c:pt>
                <c:pt idx="40">
                  <c:v>-1.1375187107381279E-2</c:v>
                </c:pt>
                <c:pt idx="41">
                  <c:v>1.3516762518166914E-2</c:v>
                </c:pt>
                <c:pt idx="42">
                  <c:v>-8.6480602336180823E-3</c:v>
                </c:pt>
                <c:pt idx="43">
                  <c:v>1.2768780695928683E-2</c:v>
                </c:pt>
                <c:pt idx="44">
                  <c:v>-6.1841025010753725E-3</c:v>
                </c:pt>
                <c:pt idx="45">
                  <c:v>1.1928973228334527E-2</c:v>
                </c:pt>
                <c:pt idx="46">
                  <c:v>-3.962993226675593E-3</c:v>
                </c:pt>
                <c:pt idx="47">
                  <c:v>1.1006608439759091E-2</c:v>
                </c:pt>
                <c:pt idx="48">
                  <c:v>-1.9662213765023751E-3</c:v>
                </c:pt>
                <c:pt idx="49">
                  <c:v>1.0010040295460598E-2</c:v>
                </c:pt>
                <c:pt idx="50">
                  <c:v>-1.7689774854190432E-4</c:v>
                </c:pt>
                <c:pt idx="51">
                  <c:v>8.9468090854509796E-3</c:v>
                </c:pt>
                <c:pt idx="52">
                  <c:v>1.4204104966513142E-3</c:v>
                </c:pt>
                <c:pt idx="53">
                  <c:v>7.8237296147154467E-3</c:v>
                </c:pt>
                <c:pt idx="54">
                  <c:v>2.8398259486532851E-3</c:v>
                </c:pt>
                <c:pt idx="55">
                  <c:v>6.6469686379555526E-3</c:v>
                </c:pt>
                <c:pt idx="56">
                  <c:v>4.0942902559670813E-3</c:v>
                </c:pt>
                <c:pt idx="57">
                  <c:v>5.4221129979055149E-3</c:v>
                </c:pt>
                <c:pt idx="58">
                  <c:v>5.1956788146938493E-3</c:v>
                </c:pt>
                <c:pt idx="59">
                  <c:v>4.1542297213918999E-3</c:v>
                </c:pt>
                <c:pt idx="60">
                  <c:v>6.1549026915006522E-3</c:v>
                </c:pt>
                <c:pt idx="61">
                  <c:v>2.8479191230683654E-3</c:v>
                </c:pt>
                <c:pt idx="62">
                  <c:v>6.9819993917139556E-3</c:v>
                </c:pt>
                <c:pt idx="63">
                  <c:v>1.5073618297236635E-3</c:v>
                </c:pt>
                <c:pt idx="64">
                  <c:v>7.6862138367239652E-3</c:v>
                </c:pt>
                <c:pt idx="65">
                  <c:v>1.3636050102583397E-4</c:v>
                </c:pt>
                <c:pt idx="66">
                  <c:v>8.2760707565618929E-3</c:v>
                </c:pt>
                <c:pt idx="67">
                  <c:v>-1.2616230876218992E-3</c:v>
                </c:pt>
                <c:pt idx="68">
                  <c:v>8.7594395093475441E-3</c:v>
                </c:pt>
                <c:pt idx="69">
                  <c:v>-2.6834350255118267E-3</c:v>
                </c:pt>
                <c:pt idx="70">
                  <c:v>9.143592227452757E-3</c:v>
                </c:pt>
                <c:pt idx="71">
                  <c:v>-4.1261998152020141E-3</c:v>
                </c:pt>
                <c:pt idx="72">
                  <c:v>9.435256065060571E-3</c:v>
                </c:pt>
                <c:pt idx="73">
                  <c:v>-5.5872940593104659E-3</c:v>
                </c:pt>
                <c:pt idx="74">
                  <c:v>9.6406602170819866E-3</c:v>
                </c:pt>
                <c:pt idx="75">
                  <c:v>-7.0643229113720452E-3</c:v>
                </c:pt>
                <c:pt idx="76">
                  <c:v>9.7655783054602097E-3</c:v>
                </c:pt>
                <c:pt idx="77">
                  <c:v>-8.5550989722040782E-3</c:v>
                </c:pt>
                <c:pt idx="78">
                  <c:v>9.8153666389322325E-3</c:v>
                </c:pt>
                <c:pt idx="79">
                  <c:v>-1.0057623346156674E-2</c:v>
                </c:pt>
                <c:pt idx="80">
                  <c:v>9.7949988109817809E-3</c:v>
                </c:pt>
                <c:pt idx="81">
                  <c:v>-1.1570068614233264E-2</c:v>
                </c:pt>
                <c:pt idx="82">
                  <c:v>9.7090970136495258E-3</c:v>
                </c:pt>
                <c:pt idx="83">
                  <c:v>-1.225617113759192E-2</c:v>
                </c:pt>
                <c:pt idx="84">
                  <c:v>9.5619604356880217E-3</c:v>
                </c:pt>
                <c:pt idx="85">
                  <c:v>-1.0498599111338436E-2</c:v>
                </c:pt>
                <c:pt idx="86">
                  <c:v>9.3575910402989848E-3</c:v>
                </c:pt>
                <c:pt idx="87">
                  <c:v>-8.860515326350793E-3</c:v>
                </c:pt>
                <c:pt idx="88">
                  <c:v>9.0997170003230821E-3</c:v>
                </c:pt>
                <c:pt idx="89">
                  <c:v>-7.3355219422222007E-3</c:v>
                </c:pt>
                <c:pt idx="90">
                  <c:v>8.7918140228850916E-3</c:v>
                </c:pt>
                <c:pt idx="91">
                  <c:v>-5.9176175586586055E-3</c:v>
                </c:pt>
                <c:pt idx="92">
                  <c:v>8.4371247867256471E-3</c:v>
                </c:pt>
                <c:pt idx="93">
                  <c:v>-4.6011684448412637E-3</c:v>
                </c:pt>
                <c:pt idx="94">
                  <c:v>8.0386766765947471E-3</c:v>
                </c:pt>
                <c:pt idx="95">
                  <c:v>-3.3808821755538787E-3</c:v>
                </c:pt>
                <c:pt idx="96">
                  <c:v>7.599297978245545E-3</c:v>
                </c:pt>
                <c:pt idx="97">
                  <c:v>-2.2517834476936116E-3</c:v>
                </c:pt>
                <c:pt idx="98">
                  <c:v>7.1216326941705432E-3</c:v>
                </c:pt>
                <c:pt idx="99">
                  <c:v>-1.2091918727623607E-3</c:v>
                </c:pt>
                <c:pt idx="100">
                  <c:v>6.6081540982025899E-3</c:v>
                </c:pt>
                <c:pt idx="101">
                  <c:v>-2.48701554127706E-4</c:v>
                </c:pt>
                <c:pt idx="102">
                  <c:v>6.061177169520704E-3</c:v>
                </c:pt>
                <c:pt idx="103">
                  <c:v>6.3383770084968205E-4</c:v>
                </c:pt>
                <c:pt idx="104">
                  <c:v>5.4828699838793682E-3</c:v>
                </c:pt>
                <c:pt idx="105">
                  <c:v>1.4423376900793983E-3</c:v>
                </c:pt>
                <c:pt idx="106">
                  <c:v>4.8752641893585746E-3</c:v>
                </c:pt>
                <c:pt idx="107">
                  <c:v>2.1804877789080024E-3</c:v>
                </c:pt>
                <c:pt idx="108">
                  <c:v>4.2402646259347421E-3</c:v>
                </c:pt>
                <c:pt idx="109">
                  <c:v>2.8517696279006799E-3</c:v>
                </c:pt>
                <c:pt idx="110">
                  <c:v>3.57965818121464E-3</c:v>
                </c:pt>
                <c:pt idx="111">
                  <c:v>3.4594708052644307E-3</c:v>
                </c:pt>
                <c:pt idx="112">
                  <c:v>2.8951219428474673E-3</c:v>
                </c:pt>
                <c:pt idx="113">
                  <c:v>4.0066973691743613E-3</c:v>
                </c:pt>
                <c:pt idx="114">
                  <c:v>2.1882307158698211E-3</c:v>
                </c:pt>
                <c:pt idx="115">
                  <c:v>4.4963855074460213E-3</c:v>
                </c:pt>
                <c:pt idx="116">
                  <c:v>1.4604639556576871E-3</c:v>
                </c:pt>
                <c:pt idx="117">
                  <c:v>4.9313123312444418E-3</c:v>
                </c:pt>
                <c:pt idx="118">
                  <c:v>7.1321217433251149E-4</c:v>
                </c:pt>
                <c:pt idx="119">
                  <c:v>5.3141058659864626E-3</c:v>
                </c:pt>
                <c:pt idx="120">
                  <c:v>-5.2217144418165162E-5</c:v>
                </c:pt>
                <c:pt idx="121">
                  <c:v>5.6472543331640424E-3</c:v>
                </c:pt>
                <c:pt idx="122">
                  <c:v>-8.3459406946140291E-4</c:v>
                </c:pt>
                <c:pt idx="123">
                  <c:v>5.9331147622359026E-3</c:v>
                </c:pt>
                <c:pt idx="124">
                  <c:v>-1.6327611593265345E-3</c:v>
                </c:pt>
                <c:pt idx="125">
                  <c:v>6.1739209925413263E-3</c:v>
                </c:pt>
                <c:pt idx="126">
                  <c:v>-2.4456287603822346E-3</c:v>
                </c:pt>
                <c:pt idx="127">
                  <c:v>6.3717911202321176E-3</c:v>
                </c:pt>
                <c:pt idx="128">
                  <c:v>-3.2721706662872663E-3</c:v>
                </c:pt>
                <c:pt idx="129">
                  <c:v>6.5287344224724819E-3</c:v>
                </c:pt>
                <c:pt idx="130">
                  <c:v>-4.1114200672573986E-3</c:v>
                </c:pt>
                <c:pt idx="131">
                  <c:v>6.6466578114194874E-3</c:v>
                </c:pt>
                <c:pt idx="132">
                  <c:v>-4.9624658154368007E-3</c:v>
                </c:pt>
                <c:pt idx="133">
                  <c:v>6.7273718427625084E-3</c:v>
                </c:pt>
                <c:pt idx="134">
                  <c:v>-5.8244489294718704E-3</c:v>
                </c:pt>
                <c:pt idx="135">
                  <c:v>6.772596327307312E-3</c:v>
                </c:pt>
                <c:pt idx="136">
                  <c:v>-6.6965593617513974E-3</c:v>
                </c:pt>
                <c:pt idx="137">
                  <c:v>6.7839655657895293E-3</c:v>
                </c:pt>
                <c:pt idx="138">
                  <c:v>-7.5780329856467432E-3</c:v>
                </c:pt>
                <c:pt idx="139">
                  <c:v>6.7630332304684515E-3</c:v>
                </c:pt>
                <c:pt idx="140">
                  <c:v>-8.4681487845976733E-3</c:v>
                </c:pt>
                <c:pt idx="141">
                  <c:v>6.7112769376667103E-3</c:v>
                </c:pt>
                <c:pt idx="142">
                  <c:v>-8.2072669546278121E-3</c:v>
                </c:pt>
                <c:pt idx="143">
                  <c:v>6.6301025187733842E-3</c:v>
                </c:pt>
                <c:pt idx="144">
                  <c:v>-7.2119487918378411E-3</c:v>
                </c:pt>
                <c:pt idx="145">
                  <c:v>6.5208480170735328E-3</c:v>
                </c:pt>
                <c:pt idx="146">
                  <c:v>-6.2695372394152571E-3</c:v>
                </c:pt>
                <c:pt idx="147">
                  <c:v>6.3847874265192672E-3</c:v>
                </c:pt>
                <c:pt idx="148">
                  <c:v>-5.3780062550412566E-3</c:v>
                </c:pt>
                <c:pt idx="149">
                  <c:v>6.2231342020240277E-3</c:v>
                </c:pt>
                <c:pt idx="150">
                  <c:v>-4.5354190854531851E-3</c:v>
                </c:pt>
                <c:pt idx="151">
                  <c:v>6.0370445435857789E-3</c:v>
                </c:pt>
                <c:pt idx="152">
                  <c:v>-3.7399236544519709E-3</c:v>
                </c:pt>
                <c:pt idx="153">
                  <c:v>5.8276204774330154E-3</c:v>
                </c:pt>
                <c:pt idx="154">
                  <c:v>-2.9897482242677853E-3</c:v>
                </c:pt>
                <c:pt idx="155">
                  <c:v>5.595912751818588E-3</c:v>
                </c:pt>
                <c:pt idx="156">
                  <c:v>-2.2831973172952047E-3</c:v>
                </c:pt>
                <c:pt idx="157">
                  <c:v>5.3429235527513441E-3</c:v>
                </c:pt>
                <c:pt idx="158">
                  <c:v>-1.6186478727497899E-3</c:v>
                </c:pt>
                <c:pt idx="159">
                  <c:v>5.0696090555764073E-3</c:v>
                </c:pt>
                <c:pt idx="160">
                  <c:v>-9.9454562968759319E-4</c:v>
                </c:pt>
                <c:pt idx="161">
                  <c:v>4.7768818217672759E-3</c:v>
                </c:pt>
                <c:pt idx="162">
                  <c:v>-4.0940172013570475E-4</c:v>
                </c:pt>
                <c:pt idx="163">
                  <c:v>4.4656130594127319E-3</c:v>
                </c:pt>
                <c:pt idx="164">
                  <c:v>1.3821054994345161E-4</c:v>
                </c:pt>
                <c:pt idx="165">
                  <c:v>4.1366347442437501E-3</c:v>
                </c:pt>
                <c:pt idx="166">
                  <c:v>6.4965872751976406E-4</c:v>
                </c:pt>
                <c:pt idx="167">
                  <c:v>3.7907416172942021E-3</c:v>
                </c:pt>
                <c:pt idx="168">
                  <c:v>1.1262540771976859E-3</c:v>
                </c:pt>
                <c:pt idx="169">
                  <c:v>3.428693074425837E-3</c:v>
                </c:pt>
                <c:pt idx="170">
                  <c:v>1.5692542803193987E-3</c:v>
                </c:pt>
                <c:pt idx="171">
                  <c:v>3.0512149291439528E-3</c:v>
                </c:pt>
                <c:pt idx="172">
                  <c:v>1.9798659898579984E-3</c:v>
                </c:pt>
                <c:pt idx="173">
                  <c:v>2.6590010985270141E-3</c:v>
                </c:pt>
                <c:pt idx="174">
                  <c:v>2.3592472362015116E-3</c:v>
                </c:pt>
                <c:pt idx="175">
                  <c:v>2.2527151732454342E-3</c:v>
                </c:pt>
                <c:pt idx="176">
                  <c:v>2.708509718821972E-3</c:v>
                </c:pt>
                <c:pt idx="177">
                  <c:v>1.8329919072481715E-3</c:v>
                </c:pt>
                <c:pt idx="178">
                  <c:v>3.0287209515069691E-3</c:v>
                </c:pt>
                <c:pt idx="179">
                  <c:v>1.4004386305437322E-3</c:v>
                </c:pt>
                <c:pt idx="180">
                  <c:v>3.3209063087777935E-3</c:v>
                </c:pt>
                <c:pt idx="181">
                  <c:v>9.5563657040287353E-4</c:v>
                </c:pt>
                <c:pt idx="182">
                  <c:v>3.5860509616423286E-3</c:v>
                </c:pt>
                <c:pt idx="183">
                  <c:v>4.9914210890911193E-4</c:v>
                </c:pt>
                <c:pt idx="184">
                  <c:v>3.8251017048160918E-3</c:v>
                </c:pt>
                <c:pt idx="185">
                  <c:v>3.1487973121357982E-5</c:v>
                </c:pt>
                <c:pt idx="186">
                  <c:v>4.0389686884836351E-3</c:v>
                </c:pt>
                <c:pt idx="187">
                  <c:v>-4.4681564518889161E-4</c:v>
                </c:pt>
                <c:pt idx="188">
                  <c:v>4.2285270698929622E-3</c:v>
                </c:pt>
                <c:pt idx="189">
                  <c:v>-9.3528003061393861E-4</c:v>
                </c:pt>
                <c:pt idx="190">
                  <c:v>4.3946185688525929E-3</c:v>
                </c:pt>
                <c:pt idx="191">
                  <c:v>-1.4334369311228556E-3</c:v>
                </c:pt>
                <c:pt idx="192">
                  <c:v>4.5380529457865748E-3</c:v>
                </c:pt>
                <c:pt idx="193">
                  <c:v>-1.9408376156668794E-3</c:v>
                </c:pt>
                <c:pt idx="194">
                  <c:v>4.6596094089572659E-3</c:v>
                </c:pt>
                <c:pt idx="195">
                  <c:v>-2.4570519612137076E-3</c:v>
                </c:pt>
                <c:pt idx="196">
                  <c:v>4.7600379445515983E-3</c:v>
                </c:pt>
                <c:pt idx="197">
                  <c:v>-2.9816676053986413E-3</c:v>
                </c:pt>
                <c:pt idx="198">
                  <c:v>4.8400605881635528E-3</c:v>
                </c:pt>
                <c:pt idx="199">
                  <c:v>-3.5142891371258145E-3</c:v>
                </c:pt>
                <c:pt idx="200">
                  <c:v>4.9003726191418906E-3</c:v>
                </c:pt>
                <c:pt idx="201">
                  <c:v>-4.0545373213678459E-3</c:v>
                </c:pt>
                <c:pt idx="202">
                  <c:v>4.9416437176059702E-3</c:v>
                </c:pt>
                <c:pt idx="203">
                  <c:v>-4.6020483778264065E-3</c:v>
                </c:pt>
                <c:pt idx="204">
                  <c:v>4.964519035846493E-3</c:v>
                </c:pt>
                <c:pt idx="205">
                  <c:v>-5.1564732803690561E-3</c:v>
                </c:pt>
                <c:pt idx="206">
                  <c:v>4.9696202465732142E-3</c:v>
                </c:pt>
                <c:pt idx="207">
                  <c:v>-5.7174771067405317E-3</c:v>
                </c:pt>
                <c:pt idx="208">
                  <c:v>4.9575465217976955E-3</c:v>
                </c:pt>
                <c:pt idx="209">
                  <c:v>-6.2847384135196194E-3</c:v>
                </c:pt>
                <c:pt idx="210">
                  <c:v>4.9288754668985746E-3</c:v>
                </c:pt>
                <c:pt idx="211">
                  <c:v>-6.0666568224085893E-3</c:v>
                </c:pt>
                <c:pt idx="212">
                  <c:v>4.8841640183869828E-3</c:v>
                </c:pt>
                <c:pt idx="213">
                  <c:v>-5.4407517894059509E-3</c:v>
                </c:pt>
                <c:pt idx="214">
                  <c:v>4.8239492894701641E-3</c:v>
                </c:pt>
                <c:pt idx="215">
                  <c:v>-4.8418609031930515E-3</c:v>
                </c:pt>
                <c:pt idx="216">
                  <c:v>4.7487493827134131E-3</c:v>
                </c:pt>
                <c:pt idx="217">
                  <c:v>-4.2692063921752066E-3</c:v>
                </c:pt>
                <c:pt idx="218">
                  <c:v>4.6590641601014227E-3</c:v>
                </c:pt>
                <c:pt idx="219">
                  <c:v>-3.7220361355672082E-3</c:v>
                </c:pt>
                <c:pt idx="220">
                  <c:v>4.5553759801393312E-3</c:v>
                </c:pt>
                <c:pt idx="221">
                  <c:v>-3.1996226632298175E-3</c:v>
                </c:pt>
                <c:pt idx="222">
                  <c:v>4.4381503996948624E-3</c:v>
                </c:pt>
                <c:pt idx="223">
                  <c:v>-2.7012622192366109E-3</c:v>
                </c:pt>
                <c:pt idx="224">
                  <c:v>4.3078368393079103E-3</c:v>
                </c:pt>
                <c:pt idx="225">
                  <c:v>-2.2262738514502445E-3</c:v>
                </c:pt>
                <c:pt idx="226">
                  <c:v>4.1648692311309077E-3</c:v>
                </c:pt>
                <c:pt idx="227">
                  <c:v>-1.7739985408340431E-3</c:v>
                </c:pt>
                <c:pt idx="228">
                  <c:v>4.0096666202629194E-3</c:v>
                </c:pt>
                <c:pt idx="229">
                  <c:v>-1.3437983864594827E-3</c:v>
                </c:pt>
                <c:pt idx="230">
                  <c:v>3.8426337543011613E-3</c:v>
                </c:pt>
                <c:pt idx="231">
                  <c:v>-9.3505580457176052E-4</c:v>
                </c:pt>
                <c:pt idx="232">
                  <c:v>3.6641616306773983E-3</c:v>
                </c:pt>
                <c:pt idx="233">
                  <c:v>-5.4717277398985686E-4</c:v>
                </c:pt>
                <c:pt idx="234">
                  <c:v>3.4746280417348174E-3</c:v>
                </c:pt>
                <c:pt idx="235">
                  <c:v>-1.7957011571212433E-4</c:v>
                </c:pt>
                <c:pt idx="236">
                  <c:v>3.2743980681146923E-3</c:v>
                </c:pt>
                <c:pt idx="237">
                  <c:v>1.6831320376198278E-4</c:v>
                </c:pt>
                <c:pt idx="238">
                  <c:v>3.0638245790832741E-3</c:v>
                </c:pt>
                <c:pt idx="239">
                  <c:v>4.9702073952140324E-4</c:v>
                </c:pt>
                <c:pt idx="240">
                  <c:v>2.8432486821792224E-3</c:v>
                </c:pt>
                <c:pt idx="241">
                  <c:v>8.0707919464195754E-4</c:v>
                </c:pt>
                <c:pt idx="242">
                  <c:v>2.6130001805029224E-3</c:v>
                </c:pt>
                <c:pt idx="243">
                  <c:v>1.0989990377670011E-3</c:v>
                </c:pt>
                <c:pt idx="244">
                  <c:v>2.3733979918478809E-3</c:v>
                </c:pt>
                <c:pt idx="245">
                  <c:v>1.3732750842194719E-3</c:v>
                </c:pt>
                <c:pt idx="246">
                  <c:v>2.1247505562378421E-3</c:v>
                </c:pt>
                <c:pt idx="247">
                  <c:v>1.6303870518168395E-3</c:v>
                </c:pt>
                <c:pt idx="248">
                  <c:v>1.8673562245332676E-3</c:v>
                </c:pt>
                <c:pt idx="249">
                  <c:v>1.8708001036529254E-3</c:v>
                </c:pt>
                <c:pt idx="250">
                  <c:v>1.6015036340348843E-3</c:v>
                </c:pt>
                <c:pt idx="251">
                  <c:v>2.0949653591646467E-3</c:v>
                </c:pt>
                <c:pt idx="252">
                  <c:v>1.3274720656486494E-3</c:v>
                </c:pt>
                <c:pt idx="253">
                  <c:v>2.3033203834454952E-3</c:v>
                </c:pt>
                <c:pt idx="254">
                  <c:v>1.0455317845146084E-3</c:v>
                </c:pt>
                <c:pt idx="255">
                  <c:v>2.4962896693949688E-3</c:v>
                </c:pt>
                <c:pt idx="256">
                  <c:v>7.5594436632719919E-4</c:v>
                </c:pt>
                <c:pt idx="257">
                  <c:v>2.6742850836019016E-3</c:v>
                </c:pt>
                <c:pt idx="258">
                  <c:v>4.5896301701553455E-4</c:v>
                </c:pt>
                <c:pt idx="259">
                  <c:v>2.8377063066553632E-3</c:v>
                </c:pt>
                <c:pt idx="260">
                  <c:v>1.5483287134188117E-4</c:v>
                </c:pt>
                <c:pt idx="261">
                  <c:v>2.9869412543135354E-3</c:v>
                </c:pt>
                <c:pt idx="262">
                  <c:v>-1.5620871814014947E-4</c:v>
                </c:pt>
                <c:pt idx="263">
                  <c:v>3.1223664722812572E-3</c:v>
                </c:pt>
                <c:pt idx="264">
                  <c:v>-4.7393190585154343E-4</c:v>
                </c:pt>
                <c:pt idx="265">
                  <c:v>3.2443475279233525E-3</c:v>
                </c:pt>
                <c:pt idx="266">
                  <c:v>-7.9811408071961409E-4</c:v>
                </c:pt>
                <c:pt idx="267">
                  <c:v>3.3532393833723972E-3</c:v>
                </c:pt>
                <c:pt idx="268">
                  <c:v>-1.1285396163227546E-3</c:v>
                </c:pt>
                <c:pt idx="269">
                  <c:v>3.4493867461868888E-3</c:v>
                </c:pt>
                <c:pt idx="270">
                  <c:v>-1.4649996241811181E-3</c:v>
                </c:pt>
                <c:pt idx="271">
                  <c:v>3.5331244131882045E-3</c:v>
                </c:pt>
                <c:pt idx="272">
                  <c:v>-1.8072917213203255E-3</c:v>
                </c:pt>
                <c:pt idx="273">
                  <c:v>3.6047776061618464E-3</c:v>
                </c:pt>
                <c:pt idx="274">
                  <c:v>-2.1552197983449872E-3</c:v>
                </c:pt>
                <c:pt idx="275">
                  <c:v>3.6646622836382647E-3</c:v>
                </c:pt>
                <c:pt idx="276">
                  <c:v>-2.5085938035243061E-3</c:v>
                </c:pt>
                <c:pt idx="277">
                  <c:v>3.7130854471119079E-3</c:v>
                </c:pt>
                <c:pt idx="278">
                  <c:v>-2.8672295378893153E-3</c:v>
                </c:pt>
                <c:pt idx="279">
                  <c:v>3.750345432830926E-3</c:v>
                </c:pt>
                <c:pt idx="280">
                  <c:v>-3.2309484568298075E-3</c:v>
                </c:pt>
                <c:pt idx="281">
                  <c:v>3.7767321972363987E-3</c:v>
                </c:pt>
                <c:pt idx="282">
                  <c:v>-3.5995774686359283E-3</c:v>
                </c:pt>
                <c:pt idx="283">
                  <c:v>3.7925275877306319E-3</c:v>
                </c:pt>
                <c:pt idx="284">
                  <c:v>-3.9729487540629549E-3</c:v>
                </c:pt>
                <c:pt idx="285">
                  <c:v>3.7980056044162325E-3</c:v>
                </c:pt>
                <c:pt idx="286">
                  <c:v>-4.3508995932892702E-3</c:v>
                </c:pt>
                <c:pt idx="287">
                  <c:v>3.7934326494397652E-3</c:v>
                </c:pt>
                <c:pt idx="288">
                  <c:v>-4.7332721848594161E-3</c:v>
                </c:pt>
                <c:pt idx="289">
                  <c:v>3.7790677703153364E-3</c:v>
                </c:pt>
                <c:pt idx="290">
                  <c:v>-4.7943144342212918E-3</c:v>
                </c:pt>
                <c:pt idx="291">
                  <c:v>3.755162897752129E-3</c:v>
                </c:pt>
                <c:pt idx="292">
                  <c:v>-4.3710654291526652E-3</c:v>
                </c:pt>
                <c:pt idx="293">
                  <c:v>3.7219630701450512E-3</c:v>
                </c:pt>
                <c:pt idx="294">
                  <c:v>-3.9630502270142642E-3</c:v>
                </c:pt>
                <c:pt idx="295">
                  <c:v>3.6797066403426726E-3</c:v>
                </c:pt>
                <c:pt idx="296">
                  <c:v>-3.5699267708420024E-3</c:v>
                </c:pt>
                <c:pt idx="297">
                  <c:v>3.628625503791838E-3</c:v>
                </c:pt>
                <c:pt idx="298">
                  <c:v>-3.1913617676604389E-3</c:v>
                </c:pt>
                <c:pt idx="299">
                  <c:v>3.568945280429503E-3</c:v>
                </c:pt>
                <c:pt idx="300">
                  <c:v>-2.8270304217929976E-3</c:v>
                </c:pt>
                <c:pt idx="301">
                  <c:v>3.5008855183011889E-3</c:v>
                </c:pt>
                <c:pt idx="302">
                  <c:v>-2.4766161826477173E-3</c:v>
                </c:pt>
                <c:pt idx="303">
                  <c:v>3.4246598895837366E-3</c:v>
                </c:pt>
                <c:pt idx="304">
                  <c:v>-2.1398104973080478E-3</c:v>
                </c:pt>
                <c:pt idx="305">
                  <c:v>3.3404763513100733E-3</c:v>
                </c:pt>
                <c:pt idx="306">
                  <c:v>-1.8163125759507182E-3</c:v>
                </c:pt>
                <c:pt idx="307">
                  <c:v>3.248537337080748E-3</c:v>
                </c:pt>
                <c:pt idx="308">
                  <c:v>-1.5058291645253519E-3</c:v>
                </c:pt>
                <c:pt idx="309">
                  <c:v>3.149039918985963E-3</c:v>
                </c:pt>
                <c:pt idx="310">
                  <c:v>-1.2080743169793351E-3</c:v>
                </c:pt>
                <c:pt idx="311">
                  <c:v>3.0421759685062E-3</c:v>
                </c:pt>
                <c:pt idx="312">
                  <c:v>-9.2276919280109837E-4</c:v>
                </c:pt>
                <c:pt idx="313">
                  <c:v>2.9281323191270303E-3</c:v>
                </c:pt>
                <c:pt idx="314">
                  <c:v>-6.4964184384130874E-4</c:v>
                </c:pt>
                <c:pt idx="315">
                  <c:v>2.8070909082948958E-3</c:v>
                </c:pt>
                <c:pt idx="316">
                  <c:v>-3.8842701193253504E-4</c:v>
                </c:pt>
                <c:pt idx="317">
                  <c:v>2.6792289316119877E-3</c:v>
                </c:pt>
                <c:pt idx="318">
                  <c:v>-1.3886594412859665E-4</c:v>
                </c:pt>
                <c:pt idx="319">
                  <c:v>2.544718984104577E-3</c:v>
                </c:pt>
                <c:pt idx="320">
                  <c:v>9.9293792404253622E-5</c:v>
                </c:pt>
                <c:pt idx="321">
                  <c:v>2.4037291927054838E-3</c:v>
                </c:pt>
                <c:pt idx="322">
                  <c:v>3.2629850290710749E-4</c:v>
                </c:pt>
                <c:pt idx="323">
                  <c:v>2.256423345381009E-3</c:v>
                </c:pt>
                <c:pt idx="324">
                  <c:v>5.42388525678561E-4</c:v>
                </c:pt>
                <c:pt idx="325">
                  <c:v>2.1029610293936685E-3</c:v>
                </c:pt>
                <c:pt idx="326">
                  <c:v>7.477984076427191E-4</c:v>
                </c:pt>
                <c:pt idx="327">
                  <c:v>1.943497739233635E-3</c:v>
                </c:pt>
                <c:pt idx="328">
                  <c:v>9.4275706278956761E-4</c:v>
                </c:pt>
                <c:pt idx="329">
                  <c:v>1.7781850126556975E-3</c:v>
                </c:pt>
                <c:pt idx="330">
                  <c:v>1.1274879333829091E-3</c:v>
                </c:pt>
                <c:pt idx="331">
                  <c:v>1.6071705275564341E-3</c:v>
                </c:pt>
                <c:pt idx="332">
                  <c:v>1.302209139625532E-3</c:v>
                </c:pt>
                <c:pt idx="333">
                  <c:v>1.4305982305931053E-3</c:v>
                </c:pt>
                <c:pt idx="334">
                  <c:v>1.4671336338398788E-3</c:v>
                </c:pt>
                <c:pt idx="335">
                  <c:v>1.2486084276073228E-3</c:v>
                </c:pt>
                <c:pt idx="336">
                  <c:v>1.6224693318172001E-3</c:v>
                </c:pt>
                <c:pt idx="337">
                  <c:v>1.0613379039270399E-3</c:v>
                </c:pt>
                <c:pt idx="338">
                  <c:v>1.7684192612552607E-3</c:v>
                </c:pt>
                <c:pt idx="339">
                  <c:v>8.6892001172778066E-4</c:v>
                </c:pt>
                <c:pt idx="340">
                  <c:v>1.9051816913879804E-3</c:v>
                </c:pt>
                <c:pt idx="341">
                  <c:v>6.7148477736544976E-4</c:v>
                </c:pt>
                <c:pt idx="342">
                  <c:v>2.0329502570746172E-3</c:v>
                </c:pt>
                <c:pt idx="343">
                  <c:v>4.6915898361632458E-4</c:v>
                </c:pt>
                <c:pt idx="344">
                  <c:v>2.1519141012564802E-3</c:v>
                </c:pt>
                <c:pt idx="345">
                  <c:v>2.620662755585812E-4</c:v>
                </c:pt>
                <c:pt idx="346">
                  <c:v>2.2622579753672767E-3</c:v>
                </c:pt>
                <c:pt idx="347">
                  <c:v>5.0327235586067331E-5</c:v>
                </c:pt>
                <c:pt idx="348">
                  <c:v>2.3641623733237083E-3</c:v>
                </c:pt>
                <c:pt idx="349">
                  <c:v>-1.6594051966478673E-4</c:v>
                </c:pt>
                <c:pt idx="350">
                  <c:v>2.4578036391851299E-3</c:v>
                </c:pt>
                <c:pt idx="351">
                  <c:v>-3.8662227096430968E-4</c:v>
                </c:pt>
                <c:pt idx="352">
                  <c:v>2.5433540774368879E-3</c:v>
                </c:pt>
                <c:pt idx="353">
                  <c:v>-6.1160610366961521E-4</c:v>
                </c:pt>
                <c:pt idx="354">
                  <c:v>2.6209820577367537E-3</c:v>
                </c:pt>
                <c:pt idx="355">
                  <c:v>-8.4078283218147476E-4</c:v>
                </c:pt>
                <c:pt idx="356">
                  <c:v>2.6908521329218615E-3</c:v>
                </c:pt>
                <c:pt idx="357">
                  <c:v>-1.0740459329934282E-3</c:v>
                </c:pt>
                <c:pt idx="358">
                  <c:v>2.7531251152197456E-3</c:v>
                </c:pt>
                <c:pt idx="359">
                  <c:v>-1.3112914669672904E-3</c:v>
                </c:pt>
                <c:pt idx="360">
                  <c:v>2.8079582012363602E-3</c:v>
                </c:pt>
                <c:pt idx="361">
                  <c:v>-1.5524180018555711E-3</c:v>
                </c:pt>
                <c:pt idx="362">
                  <c:v>2.8555050445184804E-3</c:v>
                </c:pt>
                <c:pt idx="363">
                  <c:v>-1.7973265586892495E-3</c:v>
                </c:pt>
                <c:pt idx="364">
                  <c:v>2.8959158625312398E-3</c:v>
                </c:pt>
                <c:pt idx="365">
                  <c:v>-2.0459205338791975E-3</c:v>
                </c:pt>
                <c:pt idx="366">
                  <c:v>2.9293375149777034E-3</c:v>
                </c:pt>
                <c:pt idx="367">
                  <c:v>-2.2981056368873709E-3</c:v>
                </c:pt>
                <c:pt idx="368">
                  <c:v>2.9559136009513765E-3</c:v>
                </c:pt>
                <c:pt idx="369">
                  <c:v>-2.5537898363321432E-3</c:v>
                </c:pt>
                <c:pt idx="370">
                  <c:v>2.9757845297311292E-3</c:v>
                </c:pt>
                <c:pt idx="371">
                  <c:v>-2.8128832895450984E-3</c:v>
                </c:pt>
                <c:pt idx="372">
                  <c:v>2.9890876166867031E-3</c:v>
                </c:pt>
                <c:pt idx="373">
                  <c:v>-3.0752982901400827E-3</c:v>
                </c:pt>
                <c:pt idx="374">
                  <c:v>2.9959571512634398E-3</c:v>
                </c:pt>
                <c:pt idx="375">
                  <c:v>-3.3409492078995129E-3</c:v>
                </c:pt>
                <c:pt idx="376">
                  <c:v>2.9965244792027335E-3</c:v>
                </c:pt>
                <c:pt idx="377">
                  <c:v>-3.609752433463953E-3</c:v>
                </c:pt>
                <c:pt idx="378">
                  <c:v>2.9909180778915356E-3</c:v>
                </c:pt>
                <c:pt idx="379">
                  <c:v>-3.8816263357475123E-3</c:v>
                </c:pt>
                <c:pt idx="380">
                  <c:v>2.9792636193732847E-3</c:v>
                </c:pt>
                <c:pt idx="381">
                  <c:v>-3.6694982362437401E-3</c:v>
                </c:pt>
                <c:pt idx="382">
                  <c:v>2.9616840553750023E-3</c:v>
                </c:pt>
                <c:pt idx="383">
                  <c:v>-3.3768451493134677E-3</c:v>
                </c:pt>
                <c:pt idx="384">
                  <c:v>2.9382996750602075E-3</c:v>
                </c:pt>
                <c:pt idx="385">
                  <c:v>-3.0932700078665221E-3</c:v>
                </c:pt>
                <c:pt idx="386">
                  <c:v>2.9092281744418358E-3</c:v>
                </c:pt>
                <c:pt idx="387">
                  <c:v>-2.8186097278322109E-3</c:v>
                </c:pt>
                <c:pt idx="388">
                  <c:v>2.8745847145330572E-3</c:v>
                </c:pt>
                <c:pt idx="389">
                  <c:v>-2.5527045478703769E-3</c:v>
                </c:pt>
                <c:pt idx="390">
                  <c:v>2.8344820010399729E-3</c:v>
                </c:pt>
                <c:pt idx="391">
                  <c:v>-2.2953979570932148E-3</c:v>
                </c:pt>
                <c:pt idx="392">
                  <c:v>2.789030321734387E-3</c:v>
                </c:pt>
                <c:pt idx="393">
                  <c:v>-2.0465366169499788E-3</c:v>
                </c:pt>
                <c:pt idx="394">
                  <c:v>2.7383376287453132E-3</c:v>
                </c:pt>
                <c:pt idx="395">
                  <c:v>-1.8059702819339662E-3</c:v>
                </c:pt>
                <c:pt idx="396">
                  <c:v>2.6825095730185211E-3</c:v>
                </c:pt>
                <c:pt idx="397">
                  <c:v>-1.5735517261070697E-3</c:v>
                </c:pt>
                <c:pt idx="398">
                  <c:v>2.6216495776498761E-3</c:v>
                </c:pt>
                <c:pt idx="399">
                  <c:v>-1.3491366766515966E-3</c:v>
                </c:pt>
                <c:pt idx="400">
                  <c:v>2.5558588923093595E-3</c:v>
                </c:pt>
                <c:pt idx="401">
                  <c:v>-1.1325837418496576E-3</c:v>
                </c:pt>
                <c:pt idx="402">
                  <c:v>2.4852366234018319E-3</c:v>
                </c:pt>
                <c:pt idx="403">
                  <c:v>-9.2375435064973033E-4</c:v>
                </c:pt>
                <c:pt idx="404">
                  <c:v>2.4098798194192028E-3</c:v>
                </c:pt>
                <c:pt idx="405">
                  <c:v>-7.2251266653999835E-4</c:v>
                </c:pt>
                <c:pt idx="406">
                  <c:v>2.3298834898870524E-3</c:v>
                </c:pt>
                <c:pt idx="407">
                  <c:v>-5.2872555231608942E-4</c:v>
                </c:pt>
                <c:pt idx="408">
                  <c:v>2.2453406715960966E-3</c:v>
                </c:pt>
                <c:pt idx="409">
                  <c:v>-3.4226248721935804E-4</c:v>
                </c:pt>
                <c:pt idx="410">
                  <c:v>2.1563424709754031E-3</c:v>
                </c:pt>
                <c:pt idx="411">
                  <c:v>-1.629955129693883E-4</c:v>
                </c:pt>
                <c:pt idx="412">
                  <c:v>2.0629781126935143E-3</c:v>
                </c:pt>
                <c:pt idx="413">
                  <c:v>9.2008221379558108E-6</c:v>
                </c:pt>
                <c:pt idx="414">
                  <c:v>1.9653349716683977E-3</c:v>
                </c:pt>
                <c:pt idx="415">
                  <c:v>1.7444952705325534E-4</c:v>
                </c:pt>
                <c:pt idx="416">
                  <c:v>1.8634986374657103E-3</c:v>
                </c:pt>
                <c:pt idx="417">
                  <c:v>3.3287121391545327E-4</c:v>
                </c:pt>
                <c:pt idx="418">
                  <c:v>1.7575529370645881E-3</c:v>
                </c:pt>
                <c:pt idx="419">
                  <c:v>4.845841598424272E-4</c:v>
                </c:pt>
                <c:pt idx="420">
                  <c:v>1.6475799862902818E-3</c:v>
                </c:pt>
                <c:pt idx="421">
                  <c:v>6.2970436213838354E-4</c:v>
                </c:pt>
                <c:pt idx="422">
                  <c:v>1.533660232034606E-3</c:v>
                </c:pt>
                <c:pt idx="423">
                  <c:v>7.6834558158900279E-4</c:v>
                </c:pt>
                <c:pt idx="424">
                  <c:v>1.415872475131863E-3</c:v>
                </c:pt>
                <c:pt idx="425">
                  <c:v>9.0061939538266245E-4</c:v>
                </c:pt>
                <c:pt idx="426">
                  <c:v>1.2942939354942951E-3</c:v>
                </c:pt>
                <c:pt idx="427">
                  <c:v>1.0266352495573727E-3</c:v>
                </c:pt>
                <c:pt idx="428">
                  <c:v>1.1690002570805547E-3</c:v>
                </c:pt>
                <c:pt idx="429">
                  <c:v>1.1465005038608922E-3</c:v>
                </c:pt>
                <c:pt idx="430">
                  <c:v>1.040065568520987E-3</c:v>
                </c:pt>
                <c:pt idx="431">
                  <c:v>1.260320474214538E-3</c:v>
                </c:pt>
                <c:pt idx="432">
                  <c:v>9.0756250662593629E-4</c:v>
                </c:pt>
                <c:pt idx="433">
                  <c:v>1.368198486686012E-3</c:v>
                </c:pt>
                <c:pt idx="434">
                  <c:v>7.7156225565566672E-4</c:v>
                </c:pt>
                <c:pt idx="435">
                  <c:v>1.4702359128531128E-3</c:v>
                </c:pt>
                <c:pt idx="436">
                  <c:v>6.321345765467612E-4</c:v>
                </c:pt>
                <c:pt idx="437">
                  <c:v>1.5665322161257933E-3</c:v>
                </c:pt>
                <c:pt idx="438">
                  <c:v>4.8934783826126704E-4</c:v>
                </c:pt>
                <c:pt idx="439">
                  <c:v>1.6571849956399376E-3</c:v>
                </c:pt>
                <c:pt idx="440">
                  <c:v>3.4326905429260535E-4</c:v>
                </c:pt>
                <c:pt idx="441">
                  <c:v>1.7422900221557569E-3</c:v>
                </c:pt>
                <c:pt idx="442">
                  <c:v>1.9396390410797437E-4</c:v>
                </c:pt>
                <c:pt idx="443">
                  <c:v>1.8219412860656092E-3</c:v>
                </c:pt>
                <c:pt idx="444">
                  <c:v>4.1496775860849766E-5</c:v>
                </c:pt>
                <c:pt idx="445">
                  <c:v>1.8962310269934335E-3</c:v>
                </c:pt>
                <c:pt idx="446">
                  <c:v>-1.1406920740952842E-4</c:v>
                </c:pt>
                <c:pt idx="447">
                  <c:v>1.9652497690980653E-3</c:v>
                </c:pt>
                <c:pt idx="448">
                  <c:v>-2.72672176892641E-4</c:v>
                </c:pt>
                <c:pt idx="449">
                  <c:v>2.0290863726994957E-3</c:v>
                </c:pt>
                <c:pt idx="450">
                  <c:v>-4.3425146716735696E-4</c:v>
                </c:pt>
              </c:numCache>
            </c:numRef>
          </c:val>
          <c:smooth val="0"/>
          <c:extLst>
            <c:ext xmlns:c16="http://schemas.microsoft.com/office/drawing/2014/chart" uri="{C3380CC4-5D6E-409C-BE32-E72D297353CC}">
              <c16:uniqueId val="{00000000-83C3-7E42-93B2-0CC52AFB7919}"/>
            </c:ext>
          </c:extLst>
        </c:ser>
        <c:dLbls>
          <c:showLegendKey val="0"/>
          <c:showVal val="0"/>
          <c:showCatName val="0"/>
          <c:showSerName val="0"/>
          <c:showPercent val="0"/>
          <c:showBubbleSize val="0"/>
        </c:dLbls>
        <c:smooth val="0"/>
        <c:axId val="1906769695"/>
        <c:axId val="1"/>
      </c:lineChart>
      <c:catAx>
        <c:axId val="1906769695"/>
        <c:scaling>
          <c:orientation val="minMax"/>
        </c:scaling>
        <c:delete val="0"/>
        <c:axPos val="b"/>
        <c:numFmt formatCode="General" sourceLinked="1"/>
        <c:majorTickMark val="none"/>
        <c:minorTickMark val="none"/>
        <c:tickLblPos val="nextTo"/>
        <c:spPr>
          <a:ln w="3175">
            <a:solidFill>
              <a:srgbClr val="C0C0C0"/>
            </a:solidFill>
            <a:prstDash val="solid"/>
          </a:ln>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906769695"/>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lineChart>
        <c:grouping val="standard"/>
        <c:varyColors val="0"/>
        <c:ser>
          <c:idx val="0"/>
          <c:order val="0"/>
          <c:tx>
            <c:strRef>
              <c:f>'European LR'!$F$1</c:f>
              <c:strCache>
                <c:ptCount val="1"/>
                <c:pt idx="0">
                  <c:v>Error LR</c:v>
                </c:pt>
              </c:strCache>
            </c:strRef>
          </c:tx>
          <c:spPr>
            <a:ln w="25400">
              <a:solidFill>
                <a:srgbClr val="666699"/>
              </a:solidFill>
              <a:prstDash val="solid"/>
            </a:ln>
          </c:spPr>
          <c:marker>
            <c:symbol val="none"/>
          </c:marker>
          <c:cat>
            <c:numRef>
              <c:f>'European LR'!$D$2:$D$452</c:f>
              <c:numCache>
                <c:formatCode>General</c:formatCode>
                <c:ptCount val="451"/>
                <c:pt idx="0">
                  <c:v>50</c:v>
                </c:pt>
                <c:pt idx="1">
                  <c:v>51</c:v>
                </c:pt>
                <c:pt idx="2">
                  <c:v>52</c:v>
                </c:pt>
                <c:pt idx="3">
                  <c:v>53</c:v>
                </c:pt>
                <c:pt idx="4">
                  <c:v>54</c:v>
                </c:pt>
                <c:pt idx="5">
                  <c:v>55</c:v>
                </c:pt>
                <c:pt idx="6">
                  <c:v>56</c:v>
                </c:pt>
                <c:pt idx="7">
                  <c:v>57</c:v>
                </c:pt>
                <c:pt idx="8">
                  <c:v>58</c:v>
                </c:pt>
                <c:pt idx="9">
                  <c:v>59</c:v>
                </c:pt>
                <c:pt idx="10">
                  <c:v>60</c:v>
                </c:pt>
                <c:pt idx="11">
                  <c:v>61</c:v>
                </c:pt>
                <c:pt idx="12">
                  <c:v>62</c:v>
                </c:pt>
                <c:pt idx="13">
                  <c:v>63</c:v>
                </c:pt>
                <c:pt idx="14">
                  <c:v>64</c:v>
                </c:pt>
                <c:pt idx="15">
                  <c:v>65</c:v>
                </c:pt>
                <c:pt idx="16">
                  <c:v>66</c:v>
                </c:pt>
                <c:pt idx="17">
                  <c:v>67</c:v>
                </c:pt>
                <c:pt idx="18">
                  <c:v>68</c:v>
                </c:pt>
                <c:pt idx="19">
                  <c:v>69</c:v>
                </c:pt>
                <c:pt idx="20">
                  <c:v>70</c:v>
                </c:pt>
                <c:pt idx="21">
                  <c:v>71</c:v>
                </c:pt>
                <c:pt idx="22">
                  <c:v>72</c:v>
                </c:pt>
                <c:pt idx="23">
                  <c:v>73</c:v>
                </c:pt>
                <c:pt idx="24">
                  <c:v>74</c:v>
                </c:pt>
                <c:pt idx="25">
                  <c:v>75</c:v>
                </c:pt>
                <c:pt idx="26">
                  <c:v>76</c:v>
                </c:pt>
                <c:pt idx="27">
                  <c:v>77</c:v>
                </c:pt>
                <c:pt idx="28">
                  <c:v>78</c:v>
                </c:pt>
                <c:pt idx="29">
                  <c:v>79</c:v>
                </c:pt>
                <c:pt idx="30">
                  <c:v>80</c:v>
                </c:pt>
                <c:pt idx="31">
                  <c:v>81</c:v>
                </c:pt>
                <c:pt idx="32">
                  <c:v>82</c:v>
                </c:pt>
                <c:pt idx="33">
                  <c:v>83</c:v>
                </c:pt>
                <c:pt idx="34">
                  <c:v>84</c:v>
                </c:pt>
                <c:pt idx="35">
                  <c:v>85</c:v>
                </c:pt>
                <c:pt idx="36">
                  <c:v>86</c:v>
                </c:pt>
                <c:pt idx="37">
                  <c:v>87</c:v>
                </c:pt>
                <c:pt idx="38">
                  <c:v>88</c:v>
                </c:pt>
                <c:pt idx="39">
                  <c:v>89</c:v>
                </c:pt>
                <c:pt idx="40">
                  <c:v>90</c:v>
                </c:pt>
                <c:pt idx="41">
                  <c:v>91</c:v>
                </c:pt>
                <c:pt idx="42">
                  <c:v>92</c:v>
                </c:pt>
                <c:pt idx="43">
                  <c:v>93</c:v>
                </c:pt>
                <c:pt idx="44">
                  <c:v>94</c:v>
                </c:pt>
                <c:pt idx="45">
                  <c:v>95</c:v>
                </c:pt>
                <c:pt idx="46">
                  <c:v>96</c:v>
                </c:pt>
                <c:pt idx="47">
                  <c:v>97</c:v>
                </c:pt>
                <c:pt idx="48">
                  <c:v>98</c:v>
                </c:pt>
                <c:pt idx="49">
                  <c:v>99</c:v>
                </c:pt>
                <c:pt idx="50">
                  <c:v>100</c:v>
                </c:pt>
                <c:pt idx="51">
                  <c:v>101</c:v>
                </c:pt>
                <c:pt idx="52">
                  <c:v>102</c:v>
                </c:pt>
                <c:pt idx="53">
                  <c:v>103</c:v>
                </c:pt>
                <c:pt idx="54">
                  <c:v>104</c:v>
                </c:pt>
                <c:pt idx="55">
                  <c:v>105</c:v>
                </c:pt>
                <c:pt idx="56">
                  <c:v>106</c:v>
                </c:pt>
                <c:pt idx="57">
                  <c:v>107</c:v>
                </c:pt>
                <c:pt idx="58">
                  <c:v>108</c:v>
                </c:pt>
                <c:pt idx="59">
                  <c:v>109</c:v>
                </c:pt>
                <c:pt idx="60">
                  <c:v>110</c:v>
                </c:pt>
                <c:pt idx="61">
                  <c:v>111</c:v>
                </c:pt>
                <c:pt idx="62">
                  <c:v>112</c:v>
                </c:pt>
                <c:pt idx="63">
                  <c:v>113</c:v>
                </c:pt>
                <c:pt idx="64">
                  <c:v>114</c:v>
                </c:pt>
                <c:pt idx="65">
                  <c:v>115</c:v>
                </c:pt>
                <c:pt idx="66">
                  <c:v>116</c:v>
                </c:pt>
                <c:pt idx="67">
                  <c:v>117</c:v>
                </c:pt>
                <c:pt idx="68">
                  <c:v>118</c:v>
                </c:pt>
                <c:pt idx="69">
                  <c:v>119</c:v>
                </c:pt>
                <c:pt idx="70">
                  <c:v>120</c:v>
                </c:pt>
                <c:pt idx="71">
                  <c:v>121</c:v>
                </c:pt>
                <c:pt idx="72">
                  <c:v>122</c:v>
                </c:pt>
                <c:pt idx="73">
                  <c:v>123</c:v>
                </c:pt>
                <c:pt idx="74">
                  <c:v>124</c:v>
                </c:pt>
                <c:pt idx="75">
                  <c:v>125</c:v>
                </c:pt>
                <c:pt idx="76">
                  <c:v>126</c:v>
                </c:pt>
                <c:pt idx="77">
                  <c:v>127</c:v>
                </c:pt>
                <c:pt idx="78">
                  <c:v>128</c:v>
                </c:pt>
                <c:pt idx="79">
                  <c:v>129</c:v>
                </c:pt>
                <c:pt idx="80">
                  <c:v>130</c:v>
                </c:pt>
                <c:pt idx="81">
                  <c:v>131</c:v>
                </c:pt>
                <c:pt idx="82">
                  <c:v>132</c:v>
                </c:pt>
                <c:pt idx="83">
                  <c:v>133</c:v>
                </c:pt>
                <c:pt idx="84">
                  <c:v>134</c:v>
                </c:pt>
                <c:pt idx="85">
                  <c:v>135</c:v>
                </c:pt>
                <c:pt idx="86">
                  <c:v>136</c:v>
                </c:pt>
                <c:pt idx="87">
                  <c:v>137</c:v>
                </c:pt>
                <c:pt idx="88">
                  <c:v>138</c:v>
                </c:pt>
                <c:pt idx="89">
                  <c:v>139</c:v>
                </c:pt>
                <c:pt idx="90">
                  <c:v>140</c:v>
                </c:pt>
                <c:pt idx="91">
                  <c:v>141</c:v>
                </c:pt>
                <c:pt idx="92">
                  <c:v>142</c:v>
                </c:pt>
                <c:pt idx="93">
                  <c:v>143</c:v>
                </c:pt>
                <c:pt idx="94">
                  <c:v>144</c:v>
                </c:pt>
                <c:pt idx="95">
                  <c:v>145</c:v>
                </c:pt>
                <c:pt idx="96">
                  <c:v>146</c:v>
                </c:pt>
                <c:pt idx="97">
                  <c:v>147</c:v>
                </c:pt>
                <c:pt idx="98">
                  <c:v>148</c:v>
                </c:pt>
                <c:pt idx="99">
                  <c:v>149</c:v>
                </c:pt>
                <c:pt idx="100">
                  <c:v>150</c:v>
                </c:pt>
                <c:pt idx="101">
                  <c:v>151</c:v>
                </c:pt>
                <c:pt idx="102">
                  <c:v>152</c:v>
                </c:pt>
                <c:pt idx="103">
                  <c:v>153</c:v>
                </c:pt>
                <c:pt idx="104">
                  <c:v>154</c:v>
                </c:pt>
                <c:pt idx="105">
                  <c:v>155</c:v>
                </c:pt>
                <c:pt idx="106">
                  <c:v>156</c:v>
                </c:pt>
                <c:pt idx="107">
                  <c:v>157</c:v>
                </c:pt>
                <c:pt idx="108">
                  <c:v>158</c:v>
                </c:pt>
                <c:pt idx="109">
                  <c:v>159</c:v>
                </c:pt>
                <c:pt idx="110">
                  <c:v>160</c:v>
                </c:pt>
                <c:pt idx="111">
                  <c:v>161</c:v>
                </c:pt>
                <c:pt idx="112">
                  <c:v>162</c:v>
                </c:pt>
                <c:pt idx="113">
                  <c:v>163</c:v>
                </c:pt>
                <c:pt idx="114">
                  <c:v>164</c:v>
                </c:pt>
                <c:pt idx="115">
                  <c:v>165</c:v>
                </c:pt>
                <c:pt idx="116">
                  <c:v>166</c:v>
                </c:pt>
                <c:pt idx="117">
                  <c:v>167</c:v>
                </c:pt>
                <c:pt idx="118">
                  <c:v>168</c:v>
                </c:pt>
                <c:pt idx="119">
                  <c:v>169</c:v>
                </c:pt>
                <c:pt idx="120">
                  <c:v>170</c:v>
                </c:pt>
                <c:pt idx="121">
                  <c:v>171</c:v>
                </c:pt>
                <c:pt idx="122">
                  <c:v>172</c:v>
                </c:pt>
                <c:pt idx="123">
                  <c:v>173</c:v>
                </c:pt>
                <c:pt idx="124">
                  <c:v>174</c:v>
                </c:pt>
                <c:pt idx="125">
                  <c:v>175</c:v>
                </c:pt>
                <c:pt idx="126">
                  <c:v>176</c:v>
                </c:pt>
                <c:pt idx="127">
                  <c:v>177</c:v>
                </c:pt>
                <c:pt idx="128">
                  <c:v>178</c:v>
                </c:pt>
                <c:pt idx="129">
                  <c:v>179</c:v>
                </c:pt>
                <c:pt idx="130">
                  <c:v>180</c:v>
                </c:pt>
                <c:pt idx="131">
                  <c:v>181</c:v>
                </c:pt>
                <c:pt idx="132">
                  <c:v>182</c:v>
                </c:pt>
                <c:pt idx="133">
                  <c:v>183</c:v>
                </c:pt>
                <c:pt idx="134">
                  <c:v>184</c:v>
                </c:pt>
                <c:pt idx="135">
                  <c:v>185</c:v>
                </c:pt>
                <c:pt idx="136">
                  <c:v>186</c:v>
                </c:pt>
                <c:pt idx="137">
                  <c:v>187</c:v>
                </c:pt>
                <c:pt idx="138">
                  <c:v>188</c:v>
                </c:pt>
                <c:pt idx="139">
                  <c:v>189</c:v>
                </c:pt>
                <c:pt idx="140">
                  <c:v>190</c:v>
                </c:pt>
                <c:pt idx="141">
                  <c:v>191</c:v>
                </c:pt>
                <c:pt idx="142">
                  <c:v>192</c:v>
                </c:pt>
                <c:pt idx="143">
                  <c:v>193</c:v>
                </c:pt>
                <c:pt idx="144">
                  <c:v>194</c:v>
                </c:pt>
                <c:pt idx="145">
                  <c:v>195</c:v>
                </c:pt>
                <c:pt idx="146">
                  <c:v>196</c:v>
                </c:pt>
                <c:pt idx="147">
                  <c:v>197</c:v>
                </c:pt>
                <c:pt idx="148">
                  <c:v>198</c:v>
                </c:pt>
                <c:pt idx="149">
                  <c:v>199</c:v>
                </c:pt>
                <c:pt idx="150">
                  <c:v>200</c:v>
                </c:pt>
                <c:pt idx="151">
                  <c:v>201</c:v>
                </c:pt>
                <c:pt idx="152">
                  <c:v>202</c:v>
                </c:pt>
                <c:pt idx="153">
                  <c:v>203</c:v>
                </c:pt>
                <c:pt idx="154">
                  <c:v>204</c:v>
                </c:pt>
                <c:pt idx="155">
                  <c:v>205</c:v>
                </c:pt>
                <c:pt idx="156">
                  <c:v>206</c:v>
                </c:pt>
                <c:pt idx="157">
                  <c:v>207</c:v>
                </c:pt>
                <c:pt idx="158">
                  <c:v>208</c:v>
                </c:pt>
                <c:pt idx="159">
                  <c:v>209</c:v>
                </c:pt>
                <c:pt idx="160">
                  <c:v>210</c:v>
                </c:pt>
                <c:pt idx="161">
                  <c:v>211</c:v>
                </c:pt>
                <c:pt idx="162">
                  <c:v>212</c:v>
                </c:pt>
                <c:pt idx="163">
                  <c:v>213</c:v>
                </c:pt>
                <c:pt idx="164">
                  <c:v>214</c:v>
                </c:pt>
                <c:pt idx="165">
                  <c:v>215</c:v>
                </c:pt>
                <c:pt idx="166">
                  <c:v>216</c:v>
                </c:pt>
                <c:pt idx="167">
                  <c:v>217</c:v>
                </c:pt>
                <c:pt idx="168">
                  <c:v>218</c:v>
                </c:pt>
                <c:pt idx="169">
                  <c:v>219</c:v>
                </c:pt>
                <c:pt idx="170">
                  <c:v>220</c:v>
                </c:pt>
                <c:pt idx="171">
                  <c:v>221</c:v>
                </c:pt>
                <c:pt idx="172">
                  <c:v>222</c:v>
                </c:pt>
                <c:pt idx="173">
                  <c:v>223</c:v>
                </c:pt>
                <c:pt idx="174">
                  <c:v>224</c:v>
                </c:pt>
                <c:pt idx="175">
                  <c:v>225</c:v>
                </c:pt>
                <c:pt idx="176">
                  <c:v>226</c:v>
                </c:pt>
                <c:pt idx="177">
                  <c:v>227</c:v>
                </c:pt>
                <c:pt idx="178">
                  <c:v>228</c:v>
                </c:pt>
                <c:pt idx="179">
                  <c:v>229</c:v>
                </c:pt>
                <c:pt idx="180">
                  <c:v>230</c:v>
                </c:pt>
                <c:pt idx="181">
                  <c:v>231</c:v>
                </c:pt>
                <c:pt idx="182">
                  <c:v>232</c:v>
                </c:pt>
                <c:pt idx="183">
                  <c:v>233</c:v>
                </c:pt>
                <c:pt idx="184">
                  <c:v>234</c:v>
                </c:pt>
                <c:pt idx="185">
                  <c:v>235</c:v>
                </c:pt>
                <c:pt idx="186">
                  <c:v>236</c:v>
                </c:pt>
                <c:pt idx="187">
                  <c:v>237</c:v>
                </c:pt>
                <c:pt idx="188">
                  <c:v>238</c:v>
                </c:pt>
                <c:pt idx="189">
                  <c:v>239</c:v>
                </c:pt>
                <c:pt idx="190">
                  <c:v>240</c:v>
                </c:pt>
                <c:pt idx="191">
                  <c:v>241</c:v>
                </c:pt>
                <c:pt idx="192">
                  <c:v>242</c:v>
                </c:pt>
                <c:pt idx="193">
                  <c:v>243</c:v>
                </c:pt>
                <c:pt idx="194">
                  <c:v>244</c:v>
                </c:pt>
                <c:pt idx="195">
                  <c:v>245</c:v>
                </c:pt>
                <c:pt idx="196">
                  <c:v>246</c:v>
                </c:pt>
                <c:pt idx="197">
                  <c:v>247</c:v>
                </c:pt>
                <c:pt idx="198">
                  <c:v>248</c:v>
                </c:pt>
                <c:pt idx="199">
                  <c:v>249</c:v>
                </c:pt>
                <c:pt idx="200">
                  <c:v>250</c:v>
                </c:pt>
                <c:pt idx="201">
                  <c:v>251</c:v>
                </c:pt>
                <c:pt idx="202">
                  <c:v>252</c:v>
                </c:pt>
                <c:pt idx="203">
                  <c:v>253</c:v>
                </c:pt>
                <c:pt idx="204">
                  <c:v>254</c:v>
                </c:pt>
                <c:pt idx="205">
                  <c:v>255</c:v>
                </c:pt>
                <c:pt idx="206">
                  <c:v>256</c:v>
                </c:pt>
                <c:pt idx="207">
                  <c:v>257</c:v>
                </c:pt>
                <c:pt idx="208">
                  <c:v>258</c:v>
                </c:pt>
                <c:pt idx="209">
                  <c:v>259</c:v>
                </c:pt>
                <c:pt idx="210">
                  <c:v>260</c:v>
                </c:pt>
                <c:pt idx="211">
                  <c:v>261</c:v>
                </c:pt>
                <c:pt idx="212">
                  <c:v>262</c:v>
                </c:pt>
                <c:pt idx="213">
                  <c:v>263</c:v>
                </c:pt>
                <c:pt idx="214">
                  <c:v>264</c:v>
                </c:pt>
                <c:pt idx="215">
                  <c:v>265</c:v>
                </c:pt>
                <c:pt idx="216">
                  <c:v>266</c:v>
                </c:pt>
                <c:pt idx="217">
                  <c:v>267</c:v>
                </c:pt>
                <c:pt idx="218">
                  <c:v>268</c:v>
                </c:pt>
                <c:pt idx="219">
                  <c:v>269</c:v>
                </c:pt>
                <c:pt idx="220">
                  <c:v>270</c:v>
                </c:pt>
                <c:pt idx="221">
                  <c:v>271</c:v>
                </c:pt>
                <c:pt idx="222">
                  <c:v>272</c:v>
                </c:pt>
                <c:pt idx="223">
                  <c:v>273</c:v>
                </c:pt>
                <c:pt idx="224">
                  <c:v>274</c:v>
                </c:pt>
                <c:pt idx="225">
                  <c:v>275</c:v>
                </c:pt>
                <c:pt idx="226">
                  <c:v>276</c:v>
                </c:pt>
                <c:pt idx="227">
                  <c:v>277</c:v>
                </c:pt>
                <c:pt idx="228">
                  <c:v>278</c:v>
                </c:pt>
                <c:pt idx="229">
                  <c:v>279</c:v>
                </c:pt>
                <c:pt idx="230">
                  <c:v>280</c:v>
                </c:pt>
                <c:pt idx="231">
                  <c:v>281</c:v>
                </c:pt>
                <c:pt idx="232">
                  <c:v>282</c:v>
                </c:pt>
                <c:pt idx="233">
                  <c:v>283</c:v>
                </c:pt>
                <c:pt idx="234">
                  <c:v>284</c:v>
                </c:pt>
                <c:pt idx="235">
                  <c:v>285</c:v>
                </c:pt>
                <c:pt idx="236">
                  <c:v>286</c:v>
                </c:pt>
                <c:pt idx="237">
                  <c:v>287</c:v>
                </c:pt>
                <c:pt idx="238">
                  <c:v>288</c:v>
                </c:pt>
                <c:pt idx="239">
                  <c:v>289</c:v>
                </c:pt>
                <c:pt idx="240">
                  <c:v>290</c:v>
                </c:pt>
                <c:pt idx="241">
                  <c:v>291</c:v>
                </c:pt>
                <c:pt idx="242">
                  <c:v>292</c:v>
                </c:pt>
                <c:pt idx="243">
                  <c:v>293</c:v>
                </c:pt>
                <c:pt idx="244">
                  <c:v>294</c:v>
                </c:pt>
                <c:pt idx="245">
                  <c:v>295</c:v>
                </c:pt>
                <c:pt idx="246">
                  <c:v>296</c:v>
                </c:pt>
                <c:pt idx="247">
                  <c:v>297</c:v>
                </c:pt>
                <c:pt idx="248">
                  <c:v>298</c:v>
                </c:pt>
                <c:pt idx="249">
                  <c:v>299</c:v>
                </c:pt>
                <c:pt idx="250">
                  <c:v>300</c:v>
                </c:pt>
                <c:pt idx="251">
                  <c:v>301</c:v>
                </c:pt>
                <c:pt idx="252">
                  <c:v>302</c:v>
                </c:pt>
                <c:pt idx="253">
                  <c:v>303</c:v>
                </c:pt>
                <c:pt idx="254">
                  <c:v>304</c:v>
                </c:pt>
                <c:pt idx="255">
                  <c:v>305</c:v>
                </c:pt>
                <c:pt idx="256">
                  <c:v>306</c:v>
                </c:pt>
                <c:pt idx="257">
                  <c:v>307</c:v>
                </c:pt>
                <c:pt idx="258">
                  <c:v>308</c:v>
                </c:pt>
                <c:pt idx="259">
                  <c:v>309</c:v>
                </c:pt>
                <c:pt idx="260">
                  <c:v>310</c:v>
                </c:pt>
                <c:pt idx="261">
                  <c:v>311</c:v>
                </c:pt>
                <c:pt idx="262">
                  <c:v>312</c:v>
                </c:pt>
                <c:pt idx="263">
                  <c:v>313</c:v>
                </c:pt>
                <c:pt idx="264">
                  <c:v>314</c:v>
                </c:pt>
                <c:pt idx="265">
                  <c:v>315</c:v>
                </c:pt>
                <c:pt idx="266">
                  <c:v>316</c:v>
                </c:pt>
                <c:pt idx="267">
                  <c:v>317</c:v>
                </c:pt>
                <c:pt idx="268">
                  <c:v>318</c:v>
                </c:pt>
                <c:pt idx="269">
                  <c:v>319</c:v>
                </c:pt>
                <c:pt idx="270">
                  <c:v>320</c:v>
                </c:pt>
                <c:pt idx="271">
                  <c:v>321</c:v>
                </c:pt>
                <c:pt idx="272">
                  <c:v>322</c:v>
                </c:pt>
                <c:pt idx="273">
                  <c:v>323</c:v>
                </c:pt>
                <c:pt idx="274">
                  <c:v>324</c:v>
                </c:pt>
                <c:pt idx="275">
                  <c:v>325</c:v>
                </c:pt>
                <c:pt idx="276">
                  <c:v>326</c:v>
                </c:pt>
                <c:pt idx="277">
                  <c:v>327</c:v>
                </c:pt>
                <c:pt idx="278">
                  <c:v>328</c:v>
                </c:pt>
                <c:pt idx="279">
                  <c:v>329</c:v>
                </c:pt>
                <c:pt idx="280">
                  <c:v>330</c:v>
                </c:pt>
                <c:pt idx="281">
                  <c:v>331</c:v>
                </c:pt>
                <c:pt idx="282">
                  <c:v>332</c:v>
                </c:pt>
                <c:pt idx="283">
                  <c:v>333</c:v>
                </c:pt>
                <c:pt idx="284">
                  <c:v>334</c:v>
                </c:pt>
                <c:pt idx="285">
                  <c:v>335</c:v>
                </c:pt>
                <c:pt idx="286">
                  <c:v>336</c:v>
                </c:pt>
                <c:pt idx="287">
                  <c:v>337</c:v>
                </c:pt>
                <c:pt idx="288">
                  <c:v>338</c:v>
                </c:pt>
                <c:pt idx="289">
                  <c:v>339</c:v>
                </c:pt>
                <c:pt idx="290">
                  <c:v>340</c:v>
                </c:pt>
                <c:pt idx="291">
                  <c:v>341</c:v>
                </c:pt>
                <c:pt idx="292">
                  <c:v>342</c:v>
                </c:pt>
                <c:pt idx="293">
                  <c:v>343</c:v>
                </c:pt>
                <c:pt idx="294">
                  <c:v>344</c:v>
                </c:pt>
                <c:pt idx="295">
                  <c:v>345</c:v>
                </c:pt>
                <c:pt idx="296">
                  <c:v>346</c:v>
                </c:pt>
                <c:pt idx="297">
                  <c:v>347</c:v>
                </c:pt>
                <c:pt idx="298">
                  <c:v>348</c:v>
                </c:pt>
                <c:pt idx="299">
                  <c:v>349</c:v>
                </c:pt>
                <c:pt idx="300">
                  <c:v>350</c:v>
                </c:pt>
                <c:pt idx="301">
                  <c:v>351</c:v>
                </c:pt>
                <c:pt idx="302">
                  <c:v>352</c:v>
                </c:pt>
                <c:pt idx="303">
                  <c:v>353</c:v>
                </c:pt>
                <c:pt idx="304">
                  <c:v>354</c:v>
                </c:pt>
                <c:pt idx="305">
                  <c:v>355</c:v>
                </c:pt>
                <c:pt idx="306">
                  <c:v>356</c:v>
                </c:pt>
                <c:pt idx="307">
                  <c:v>357</c:v>
                </c:pt>
                <c:pt idx="308">
                  <c:v>358</c:v>
                </c:pt>
                <c:pt idx="309">
                  <c:v>359</c:v>
                </c:pt>
                <c:pt idx="310">
                  <c:v>360</c:v>
                </c:pt>
                <c:pt idx="311">
                  <c:v>361</c:v>
                </c:pt>
                <c:pt idx="312">
                  <c:v>362</c:v>
                </c:pt>
                <c:pt idx="313">
                  <c:v>363</c:v>
                </c:pt>
                <c:pt idx="314">
                  <c:v>364</c:v>
                </c:pt>
                <c:pt idx="315">
                  <c:v>365</c:v>
                </c:pt>
                <c:pt idx="316">
                  <c:v>366</c:v>
                </c:pt>
                <c:pt idx="317">
                  <c:v>367</c:v>
                </c:pt>
                <c:pt idx="318">
                  <c:v>368</c:v>
                </c:pt>
                <c:pt idx="319">
                  <c:v>369</c:v>
                </c:pt>
                <c:pt idx="320">
                  <c:v>370</c:v>
                </c:pt>
                <c:pt idx="321">
                  <c:v>371</c:v>
                </c:pt>
                <c:pt idx="322">
                  <c:v>372</c:v>
                </c:pt>
                <c:pt idx="323">
                  <c:v>373</c:v>
                </c:pt>
                <c:pt idx="324">
                  <c:v>374</c:v>
                </c:pt>
                <c:pt idx="325">
                  <c:v>375</c:v>
                </c:pt>
                <c:pt idx="326">
                  <c:v>376</c:v>
                </c:pt>
                <c:pt idx="327">
                  <c:v>377</c:v>
                </c:pt>
                <c:pt idx="328">
                  <c:v>378</c:v>
                </c:pt>
                <c:pt idx="329">
                  <c:v>379</c:v>
                </c:pt>
                <c:pt idx="330">
                  <c:v>380</c:v>
                </c:pt>
                <c:pt idx="331">
                  <c:v>381</c:v>
                </c:pt>
                <c:pt idx="332">
                  <c:v>382</c:v>
                </c:pt>
                <c:pt idx="333">
                  <c:v>383</c:v>
                </c:pt>
                <c:pt idx="334">
                  <c:v>384</c:v>
                </c:pt>
                <c:pt idx="335">
                  <c:v>385</c:v>
                </c:pt>
                <c:pt idx="336">
                  <c:v>386</c:v>
                </c:pt>
                <c:pt idx="337">
                  <c:v>387</c:v>
                </c:pt>
                <c:pt idx="338">
                  <c:v>388</c:v>
                </c:pt>
                <c:pt idx="339">
                  <c:v>389</c:v>
                </c:pt>
                <c:pt idx="340">
                  <c:v>390</c:v>
                </c:pt>
                <c:pt idx="341">
                  <c:v>391</c:v>
                </c:pt>
                <c:pt idx="342">
                  <c:v>392</c:v>
                </c:pt>
                <c:pt idx="343">
                  <c:v>393</c:v>
                </c:pt>
                <c:pt idx="344">
                  <c:v>394</c:v>
                </c:pt>
                <c:pt idx="345">
                  <c:v>395</c:v>
                </c:pt>
                <c:pt idx="346">
                  <c:v>396</c:v>
                </c:pt>
                <c:pt idx="347">
                  <c:v>397</c:v>
                </c:pt>
                <c:pt idx="348">
                  <c:v>398</c:v>
                </c:pt>
                <c:pt idx="349">
                  <c:v>399</c:v>
                </c:pt>
                <c:pt idx="350">
                  <c:v>400</c:v>
                </c:pt>
                <c:pt idx="351">
                  <c:v>401</c:v>
                </c:pt>
                <c:pt idx="352">
                  <c:v>402</c:v>
                </c:pt>
                <c:pt idx="353">
                  <c:v>403</c:v>
                </c:pt>
                <c:pt idx="354">
                  <c:v>404</c:v>
                </c:pt>
                <c:pt idx="355">
                  <c:v>405</c:v>
                </c:pt>
                <c:pt idx="356">
                  <c:v>406</c:v>
                </c:pt>
                <c:pt idx="357">
                  <c:v>407</c:v>
                </c:pt>
                <c:pt idx="358">
                  <c:v>408</c:v>
                </c:pt>
                <c:pt idx="359">
                  <c:v>409</c:v>
                </c:pt>
                <c:pt idx="360">
                  <c:v>410</c:v>
                </c:pt>
                <c:pt idx="361">
                  <c:v>411</c:v>
                </c:pt>
                <c:pt idx="362">
                  <c:v>412</c:v>
                </c:pt>
                <c:pt idx="363">
                  <c:v>413</c:v>
                </c:pt>
                <c:pt idx="364">
                  <c:v>414</c:v>
                </c:pt>
                <c:pt idx="365">
                  <c:v>415</c:v>
                </c:pt>
                <c:pt idx="366">
                  <c:v>416</c:v>
                </c:pt>
                <c:pt idx="367">
                  <c:v>417</c:v>
                </c:pt>
                <c:pt idx="368">
                  <c:v>418</c:v>
                </c:pt>
                <c:pt idx="369">
                  <c:v>419</c:v>
                </c:pt>
                <c:pt idx="370">
                  <c:v>420</c:v>
                </c:pt>
                <c:pt idx="371">
                  <c:v>421</c:v>
                </c:pt>
                <c:pt idx="372">
                  <c:v>422</c:v>
                </c:pt>
                <c:pt idx="373">
                  <c:v>423</c:v>
                </c:pt>
                <c:pt idx="374">
                  <c:v>424</c:v>
                </c:pt>
                <c:pt idx="375">
                  <c:v>425</c:v>
                </c:pt>
                <c:pt idx="376">
                  <c:v>426</c:v>
                </c:pt>
                <c:pt idx="377">
                  <c:v>427</c:v>
                </c:pt>
                <c:pt idx="378">
                  <c:v>428</c:v>
                </c:pt>
                <c:pt idx="379">
                  <c:v>429</c:v>
                </c:pt>
                <c:pt idx="380">
                  <c:v>430</c:v>
                </c:pt>
                <c:pt idx="381">
                  <c:v>431</c:v>
                </c:pt>
                <c:pt idx="382">
                  <c:v>432</c:v>
                </c:pt>
                <c:pt idx="383">
                  <c:v>433</c:v>
                </c:pt>
                <c:pt idx="384">
                  <c:v>434</c:v>
                </c:pt>
                <c:pt idx="385">
                  <c:v>435</c:v>
                </c:pt>
                <c:pt idx="386">
                  <c:v>436</c:v>
                </c:pt>
                <c:pt idx="387">
                  <c:v>437</c:v>
                </c:pt>
                <c:pt idx="388">
                  <c:v>438</c:v>
                </c:pt>
                <c:pt idx="389">
                  <c:v>439</c:v>
                </c:pt>
                <c:pt idx="390">
                  <c:v>440</c:v>
                </c:pt>
                <c:pt idx="391">
                  <c:v>441</c:v>
                </c:pt>
                <c:pt idx="392">
                  <c:v>442</c:v>
                </c:pt>
                <c:pt idx="393">
                  <c:v>443</c:v>
                </c:pt>
                <c:pt idx="394">
                  <c:v>444</c:v>
                </c:pt>
                <c:pt idx="395">
                  <c:v>445</c:v>
                </c:pt>
                <c:pt idx="396">
                  <c:v>446</c:v>
                </c:pt>
                <c:pt idx="397">
                  <c:v>447</c:v>
                </c:pt>
                <c:pt idx="398">
                  <c:v>448</c:v>
                </c:pt>
                <c:pt idx="399">
                  <c:v>449</c:v>
                </c:pt>
                <c:pt idx="400">
                  <c:v>450</c:v>
                </c:pt>
                <c:pt idx="401">
                  <c:v>451</c:v>
                </c:pt>
                <c:pt idx="402">
                  <c:v>452</c:v>
                </c:pt>
                <c:pt idx="403">
                  <c:v>453</c:v>
                </c:pt>
                <c:pt idx="404">
                  <c:v>454</c:v>
                </c:pt>
                <c:pt idx="405">
                  <c:v>455</c:v>
                </c:pt>
                <c:pt idx="406">
                  <c:v>456</c:v>
                </c:pt>
                <c:pt idx="407">
                  <c:v>457</c:v>
                </c:pt>
                <c:pt idx="408">
                  <c:v>458</c:v>
                </c:pt>
                <c:pt idx="409">
                  <c:v>459</c:v>
                </c:pt>
                <c:pt idx="410">
                  <c:v>460</c:v>
                </c:pt>
                <c:pt idx="411">
                  <c:v>461</c:v>
                </c:pt>
                <c:pt idx="412">
                  <c:v>462</c:v>
                </c:pt>
                <c:pt idx="413">
                  <c:v>463</c:v>
                </c:pt>
                <c:pt idx="414">
                  <c:v>464</c:v>
                </c:pt>
                <c:pt idx="415">
                  <c:v>465</c:v>
                </c:pt>
                <c:pt idx="416">
                  <c:v>466</c:v>
                </c:pt>
                <c:pt idx="417">
                  <c:v>467</c:v>
                </c:pt>
                <c:pt idx="418">
                  <c:v>468</c:v>
                </c:pt>
                <c:pt idx="419">
                  <c:v>469</c:v>
                </c:pt>
                <c:pt idx="420">
                  <c:v>470</c:v>
                </c:pt>
                <c:pt idx="421">
                  <c:v>471</c:v>
                </c:pt>
                <c:pt idx="422">
                  <c:v>472</c:v>
                </c:pt>
                <c:pt idx="423">
                  <c:v>473</c:v>
                </c:pt>
                <c:pt idx="424">
                  <c:v>474</c:v>
                </c:pt>
                <c:pt idx="425">
                  <c:v>475</c:v>
                </c:pt>
                <c:pt idx="426">
                  <c:v>476</c:v>
                </c:pt>
                <c:pt idx="427">
                  <c:v>477</c:v>
                </c:pt>
                <c:pt idx="428">
                  <c:v>478</c:v>
                </c:pt>
                <c:pt idx="429">
                  <c:v>479</c:v>
                </c:pt>
                <c:pt idx="430">
                  <c:v>480</c:v>
                </c:pt>
                <c:pt idx="431">
                  <c:v>481</c:v>
                </c:pt>
                <c:pt idx="432">
                  <c:v>482</c:v>
                </c:pt>
                <c:pt idx="433">
                  <c:v>483</c:v>
                </c:pt>
                <c:pt idx="434">
                  <c:v>484</c:v>
                </c:pt>
                <c:pt idx="435">
                  <c:v>485</c:v>
                </c:pt>
                <c:pt idx="436">
                  <c:v>486</c:v>
                </c:pt>
                <c:pt idx="437">
                  <c:v>487</c:v>
                </c:pt>
                <c:pt idx="438">
                  <c:v>488</c:v>
                </c:pt>
                <c:pt idx="439">
                  <c:v>489</c:v>
                </c:pt>
                <c:pt idx="440">
                  <c:v>490</c:v>
                </c:pt>
                <c:pt idx="441">
                  <c:v>491</c:v>
                </c:pt>
                <c:pt idx="442">
                  <c:v>492</c:v>
                </c:pt>
                <c:pt idx="443">
                  <c:v>493</c:v>
                </c:pt>
                <c:pt idx="444">
                  <c:v>494</c:v>
                </c:pt>
                <c:pt idx="445">
                  <c:v>495</c:v>
                </c:pt>
                <c:pt idx="446">
                  <c:v>496</c:v>
                </c:pt>
                <c:pt idx="447">
                  <c:v>497</c:v>
                </c:pt>
                <c:pt idx="448">
                  <c:v>498</c:v>
                </c:pt>
                <c:pt idx="449">
                  <c:v>499</c:v>
                </c:pt>
                <c:pt idx="450">
                  <c:v>500</c:v>
                </c:pt>
              </c:numCache>
            </c:numRef>
          </c:cat>
          <c:val>
            <c:numRef>
              <c:f>'European LR'!$F$2:$F$452</c:f>
              <c:numCache>
                <c:formatCode>General</c:formatCode>
                <c:ptCount val="451"/>
                <c:pt idx="0">
                  <c:v>-5.660345229423136E-2</c:v>
                </c:pt>
                <c:pt idx="1">
                  <c:v>1.2080494654576057E-4</c:v>
                </c:pt>
                <c:pt idx="2">
                  <c:v>-5.4482043687816173E-2</c:v>
                </c:pt>
                <c:pt idx="3">
                  <c:v>1.1195103206418366E-4</c:v>
                </c:pt>
                <c:pt idx="4">
                  <c:v>-5.2514606050783286E-2</c:v>
                </c:pt>
                <c:pt idx="5">
                  <c:v>1.0403590131247142E-4</c:v>
                </c:pt>
                <c:pt idx="6">
                  <c:v>-5.0684928297238585E-2</c:v>
                </c:pt>
                <c:pt idx="7">
                  <c:v>9.6931388000598417E-5</c:v>
                </c:pt>
                <c:pt idx="8">
                  <c:v>-4.897900080028883E-2</c:v>
                </c:pt>
                <c:pt idx="9">
                  <c:v>9.0530473146444024E-5</c:v>
                </c:pt>
                <c:pt idx="10">
                  <c:v>-4.7384653651979747E-2</c:v>
                </c:pt>
                <c:pt idx="11">
                  <c:v>8.4743229843198264E-5</c:v>
                </c:pt>
                <c:pt idx="12">
                  <c:v>-4.589126402298227E-2</c:v>
                </c:pt>
                <c:pt idx="13">
                  <c:v>7.9493654446594064E-5</c:v>
                </c:pt>
                <c:pt idx="14">
                  <c:v>-4.4489517691994607E-2</c:v>
                </c:pt>
                <c:pt idx="15">
                  <c:v>7.4717151974823537E-5</c:v>
                </c:pt>
                <c:pt idx="16">
                  <c:v>-4.3171213396576036E-2</c:v>
                </c:pt>
                <c:pt idx="17">
                  <c:v>7.0358545400495132E-5</c:v>
                </c:pt>
                <c:pt idx="18">
                  <c:v>-4.1929101284340575E-2</c:v>
                </c:pt>
                <c:pt idx="19">
                  <c:v>6.6370472866950081E-5</c:v>
                </c:pt>
                <c:pt idx="20">
                  <c:v>-4.0756748723962843E-2</c:v>
                </c:pt>
                <c:pt idx="21">
                  <c:v>6.2712095802552881E-5</c:v>
                </c:pt>
                <c:pt idx="22">
                  <c:v>-3.9648428225158128E-2</c:v>
                </c:pt>
                <c:pt idx="23">
                  <c:v>5.9348052936059048E-5</c:v>
                </c:pt>
                <c:pt idx="24">
                  <c:v>-3.8599023312599456E-2</c:v>
                </c:pt>
                <c:pt idx="25">
                  <c:v>5.6247596614156237E-5</c:v>
                </c:pt>
                <c:pt idx="26">
                  <c:v>-3.7603949104102696E-2</c:v>
                </c:pt>
                <c:pt idx="27">
                  <c:v>5.3383892780090036E-5</c:v>
                </c:pt>
                <c:pt idx="28">
                  <c:v>-3.6659084961939925E-2</c:v>
                </c:pt>
                <c:pt idx="29">
                  <c:v>5.073343763761784E-5</c:v>
                </c:pt>
                <c:pt idx="30">
                  <c:v>-3.5760717139600828E-2</c:v>
                </c:pt>
                <c:pt idx="31">
                  <c:v>4.8275573208300671E-5</c:v>
                </c:pt>
                <c:pt idx="32">
                  <c:v>-3.4905489733997541E-2</c:v>
                </c:pt>
                <c:pt idx="33">
                  <c:v>4.5992082410961643E-5</c:v>
                </c:pt>
                <c:pt idx="34">
                  <c:v>-3.409036255946063E-2</c:v>
                </c:pt>
                <c:pt idx="35">
                  <c:v>4.3866853086882429E-5</c:v>
                </c:pt>
                <c:pt idx="36">
                  <c:v>-3.3312574852667254E-2</c:v>
                </c:pt>
                <c:pt idx="37">
                  <c:v>4.1885591889112561E-5</c:v>
                </c:pt>
                <c:pt idx="38">
                  <c:v>-3.256961386310131E-2</c:v>
                </c:pt>
                <c:pt idx="39">
                  <c:v>4.0035584587982953E-5</c:v>
                </c:pt>
                <c:pt idx="40">
                  <c:v>-3.18591875950478E-2</c:v>
                </c:pt>
                <c:pt idx="41">
                  <c:v>3.8305486279810452E-5</c:v>
                </c:pt>
                <c:pt idx="42">
                  <c:v>-3.1179201069015505E-2</c:v>
                </c:pt>
                <c:pt idx="43">
                  <c:v>3.6685156477034297E-5</c:v>
                </c:pt>
                <c:pt idx="44">
                  <c:v>-3.0527735582062121E-2</c:v>
                </c:pt>
                <c:pt idx="45">
                  <c:v>3.5165500833045371E-5</c:v>
                </c:pt>
                <c:pt idx="46">
                  <c:v>-2.9903030536221564E-2</c:v>
                </c:pt>
                <c:pt idx="47">
                  <c:v>3.3738349104694976E-5</c:v>
                </c:pt>
                <c:pt idx="48">
                  <c:v>-2.9303467470745304E-2</c:v>
                </c:pt>
                <c:pt idx="49">
                  <c:v>3.2396343549123685E-5</c:v>
                </c:pt>
                <c:pt idx="50">
                  <c:v>-2.8727555991441278E-2</c:v>
                </c:pt>
                <c:pt idx="51">
                  <c:v>3.1132843366421525E-5</c:v>
                </c:pt>
                <c:pt idx="52">
                  <c:v>-2.8173921340776786E-2</c:v>
                </c:pt>
                <c:pt idx="53">
                  <c:v>2.9941842157654719E-5</c:v>
                </c:pt>
                <c:pt idx="54">
                  <c:v>-2.7641293385975985E-2</c:v>
                </c:pt>
                <c:pt idx="55">
                  <c:v>2.8817899114130796E-5</c:v>
                </c:pt>
                <c:pt idx="56">
                  <c:v>-2.7128496851290151E-2</c:v>
                </c:pt>
                <c:pt idx="57">
                  <c:v>2.7756070572593217E-5</c:v>
                </c:pt>
                <c:pt idx="58">
                  <c:v>-2.6634442611602083E-2</c:v>
                </c:pt>
                <c:pt idx="59">
                  <c:v>2.6751865386032136E-5</c:v>
                </c:pt>
                <c:pt idx="60">
                  <c:v>-2.6158119940795643E-2</c:v>
                </c:pt>
                <c:pt idx="61">
                  <c:v>2.580118681372312E-5</c:v>
                </c:pt>
                <c:pt idx="62">
                  <c:v>-2.5698589571135244E-2</c:v>
                </c:pt>
                <c:pt idx="63">
                  <c:v>2.4900297150409756E-5</c:v>
                </c:pt>
                <c:pt idx="64">
                  <c:v>-2.5254977493364805E-2</c:v>
                </c:pt>
                <c:pt idx="65">
                  <c:v>2.4045779433379266E-5</c:v>
                </c:pt>
                <c:pt idx="66">
                  <c:v>-2.4826469373387283E-2</c:v>
                </c:pt>
                <c:pt idx="67">
                  <c:v>2.3234505567515384E-5</c:v>
                </c:pt>
                <c:pt idx="68">
                  <c:v>-2.441230554307694E-2</c:v>
                </c:pt>
                <c:pt idx="69">
                  <c:v>2.2463606136113867E-5</c:v>
                </c:pt>
                <c:pt idx="70">
                  <c:v>-2.4011776490423742E-2</c:v>
                </c:pt>
                <c:pt idx="71">
                  <c:v>2.1730446125189928E-5</c:v>
                </c:pt>
                <c:pt idx="72">
                  <c:v>-2.3624218777175798E-2</c:v>
                </c:pt>
                <c:pt idx="73">
                  <c:v>2.1032601290826847E-5</c:v>
                </c:pt>
                <c:pt idx="74">
                  <c:v>-2.324901136332258E-2</c:v>
                </c:pt>
                <c:pt idx="75">
                  <c:v>2.0367839011825595E-5</c:v>
                </c:pt>
                <c:pt idx="76">
                  <c:v>-2.2885572269172982E-2</c:v>
                </c:pt>
                <c:pt idx="77">
                  <c:v>1.9734101657675751E-5</c:v>
                </c:pt>
                <c:pt idx="78">
                  <c:v>-2.253335554680902E-2</c:v>
                </c:pt>
                <c:pt idx="79">
                  <c:v>1.9129487561997394E-5</c:v>
                </c:pt>
                <c:pt idx="80">
                  <c:v>-2.2191848536364134E-2</c:v>
                </c:pt>
                <c:pt idx="81">
                  <c:v>1.8552239458458075E-5</c:v>
                </c:pt>
                <c:pt idx="82">
                  <c:v>-2.1860569362573301E-2</c:v>
                </c:pt>
                <c:pt idx="83">
                  <c:v>1.800073193258811E-5</c:v>
                </c:pt>
                <c:pt idx="84">
                  <c:v>-2.1539064658625762E-2</c:v>
                </c:pt>
                <c:pt idx="85">
                  <c:v>1.7473454350991346E-5</c:v>
                </c:pt>
                <c:pt idx="86">
                  <c:v>-2.1226907489308999E-2</c:v>
                </c:pt>
                <c:pt idx="87">
                  <c:v>1.6969009051237549E-5</c:v>
                </c:pt>
                <c:pt idx="88">
                  <c:v>-2.0923695442304435E-2</c:v>
                </c:pt>
                <c:pt idx="89">
                  <c:v>1.6486097514700759E-5</c:v>
                </c:pt>
                <c:pt idx="90">
                  <c:v>-2.0629048904167391E-2</c:v>
                </c:pt>
                <c:pt idx="91">
                  <c:v>1.6023510758245152E-5</c:v>
                </c:pt>
                <c:pt idx="92">
                  <c:v>-2.0342609458429806E-2</c:v>
                </c:pt>
                <c:pt idx="93">
                  <c:v>1.5580122672886887E-5</c:v>
                </c:pt>
                <c:pt idx="94">
                  <c:v>-2.0064038426417241E-2</c:v>
                </c:pt>
                <c:pt idx="95">
                  <c:v>1.5154886298773818E-5</c:v>
                </c:pt>
                <c:pt idx="96">
                  <c:v>-1.979301552963264E-2</c:v>
                </c:pt>
                <c:pt idx="97">
                  <c:v>1.4746825883094061E-5</c:v>
                </c:pt>
                <c:pt idx="98">
                  <c:v>-1.9529237653687304E-2</c:v>
                </c:pt>
                <c:pt idx="99">
                  <c:v>1.4355025772516683E-5</c:v>
                </c:pt>
                <c:pt idx="100">
                  <c:v>-1.9272417713587231E-2</c:v>
                </c:pt>
                <c:pt idx="101">
                  <c:v>1.3978634882505503E-5</c:v>
                </c:pt>
                <c:pt idx="102">
                  <c:v>-1.9022283606490831E-2</c:v>
                </c:pt>
                <c:pt idx="103">
                  <c:v>1.3616857133413873E-5</c:v>
                </c:pt>
                <c:pt idx="104">
                  <c:v>-1.8778577248610873E-2</c:v>
                </c:pt>
                <c:pt idx="105">
                  <c:v>1.3268942529620631E-5</c:v>
                </c:pt>
                <c:pt idx="106">
                  <c:v>-1.8541053681500941E-2</c:v>
                </c:pt>
                <c:pt idx="107">
                  <c:v>1.2934194590030756E-5</c:v>
                </c:pt>
                <c:pt idx="108">
                  <c:v>-1.8309480247513221E-2</c:v>
                </c:pt>
                <c:pt idx="109">
                  <c:v>1.2611957140862273E-5</c:v>
                </c:pt>
                <c:pt idx="110">
                  <c:v>-1.8083635827874645E-2</c:v>
                </c:pt>
                <c:pt idx="111">
                  <c:v>1.2301610064824331E-5</c:v>
                </c:pt>
                <c:pt idx="112">
                  <c:v>-1.7863310134460519E-2</c:v>
                </c:pt>
                <c:pt idx="113">
                  <c:v>1.2002582367998116E-5</c:v>
                </c:pt>
                <c:pt idx="114">
                  <c:v>-1.7648303055292303E-2</c:v>
                </c:pt>
                <c:pt idx="115">
                  <c:v>1.1714323830958051E-5</c:v>
                </c:pt>
                <c:pt idx="116">
                  <c:v>-1.7438424046286372E-2</c:v>
                </c:pt>
                <c:pt idx="117">
                  <c:v>1.1436327890024245E-5</c:v>
                </c:pt>
                <c:pt idx="118">
                  <c:v>-1.7233491565123771E-2</c:v>
                </c:pt>
                <c:pt idx="119">
                  <c:v>1.1168110582104873E-5</c:v>
                </c:pt>
                <c:pt idx="120">
                  <c:v>-1.703333254505246E-2</c:v>
                </c:pt>
                <c:pt idx="121">
                  <c:v>1.0909219325228037E-5</c:v>
                </c:pt>
                <c:pt idx="122">
                  <c:v>-1.6837781906872351E-2</c:v>
                </c:pt>
                <c:pt idx="123">
                  <c:v>1.0659227736908861E-5</c:v>
                </c:pt>
                <c:pt idx="124">
                  <c:v>-1.6646682104193289E-2</c:v>
                </c:pt>
                <c:pt idx="125">
                  <c:v>1.0417731093781413E-5</c:v>
                </c:pt>
                <c:pt idx="126">
                  <c:v>-1.6459882691670202E-2</c:v>
                </c:pt>
                <c:pt idx="127">
                  <c:v>1.0184350657027608E-5</c:v>
                </c:pt>
                <c:pt idx="128">
                  <c:v>-1.6277239940549748E-2</c:v>
                </c:pt>
                <c:pt idx="129">
                  <c:v>9.9587241724208297E-6</c:v>
                </c:pt>
                <c:pt idx="130">
                  <c:v>-1.6098616457293602E-2</c:v>
                </c:pt>
                <c:pt idx="131">
                  <c:v>9.7405144714457492E-6</c:v>
                </c:pt>
                <c:pt idx="132">
                  <c:v>-1.592388084410068E-2</c:v>
                </c:pt>
                <c:pt idx="133">
                  <c:v>9.5293985964417516E-6</c:v>
                </c:pt>
                <c:pt idx="134">
                  <c:v>-1.5752907374309899E-2</c:v>
                </c:pt>
                <c:pt idx="135">
                  <c:v>9.3250700476943393E-6</c:v>
                </c:pt>
                <c:pt idx="136">
                  <c:v>-1.5585575687335762E-2</c:v>
                </c:pt>
                <c:pt idx="137">
                  <c:v>9.1272476581139017E-6</c:v>
                </c:pt>
                <c:pt idx="138">
                  <c:v>-1.5421770506028665E-2</c:v>
                </c:pt>
                <c:pt idx="139">
                  <c:v>8.9356520973637998E-6</c:v>
                </c:pt>
                <c:pt idx="140">
                  <c:v>-1.526138137084132E-2</c:v>
                </c:pt>
                <c:pt idx="141">
                  <c:v>8.7500255805395E-6</c:v>
                </c:pt>
                <c:pt idx="142">
                  <c:v>-1.5104302395513969E-2</c:v>
                </c:pt>
                <c:pt idx="143">
                  <c:v>8.5701245868818887E-6</c:v>
                </c:pt>
                <c:pt idx="144">
                  <c:v>-1.4950432025125693E-2</c:v>
                </c:pt>
                <c:pt idx="145">
                  <c:v>8.3957140724066903E-6</c:v>
                </c:pt>
                <c:pt idx="146">
                  <c:v>-1.4799672820727139E-2</c:v>
                </c:pt>
                <c:pt idx="147">
                  <c:v>8.226575882730458E-6</c:v>
                </c:pt>
                <c:pt idx="148">
                  <c:v>-1.4651931252458894E-2</c:v>
                </c:pt>
                <c:pt idx="149">
                  <c:v>8.0624971712239812E-6</c:v>
                </c:pt>
                <c:pt idx="150">
                  <c:v>-1.4507117503210765E-2</c:v>
                </c:pt>
                <c:pt idx="151">
                  <c:v>7.9032785471611078E-6</c:v>
                </c:pt>
                <c:pt idx="152">
                  <c:v>-1.4365145292764225E-2</c:v>
                </c:pt>
                <c:pt idx="153">
                  <c:v>7.748730181944552E-6</c:v>
                </c:pt>
                <c:pt idx="154">
                  <c:v>-1.4225931694081595E-2</c:v>
                </c:pt>
                <c:pt idx="155">
                  <c:v>7.5986712264608514E-6</c:v>
                </c:pt>
                <c:pt idx="156">
                  <c:v>-1.4089396985735192E-2</c:v>
                </c:pt>
                <c:pt idx="157">
                  <c:v>7.4529296458791805E-6</c:v>
                </c:pt>
                <c:pt idx="158">
                  <c:v>-1.3955464483931479E-2</c:v>
                </c:pt>
                <c:pt idx="159">
                  <c:v>7.311341413185346E-6</c:v>
                </c:pt>
                <c:pt idx="160">
                  <c:v>-1.3824060409854511E-2</c:v>
                </c:pt>
                <c:pt idx="161">
                  <c:v>7.1737497115975657E-6</c:v>
                </c:pt>
                <c:pt idx="162">
                  <c:v>-1.3695113751168719E-2</c:v>
                </c:pt>
                <c:pt idx="163">
                  <c:v>7.0400046077168099E-6</c:v>
                </c:pt>
                <c:pt idx="164">
                  <c:v>-1.3568556127365738E-2</c:v>
                </c:pt>
                <c:pt idx="165">
                  <c:v>6.9099660624516446E-6</c:v>
                </c:pt>
                <c:pt idx="166">
                  <c:v>-1.3444321677445359E-2</c:v>
                </c:pt>
                <c:pt idx="167">
                  <c:v>6.7834963886070909E-6</c:v>
                </c:pt>
                <c:pt idx="168">
                  <c:v>-1.3322346941736285E-2</c:v>
                </c:pt>
                <c:pt idx="169">
                  <c:v>6.6604699817673918E-6</c:v>
                </c:pt>
                <c:pt idx="170">
                  <c:v>-1.3202570746457809E-2</c:v>
                </c:pt>
                <c:pt idx="171">
                  <c:v>6.5407572318321172E-6</c:v>
                </c:pt>
                <c:pt idx="172">
                  <c:v>-1.308493411558409E-2</c:v>
                </c:pt>
                <c:pt idx="173">
                  <c:v>6.4242442601170069E-6</c:v>
                </c:pt>
                <c:pt idx="174">
                  <c:v>-1.2969380162173749E-2</c:v>
                </c:pt>
                <c:pt idx="175">
                  <c:v>6.3108184615856544E-6</c:v>
                </c:pt>
                <c:pt idx="176">
                  <c:v>-1.2855853996104116E-2</c:v>
                </c:pt>
                <c:pt idx="177">
                  <c:v>6.2003683023448275E-6</c:v>
                </c:pt>
                <c:pt idx="178">
                  <c:v>-1.2744302645163685E-2</c:v>
                </c:pt>
                <c:pt idx="179">
                  <c:v>6.0927926170961655E-6</c:v>
                </c:pt>
                <c:pt idx="180">
                  <c:v>-1.2634674967070936E-2</c:v>
                </c:pt>
                <c:pt idx="181">
                  <c:v>5.9879940952356492E-6</c:v>
                </c:pt>
                <c:pt idx="182">
                  <c:v>-1.2526921570795935E-2</c:v>
                </c:pt>
                <c:pt idx="183">
                  <c:v>5.8858755043189603E-6</c:v>
                </c:pt>
                <c:pt idx="184">
                  <c:v>-1.2420994739679614E-2</c:v>
                </c:pt>
                <c:pt idx="185">
                  <c:v>5.7863460654061782E-6</c:v>
                </c:pt>
                <c:pt idx="186">
                  <c:v>-1.2316848374169354E-2</c:v>
                </c:pt>
                <c:pt idx="187">
                  <c:v>5.689321538326908E-6</c:v>
                </c:pt>
                <c:pt idx="188">
                  <c:v>-1.2214437902530406E-2</c:v>
                </c:pt>
                <c:pt idx="189">
                  <c:v>5.5947164909753155E-6</c:v>
                </c:pt>
                <c:pt idx="190">
                  <c:v>-1.2113720234999903E-2</c:v>
                </c:pt>
                <c:pt idx="191">
                  <c:v>5.5024529270752964E-6</c:v>
                </c:pt>
                <c:pt idx="192">
                  <c:v>-1.2014653699944589E-2</c:v>
                </c:pt>
                <c:pt idx="193">
                  <c:v>5.4124502586461176E-6</c:v>
                </c:pt>
                <c:pt idx="194">
                  <c:v>-1.1917197975130023E-2</c:v>
                </c:pt>
                <c:pt idx="195">
                  <c:v>5.3246383640015438E-6</c:v>
                </c:pt>
                <c:pt idx="196">
                  <c:v>-1.1821314052754772E-2</c:v>
                </c:pt>
                <c:pt idx="197">
                  <c:v>5.2389474749503506E-6</c:v>
                </c:pt>
                <c:pt idx="198">
                  <c:v>-1.1726964161455911E-2</c:v>
                </c:pt>
                <c:pt idx="199">
                  <c:v>5.1553078481703096E-6</c:v>
                </c:pt>
                <c:pt idx="200">
                  <c:v>-1.1634111746680276E-2</c:v>
                </c:pt>
                <c:pt idx="201">
                  <c:v>5.0736567320797121E-6</c:v>
                </c:pt>
                <c:pt idx="202">
                  <c:v>-1.154272139597623E-2</c:v>
                </c:pt>
                <c:pt idx="203">
                  <c:v>4.9939289219480543E-6</c:v>
                </c:pt>
                <c:pt idx="204">
                  <c:v>-1.1452758807559249E-2</c:v>
                </c:pt>
                <c:pt idx="205">
                  <c:v>4.9160671498071906E-6</c:v>
                </c:pt>
                <c:pt idx="206">
                  <c:v>-1.1364190749509007E-2</c:v>
                </c:pt>
                <c:pt idx="207">
                  <c:v>4.8400119556646359E-6</c:v>
                </c:pt>
                <c:pt idx="208">
                  <c:v>-1.1276985006514195E-2</c:v>
                </c:pt>
                <c:pt idx="209">
                  <c:v>4.7657066843953544E-6</c:v>
                </c:pt>
                <c:pt idx="210">
                  <c:v>-1.1191110355975198E-2</c:v>
                </c:pt>
                <c:pt idx="211">
                  <c:v>4.6931000294847536E-6</c:v>
                </c:pt>
                <c:pt idx="212">
                  <c:v>-1.1106536518180832E-2</c:v>
                </c:pt>
                <c:pt idx="213">
                  <c:v>4.6221392455692012E-6</c:v>
                </c:pt>
                <c:pt idx="214">
                  <c:v>-1.1023234129799775E-2</c:v>
                </c:pt>
                <c:pt idx="215">
                  <c:v>4.5527783623100504E-6</c:v>
                </c:pt>
                <c:pt idx="216">
                  <c:v>-1.0941174698018585E-2</c:v>
                </c:pt>
                <c:pt idx="217">
                  <c:v>4.4849653324519068E-6</c:v>
                </c:pt>
                <c:pt idx="218">
                  <c:v>-1.0860330584231193E-2</c:v>
                </c:pt>
                <c:pt idx="219">
                  <c:v>4.4186537113688473E-6</c:v>
                </c:pt>
                <c:pt idx="220">
                  <c:v>-1.0780674955867653E-2</c:v>
                </c:pt>
                <c:pt idx="221">
                  <c:v>4.3538059006920093E-6</c:v>
                </c:pt>
                <c:pt idx="222">
                  <c:v>-1.0702181769522312E-2</c:v>
                </c:pt>
                <c:pt idx="223">
                  <c:v>4.2903745569589091E-6</c:v>
                </c:pt>
                <c:pt idx="224">
                  <c:v>-1.062482574220347E-2</c:v>
                </c:pt>
                <c:pt idx="225">
                  <c:v>4.2283180263780196E-6</c:v>
                </c:pt>
                <c:pt idx="226">
                  <c:v>-1.0548582306951104E-2</c:v>
                </c:pt>
                <c:pt idx="227">
                  <c:v>4.1675985418265782E-6</c:v>
                </c:pt>
                <c:pt idx="228">
                  <c:v>-1.0473427611065844E-2</c:v>
                </c:pt>
                <c:pt idx="229">
                  <c:v>4.1081781709806364E-6</c:v>
                </c:pt>
                <c:pt idx="230">
                  <c:v>-1.0399338474121222E-2</c:v>
                </c:pt>
                <c:pt idx="231">
                  <c:v>4.0500202995730206E-6</c:v>
                </c:pt>
                <c:pt idx="232">
                  <c:v>-1.0326292370702816E-2</c:v>
                </c:pt>
                <c:pt idx="233">
                  <c:v>3.9930869277782222E-6</c:v>
                </c:pt>
                <c:pt idx="234">
                  <c:v>-1.0254267404544493E-2</c:v>
                </c:pt>
                <c:pt idx="235">
                  <c:v>3.937346557236765E-6</c:v>
                </c:pt>
                <c:pt idx="236">
                  <c:v>-1.0183242292802319E-2</c:v>
                </c:pt>
                <c:pt idx="237">
                  <c:v>3.8827642629968295E-6</c:v>
                </c:pt>
                <c:pt idx="238">
                  <c:v>-1.0113196336186903E-2</c:v>
                </c:pt>
                <c:pt idx="239">
                  <c:v>3.8293109358988886E-6</c:v>
                </c:pt>
                <c:pt idx="240">
                  <c:v>-1.0044109404898194E-2</c:v>
                </c:pt>
                <c:pt idx="241">
                  <c:v>3.7769528660192009E-6</c:v>
                </c:pt>
                <c:pt idx="242">
                  <c:v>-9.9759619171742031E-3</c:v>
                </c:pt>
                <c:pt idx="243">
                  <c:v>3.7256610365687948E-6</c:v>
                </c:pt>
                <c:pt idx="244">
                  <c:v>-9.9087348200033176E-3</c:v>
                </c:pt>
                <c:pt idx="245">
                  <c:v>3.6754079300038711E-6</c:v>
                </c:pt>
                <c:pt idx="246">
                  <c:v>-9.8424095749738427E-3</c:v>
                </c:pt>
                <c:pt idx="247">
                  <c:v>3.6261654354774464E-6</c:v>
                </c:pt>
                <c:pt idx="248">
                  <c:v>-9.7769681344477277E-3</c:v>
                </c:pt>
                <c:pt idx="249">
                  <c:v>3.5779027172111455E-6</c:v>
                </c:pt>
                <c:pt idx="250">
                  <c:v>-9.7123929390861008E-3</c:v>
                </c:pt>
                <c:pt idx="251">
                  <c:v>3.5306014325442447E-6</c:v>
                </c:pt>
                <c:pt idx="252">
                  <c:v>-9.6486668778670293E-3</c:v>
                </c:pt>
                <c:pt idx="253">
                  <c:v>3.4842287810477046E-6</c:v>
                </c:pt>
                <c:pt idx="254">
                  <c:v>-9.5857732952726593E-3</c:v>
                </c:pt>
                <c:pt idx="255">
                  <c:v>3.4387651126621677E-6</c:v>
                </c:pt>
                <c:pt idx="256">
                  <c:v>-9.5236959726126003E-3</c:v>
                </c:pt>
                <c:pt idx="257">
                  <c:v>3.3941844126417209E-6</c:v>
                </c:pt>
                <c:pt idx="258">
                  <c:v>-9.4624191044516692E-3</c:v>
                </c:pt>
                <c:pt idx="259">
                  <c:v>3.3504662919625616E-6</c:v>
                </c:pt>
                <c:pt idx="260">
                  <c:v>-9.4019272901171291E-3</c:v>
                </c:pt>
                <c:pt idx="261">
                  <c:v>3.3075854659614379E-6</c:v>
                </c:pt>
                <c:pt idx="262">
                  <c:v>-9.3422055259591019E-3</c:v>
                </c:pt>
                <c:pt idx="263">
                  <c:v>3.265526467899349E-6</c:v>
                </c:pt>
                <c:pt idx="264">
                  <c:v>-9.2832391867361252E-3</c:v>
                </c:pt>
                <c:pt idx="265">
                  <c:v>3.224259941703167E-6</c:v>
                </c:pt>
                <c:pt idx="266">
                  <c:v>-9.225014018623412E-3</c:v>
                </c:pt>
                <c:pt idx="267">
                  <c:v>3.1837752452190671E-6</c:v>
                </c:pt>
                <c:pt idx="268">
                  <c:v>-9.1675161120061688E-3</c:v>
                </c:pt>
                <c:pt idx="269">
                  <c:v>3.1440458183595865E-6</c:v>
                </c:pt>
                <c:pt idx="270">
                  <c:v>-9.1107319193373115E-3</c:v>
                </c:pt>
                <c:pt idx="271">
                  <c:v>3.105055471408491E-6</c:v>
                </c:pt>
                <c:pt idx="272">
                  <c:v>-9.0546482188074151E-3</c:v>
                </c:pt>
                <c:pt idx="273">
                  <c:v>3.0667857711108581E-6</c:v>
                </c:pt>
                <c:pt idx="274">
                  <c:v>-8.9992521188264618E-3</c:v>
                </c:pt>
                <c:pt idx="275">
                  <c:v>3.0292207728876974E-6</c:v>
                </c:pt>
                <c:pt idx="276">
                  <c:v>-8.9445310366471631E-3</c:v>
                </c:pt>
                <c:pt idx="277">
                  <c:v>2.9923402280473965E-6</c:v>
                </c:pt>
                <c:pt idx="278">
                  <c:v>-8.8904726919913912E-3</c:v>
                </c:pt>
                <c:pt idx="279">
                  <c:v>2.9561317216320049E-6</c:v>
                </c:pt>
                <c:pt idx="280">
                  <c:v>-8.8370651115781129E-3</c:v>
                </c:pt>
                <c:pt idx="281">
                  <c:v>2.9205713243385389E-6</c:v>
                </c:pt>
                <c:pt idx="282">
                  <c:v>-8.7842966052313898E-3</c:v>
                </c:pt>
                <c:pt idx="283">
                  <c:v>2.885652838457986E-6</c:v>
                </c:pt>
                <c:pt idx="284">
                  <c:v>-8.7321557543873496E-3</c:v>
                </c:pt>
                <c:pt idx="285">
                  <c:v>2.8513560277332317E-6</c:v>
                </c:pt>
                <c:pt idx="286">
                  <c:v>-8.6806314206793189E-3</c:v>
                </c:pt>
                <c:pt idx="287">
                  <c:v>2.8176679389702031E-6</c:v>
                </c:pt>
                <c:pt idx="288">
                  <c:v>-8.6297127163117437E-3</c:v>
                </c:pt>
                <c:pt idx="289">
                  <c:v>2.7845700998341272E-6</c:v>
                </c:pt>
                <c:pt idx="290">
                  <c:v>-8.5793890286129937E-3</c:v>
                </c:pt>
                <c:pt idx="291">
                  <c:v>2.7520528416147272E-6</c:v>
                </c:pt>
                <c:pt idx="292">
                  <c:v>-8.5296499631049016E-3</c:v>
                </c:pt>
                <c:pt idx="293">
                  <c:v>2.72010646540366E-6</c:v>
                </c:pt>
                <c:pt idx="294">
                  <c:v>-8.480485390192527E-3</c:v>
                </c:pt>
                <c:pt idx="295">
                  <c:v>2.6887065409653133E-6</c:v>
                </c:pt>
                <c:pt idx="296">
                  <c:v>-8.4318854053648806E-3</c:v>
                </c:pt>
                <c:pt idx="297">
                  <c:v>2.6578516774122818E-6</c:v>
                </c:pt>
                <c:pt idx="298">
                  <c:v>-8.3838403236882186E-3</c:v>
                </c:pt>
                <c:pt idx="299">
                  <c:v>2.6275241058471011E-6</c:v>
                </c:pt>
                <c:pt idx="300">
                  <c:v>-8.3363406920629046E-3</c:v>
                </c:pt>
                <c:pt idx="301">
                  <c:v>2.5977113349284764E-6</c:v>
                </c:pt>
                <c:pt idx="302">
                  <c:v>-8.2893772623258144E-3</c:v>
                </c:pt>
                <c:pt idx="303">
                  <c:v>2.568405177427735E-6</c:v>
                </c:pt>
                <c:pt idx="304">
                  <c:v>-8.2429410024413841E-3</c:v>
                </c:pt>
                <c:pt idx="305">
                  <c:v>2.5395907279346375E-6</c:v>
                </c:pt>
                <c:pt idx="306">
                  <c:v>-8.1970230711370107E-3</c:v>
                </c:pt>
                <c:pt idx="307">
                  <c:v>2.5112608561528305E-6</c:v>
                </c:pt>
                <c:pt idx="308">
                  <c:v>-8.1516148351710171E-3</c:v>
                </c:pt>
                <c:pt idx="309">
                  <c:v>2.4833982568139845E-6</c:v>
                </c:pt>
                <c:pt idx="310">
                  <c:v>-8.1067078416712235E-3</c:v>
                </c:pt>
                <c:pt idx="311">
                  <c:v>2.4559991818051685E-6</c:v>
                </c:pt>
                <c:pt idx="312">
                  <c:v>-8.0622938336460948E-3</c:v>
                </c:pt>
                <c:pt idx="313">
                  <c:v>2.429050651286957E-6</c:v>
                </c:pt>
                <c:pt idx="314">
                  <c:v>-8.0183647320684059E-3</c:v>
                </c:pt>
                <c:pt idx="315">
                  <c:v>2.4025441263120229E-6</c:v>
                </c:pt>
                <c:pt idx="316">
                  <c:v>-7.9749126221386746E-3</c:v>
                </c:pt>
                <c:pt idx="317">
                  <c:v>2.3764687107075133E-6</c:v>
                </c:pt>
                <c:pt idx="318">
                  <c:v>-7.9319297789073318E-3</c:v>
                </c:pt>
                <c:pt idx="319">
                  <c:v>2.3508142863448711E-6</c:v>
                </c:pt>
                <c:pt idx="320">
                  <c:v>-7.8894086299978738E-3</c:v>
                </c:pt>
                <c:pt idx="321">
                  <c:v>2.3255738526017922E-6</c:v>
                </c:pt>
                <c:pt idx="322">
                  <c:v>-7.8473417719315819E-3</c:v>
                </c:pt>
                <c:pt idx="323">
                  <c:v>2.3007369858163429E-6</c:v>
                </c:pt>
                <c:pt idx="324">
                  <c:v>-7.8057219584568571E-3</c:v>
                </c:pt>
                <c:pt idx="325">
                  <c:v>2.2762967137879286E-6</c:v>
                </c:pt>
                <c:pt idx="326">
                  <c:v>-7.7645420864485004E-3</c:v>
                </c:pt>
                <c:pt idx="327">
                  <c:v>2.2522429841131952E-6</c:v>
                </c:pt>
                <c:pt idx="328">
                  <c:v>-7.7237952163766721E-3</c:v>
                </c:pt>
                <c:pt idx="329">
                  <c:v>2.2285725158610603E-6</c:v>
                </c:pt>
                <c:pt idx="330">
                  <c:v>-7.68347455026408E-3</c:v>
                </c:pt>
                <c:pt idx="331">
                  <c:v>2.2052686770024366E-6</c:v>
                </c:pt>
                <c:pt idx="332">
                  <c:v>-7.6435734276909528E-3</c:v>
                </c:pt>
                <c:pt idx="333">
                  <c:v>2.1823296787459867E-6</c:v>
                </c:pt>
                <c:pt idx="334">
                  <c:v>-7.6040853277330456E-3</c:v>
                </c:pt>
                <c:pt idx="335">
                  <c:v>2.1597458363942224E-6</c:v>
                </c:pt>
                <c:pt idx="336">
                  <c:v>-7.5650038660235452E-3</c:v>
                </c:pt>
                <c:pt idx="337">
                  <c:v>2.1375131797896074E-6</c:v>
                </c:pt>
                <c:pt idx="338">
                  <c:v>-7.5263227871857907E-3</c:v>
                </c:pt>
                <c:pt idx="339">
                  <c:v>2.1156173026781744E-6</c:v>
                </c:pt>
                <c:pt idx="340">
                  <c:v>-7.4880359621118942E-3</c:v>
                </c:pt>
                <c:pt idx="341">
                  <c:v>2.0940631593191483E-6</c:v>
                </c:pt>
                <c:pt idx="342">
                  <c:v>-7.4501373944055871E-3</c:v>
                </c:pt>
                <c:pt idx="343">
                  <c:v>2.0728303020689509E-6</c:v>
                </c:pt>
                <c:pt idx="344">
                  <c:v>-7.4126211953444709E-3</c:v>
                </c:pt>
                <c:pt idx="345">
                  <c:v>2.0519242944772031E-6</c:v>
                </c:pt>
                <c:pt idx="346">
                  <c:v>-7.3754816097206799E-3</c:v>
                </c:pt>
                <c:pt idx="347">
                  <c:v>2.0313294122331627E-6</c:v>
                </c:pt>
                <c:pt idx="348">
                  <c:v>-7.3387129837669818E-3</c:v>
                </c:pt>
                <c:pt idx="349">
                  <c:v>2.0110446588006425E-6</c:v>
                </c:pt>
                <c:pt idx="350">
                  <c:v>-7.3023097852757957E-3</c:v>
                </c:pt>
                <c:pt idx="351">
                  <c:v>1.9910622253149768E-6</c:v>
                </c:pt>
                <c:pt idx="352">
                  <c:v>-7.2662665882710087E-3</c:v>
                </c:pt>
                <c:pt idx="353">
                  <c:v>1.9713725460945852E-6</c:v>
                </c:pt>
                <c:pt idx="354">
                  <c:v>-7.2305780781309892E-3</c:v>
                </c:pt>
                <c:pt idx="355">
                  <c:v>1.9519767189279946E-6</c:v>
                </c:pt>
                <c:pt idx="356">
                  <c:v>-7.1952390307430392E-3</c:v>
                </c:pt>
                <c:pt idx="357">
                  <c:v>1.9328674394358814E-6</c:v>
                </c:pt>
                <c:pt idx="358">
                  <c:v>-7.1602443433409491E-3</c:v>
                </c:pt>
                <c:pt idx="359">
                  <c:v>1.9140327385258615E-6</c:v>
                </c:pt>
                <c:pt idx="360">
                  <c:v>-7.1255889966668207E-3</c:v>
                </c:pt>
                <c:pt idx="361">
                  <c:v>1.895478280999896E-6</c:v>
                </c:pt>
                <c:pt idx="362">
                  <c:v>-7.0912680767936109E-3</c:v>
                </c:pt>
                <c:pt idx="363">
                  <c:v>1.8771855323507225E-6</c:v>
                </c:pt>
                <c:pt idx="364">
                  <c:v>-7.0572767610617149E-3</c:v>
                </c:pt>
                <c:pt idx="365">
                  <c:v>1.8591589174832279E-6</c:v>
                </c:pt>
                <c:pt idx="366">
                  <c:v>-7.0236103220242541E-3</c:v>
                </c:pt>
                <c:pt idx="367">
                  <c:v>1.8413919367077369E-6</c:v>
                </c:pt>
                <c:pt idx="368">
                  <c:v>-6.9902641183361425E-3</c:v>
                </c:pt>
                <c:pt idx="369">
                  <c:v>1.8238774348589004E-6</c:v>
                </c:pt>
                <c:pt idx="370">
                  <c:v>-6.9572335998184798E-3</c:v>
                </c:pt>
                <c:pt idx="371">
                  <c:v>1.8066125218041407E-6</c:v>
                </c:pt>
                <c:pt idx="372">
                  <c:v>-6.924514295420181E-3</c:v>
                </c:pt>
                <c:pt idx="373">
                  <c:v>1.7895915949139862E-6</c:v>
                </c:pt>
                <c:pt idx="374">
                  <c:v>-6.8921018318111038E-3</c:v>
                </c:pt>
                <c:pt idx="375">
                  <c:v>1.7728083570034414E-6</c:v>
                </c:pt>
                <c:pt idx="376">
                  <c:v>-6.8599919059337822E-3</c:v>
                </c:pt>
                <c:pt idx="377">
                  <c:v>1.7562642433688325E-6</c:v>
                </c:pt>
                <c:pt idx="378">
                  <c:v>-6.8281802997702812E-3</c:v>
                </c:pt>
                <c:pt idx="379">
                  <c:v>1.7399446772259353E-6</c:v>
                </c:pt>
                <c:pt idx="380">
                  <c:v>-6.7966628663409523E-3</c:v>
                </c:pt>
                <c:pt idx="381">
                  <c:v>1.7238548224440819E-6</c:v>
                </c:pt>
                <c:pt idx="382">
                  <c:v>-6.765435545956322E-3</c:v>
                </c:pt>
                <c:pt idx="383">
                  <c:v>1.7079884866433304E-6</c:v>
                </c:pt>
                <c:pt idx="384">
                  <c:v>-6.734494342870434E-3</c:v>
                </c:pt>
                <c:pt idx="385">
                  <c:v>1.6923376886524011E-6</c:v>
                </c:pt>
                <c:pt idx="386">
                  <c:v>-6.7038353462312017E-3</c:v>
                </c:pt>
                <c:pt idx="387">
                  <c:v>1.676900405200854E-6</c:v>
                </c:pt>
                <c:pt idx="388">
                  <c:v>-6.6734547033835412E-3</c:v>
                </c:pt>
                <c:pt idx="389">
                  <c:v>1.6616736147057054E-6</c:v>
                </c:pt>
                <c:pt idx="390">
                  <c:v>-6.6433486389207985E-3</c:v>
                </c:pt>
                <c:pt idx="391">
                  <c:v>1.6466584078500546E-6</c:v>
                </c:pt>
                <c:pt idx="392">
                  <c:v>-6.6135134471529966E-3</c:v>
                </c:pt>
                <c:pt idx="393">
                  <c:v>1.6318416520277879E-6</c:v>
                </c:pt>
                <c:pt idx="394">
                  <c:v>-6.5839454811733589E-3</c:v>
                </c:pt>
                <c:pt idx="395">
                  <c:v>1.6172210219878025E-6</c:v>
                </c:pt>
                <c:pt idx="396">
                  <c:v>-6.5546411677104288E-3</c:v>
                </c:pt>
                <c:pt idx="397">
                  <c:v>1.6028007294721647E-6</c:v>
                </c:pt>
                <c:pt idx="398">
                  <c:v>-6.5255969934661096E-3</c:v>
                </c:pt>
                <c:pt idx="399">
                  <c:v>1.5885682014271651E-6</c:v>
                </c:pt>
                <c:pt idx="400">
                  <c:v>-6.4968094974435786E-3</c:v>
                </c:pt>
                <c:pt idx="401">
                  <c:v>1.5745289374535787E-6</c:v>
                </c:pt>
                <c:pt idx="402">
                  <c:v>-6.468275306241722E-3</c:v>
                </c:pt>
                <c:pt idx="403">
                  <c:v>1.560673439371385E-6</c:v>
                </c:pt>
                <c:pt idx="404">
                  <c:v>-6.4399910733285992E-3</c:v>
                </c:pt>
                <c:pt idx="405">
                  <c:v>1.5470014744778382E-6</c:v>
                </c:pt>
                <c:pt idx="406">
                  <c:v>-6.4119535296462971E-3</c:v>
                </c:pt>
                <c:pt idx="407">
                  <c:v>1.5335060474797046E-6</c:v>
                </c:pt>
                <c:pt idx="408">
                  <c:v>-6.3841594675722035E-3</c:v>
                </c:pt>
                <c:pt idx="409">
                  <c:v>1.5201858651892053E-6</c:v>
                </c:pt>
                <c:pt idx="410">
                  <c:v>-6.3566057164443635E-3</c:v>
                </c:pt>
                <c:pt idx="411">
                  <c:v>1.507039081971584E-6</c:v>
                </c:pt>
                <c:pt idx="412">
                  <c:v>-6.3292891701909326E-3</c:v>
                </c:pt>
                <c:pt idx="413">
                  <c:v>1.4940616104297533E-6</c:v>
                </c:pt>
                <c:pt idx="414">
                  <c:v>-6.3022067865095011E-3</c:v>
                </c:pt>
                <c:pt idx="415">
                  <c:v>1.4812535269470573E-6</c:v>
                </c:pt>
                <c:pt idx="416">
                  <c:v>-6.2753555538677119E-3</c:v>
                </c:pt>
                <c:pt idx="417">
                  <c:v>1.4686092324467381E-6</c:v>
                </c:pt>
                <c:pt idx="418">
                  <c:v>-6.2487325315228048E-3</c:v>
                </c:pt>
                <c:pt idx="419">
                  <c:v>1.4561225043507875E-6</c:v>
                </c:pt>
                <c:pt idx="420">
                  <c:v>-6.2223348160799219E-3</c:v>
                </c:pt>
                <c:pt idx="421">
                  <c:v>1.4437994160232392E-6</c:v>
                </c:pt>
                <c:pt idx="422">
                  <c:v>-6.1961595546780046E-3</c:v>
                </c:pt>
                <c:pt idx="423">
                  <c:v>1.4316273109216127E-6</c:v>
                </c:pt>
                <c:pt idx="424">
                  <c:v>-6.1702039508020334E-3</c:v>
                </c:pt>
                <c:pt idx="425">
                  <c:v>1.4196097843921507E-6</c:v>
                </c:pt>
                <c:pt idx="426">
                  <c:v>-6.1444652439472947E-3</c:v>
                </c:pt>
                <c:pt idx="427">
                  <c:v>1.4077444117077675E-6</c:v>
                </c:pt>
                <c:pt idx="428">
                  <c:v>-6.1189407269779394E-3</c:v>
                </c:pt>
                <c:pt idx="429">
                  <c:v>1.3960255476064276E-6</c:v>
                </c:pt>
                <c:pt idx="430">
                  <c:v>-6.0936277361314239E-3</c:v>
                </c:pt>
                <c:pt idx="431">
                  <c:v>1.3844570450061155E-6</c:v>
                </c:pt>
                <c:pt idx="432">
                  <c:v>-6.0685236483823957E-3</c:v>
                </c:pt>
                <c:pt idx="433">
                  <c:v>1.3730280858936794E-6</c:v>
                </c:pt>
                <c:pt idx="434">
                  <c:v>-6.0436258855283143E-3</c:v>
                </c:pt>
                <c:pt idx="435">
                  <c:v>1.3617406242616426E-6</c:v>
                </c:pt>
                <c:pt idx="436">
                  <c:v>-6.0189319134789088E-3</c:v>
                </c:pt>
                <c:pt idx="437">
                  <c:v>1.3505911482525335E-6</c:v>
                </c:pt>
                <c:pt idx="438">
                  <c:v>-5.9944392390054446E-3</c:v>
                </c:pt>
                <c:pt idx="439">
                  <c:v>1.3395753075684524E-6</c:v>
                </c:pt>
                <c:pt idx="440">
                  <c:v>-5.9701454053584513E-3</c:v>
                </c:pt>
                <c:pt idx="441">
                  <c:v>1.328697244673549E-6</c:v>
                </c:pt>
                <c:pt idx="442">
                  <c:v>-5.946048009723981E-3</c:v>
                </c:pt>
                <c:pt idx="443">
                  <c:v>1.3179497280191299E-6</c:v>
                </c:pt>
                <c:pt idx="444">
                  <c:v>-5.9221446652539811E-3</c:v>
                </c:pt>
                <c:pt idx="445">
                  <c:v>1.3073336582181128E-6</c:v>
                </c:pt>
                <c:pt idx="446">
                  <c:v>-5.8984330379452388E-3</c:v>
                </c:pt>
                <c:pt idx="447">
                  <c:v>1.2968429121684721E-6</c:v>
                </c:pt>
                <c:pt idx="448">
                  <c:v>-5.8749108348497003E-3</c:v>
                </c:pt>
                <c:pt idx="449">
                  <c:v>1.2864808436319208E-6</c:v>
                </c:pt>
                <c:pt idx="450">
                  <c:v>-5.8515757878296881E-3</c:v>
                </c:pt>
              </c:numCache>
            </c:numRef>
          </c:val>
          <c:smooth val="0"/>
          <c:extLst>
            <c:ext xmlns:c16="http://schemas.microsoft.com/office/drawing/2014/chart" uri="{C3380CC4-5D6E-409C-BE32-E72D297353CC}">
              <c16:uniqueId val="{00000000-4123-B749-AC3F-EE17417429AC}"/>
            </c:ext>
          </c:extLst>
        </c:ser>
        <c:dLbls>
          <c:showLegendKey val="0"/>
          <c:showVal val="0"/>
          <c:showCatName val="0"/>
          <c:showSerName val="0"/>
          <c:showPercent val="0"/>
          <c:showBubbleSize val="0"/>
        </c:dLbls>
        <c:smooth val="0"/>
        <c:axId val="1905966735"/>
        <c:axId val="1"/>
      </c:lineChart>
      <c:catAx>
        <c:axId val="1905966735"/>
        <c:scaling>
          <c:orientation val="minMax"/>
        </c:scaling>
        <c:delete val="0"/>
        <c:axPos val="b"/>
        <c:numFmt formatCode="General" sourceLinked="1"/>
        <c:majorTickMark val="none"/>
        <c:minorTickMark val="none"/>
        <c:tickLblPos val="nextTo"/>
        <c:spPr>
          <a:ln w="3175">
            <a:solidFill>
              <a:srgbClr val="C0C0C0"/>
            </a:solidFill>
            <a:prstDash val="solid"/>
          </a:ln>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905966735"/>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scatterChart>
        <c:scatterStyle val="lineMarker"/>
        <c:varyColors val="0"/>
        <c:ser>
          <c:idx val="0"/>
          <c:order val="0"/>
          <c:tx>
            <c:strRef>
              <c:f>'Q1-European CRR Extrapolation'!$F$1</c:f>
              <c:strCache>
                <c:ptCount val="1"/>
                <c:pt idx="0">
                  <c:v>Error CRR</c:v>
                </c:pt>
              </c:strCache>
            </c:strRef>
          </c:tx>
          <c:spPr>
            <a:ln w="12700">
              <a:solidFill>
                <a:srgbClr val="666699"/>
              </a:solidFill>
              <a:prstDash val="solid"/>
            </a:ln>
          </c:spPr>
          <c:marker>
            <c:symbol val="circle"/>
            <c:size val="5"/>
            <c:spPr>
              <a:solidFill>
                <a:srgbClr val="4F81BD"/>
              </a:solidFill>
              <a:ln>
                <a:solidFill>
                  <a:srgbClr val="666699"/>
                </a:solidFill>
                <a:prstDash val="solid"/>
              </a:ln>
            </c:spPr>
          </c:marker>
          <c:xVal>
            <c:numRef>
              <c:f>'Q1-European CRR Extrapolation'!$D$2:$D$42</c:f>
              <c:numCache>
                <c:formatCode>General</c:formatCode>
                <c:ptCount val="41"/>
                <c:pt idx="0">
                  <c:v>50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2400</c:v>
                </c:pt>
                <c:pt idx="25">
                  <c:v>2500</c:v>
                </c:pt>
                <c:pt idx="26">
                  <c:v>2600</c:v>
                </c:pt>
                <c:pt idx="27">
                  <c:v>2700</c:v>
                </c:pt>
                <c:pt idx="28">
                  <c:v>2800</c:v>
                </c:pt>
                <c:pt idx="29">
                  <c:v>2900</c:v>
                </c:pt>
                <c:pt idx="30">
                  <c:v>3000</c:v>
                </c:pt>
                <c:pt idx="31">
                  <c:v>3100</c:v>
                </c:pt>
                <c:pt idx="32">
                  <c:v>3200</c:v>
                </c:pt>
                <c:pt idx="33">
                  <c:v>3300</c:v>
                </c:pt>
                <c:pt idx="34">
                  <c:v>3400</c:v>
                </c:pt>
                <c:pt idx="35">
                  <c:v>3500</c:v>
                </c:pt>
                <c:pt idx="36">
                  <c:v>3600</c:v>
                </c:pt>
                <c:pt idx="37">
                  <c:v>3700</c:v>
                </c:pt>
                <c:pt idx="38">
                  <c:v>3800</c:v>
                </c:pt>
                <c:pt idx="39">
                  <c:v>3900</c:v>
                </c:pt>
                <c:pt idx="40">
                  <c:v>4000</c:v>
                </c:pt>
              </c:numCache>
            </c:numRef>
          </c:xVal>
          <c:yVal>
            <c:numRef>
              <c:f>'Q1-European CRR Extrapolation'!$F$2:$F$42</c:f>
              <c:numCache>
                <c:formatCode>General</c:formatCode>
                <c:ptCount val="41"/>
                <c:pt idx="0">
                  <c:v>-5.9912267685895415E-3</c:v>
                </c:pt>
                <c:pt idx="1">
                  <c:v>1.3280262078943394E-2</c:v>
                </c:pt>
                <c:pt idx="2">
                  <c:v>3.1628045425087237E-3</c:v>
                </c:pt>
                <c:pt idx="3">
                  <c:v>2.2414090580102908E-3</c:v>
                </c:pt>
                <c:pt idx="4">
                  <c:v>4.0394445174030125E-4</c:v>
                </c:pt>
                <c:pt idx="5">
                  <c:v>2.7607853730629017E-3</c:v>
                </c:pt>
                <c:pt idx="6">
                  <c:v>-6.6173499275556935E-4</c:v>
                </c:pt>
                <c:pt idx="7">
                  <c:v>5.0515997237354782E-4</c:v>
                </c:pt>
                <c:pt idx="8">
                  <c:v>1.7610909074736725E-3</c:v>
                </c:pt>
                <c:pt idx="9">
                  <c:v>6.4505553127247595E-4</c:v>
                </c:pt>
                <c:pt idx="10">
                  <c:v>-1.2873880935018178E-3</c:v>
                </c:pt>
                <c:pt idx="11">
                  <c:v>6.9779105971790045E-4</c:v>
                </c:pt>
                <c:pt idx="12">
                  <c:v>1.1747091466176585E-3</c:v>
                </c:pt>
                <c:pt idx="13">
                  <c:v>6.1667511806717812E-4</c:v>
                </c:pt>
                <c:pt idx="14">
                  <c:v>-6.585619667021092E-4</c:v>
                </c:pt>
                <c:pt idx="15">
                  <c:v>-2.0056575385396513E-5</c:v>
                </c:pt>
                <c:pt idx="16">
                  <c:v>7.2064760646206594E-4</c:v>
                </c:pt>
                <c:pt idx="17">
                  <c:v>8.1281980182801306E-4</c:v>
                </c:pt>
                <c:pt idx="18">
                  <c:v>4.079825364033951E-4</c:v>
                </c:pt>
                <c:pt idx="19">
                  <c:v>-3.7945752121615328E-4</c:v>
                </c:pt>
                <c:pt idx="20">
                  <c:v>-2.2708517166591946E-4</c:v>
                </c:pt>
                <c:pt idx="21">
                  <c:v>3.9435748576188701E-4</c:v>
                </c:pt>
                <c:pt idx="22">
                  <c:v>6.2709876008248955E-4</c:v>
                </c:pt>
                <c:pt idx="23">
                  <c:v>5.4194597222867458E-4</c:v>
                </c:pt>
                <c:pt idx="24">
                  <c:v>1.9599980328166566E-4</c:v>
                </c:pt>
                <c:pt idx="25">
                  <c:v>-3.6436632243308509E-4</c:v>
                </c:pt>
                <c:pt idx="26">
                  <c:v>-1.8970491180780868E-4</c:v>
                </c:pt>
                <c:pt idx="27">
                  <c:v>2.5492930691761728E-4</c:v>
                </c:pt>
                <c:pt idx="28">
                  <c:v>4.649425393026263E-4</c:v>
                </c:pt>
                <c:pt idx="29">
                  <c:v>4.7435491402758601E-4</c:v>
                </c:pt>
                <c:pt idx="30">
                  <c:v>3.1191198310409618E-4</c:v>
                </c:pt>
                <c:pt idx="31">
                  <c:v>2.0095545103515633E-6</c:v>
                </c:pt>
                <c:pt idx="32">
                  <c:v>-4.3456382949003114E-4</c:v>
                </c:pt>
                <c:pt idx="33">
                  <c:v>-7.86014406060076E-5</c:v>
                </c:pt>
                <c:pt idx="34">
                  <c:v>2.1671933591882464E-4</c:v>
                </c:pt>
                <c:pt idx="35">
                  <c:v>3.6673245416629641E-4</c:v>
                </c:pt>
                <c:pt idx="36">
                  <c:v>3.885277568222989E-4</c:v>
                </c:pt>
                <c:pt idx="37">
                  <c:v>2.9704127188168172E-4</c:v>
                </c:pt>
                <c:pt idx="38">
                  <c:v>1.0536370306368781E-4</c:v>
                </c:pt>
                <c:pt idx="39">
                  <c:v>-1.7500100006984098E-4</c:v>
                </c:pt>
                <c:pt idx="40">
                  <c:v>-2.5760973884203509E-4</c:v>
                </c:pt>
              </c:numCache>
            </c:numRef>
          </c:yVal>
          <c:smooth val="0"/>
          <c:extLst>
            <c:ext xmlns:c16="http://schemas.microsoft.com/office/drawing/2014/chart" uri="{C3380CC4-5D6E-409C-BE32-E72D297353CC}">
              <c16:uniqueId val="{00000000-B4CC-5147-8F00-549295A3AEBA}"/>
            </c:ext>
          </c:extLst>
        </c:ser>
        <c:dLbls>
          <c:showLegendKey val="0"/>
          <c:showVal val="0"/>
          <c:showCatName val="0"/>
          <c:showSerName val="0"/>
          <c:showPercent val="0"/>
          <c:showBubbleSize val="0"/>
        </c:dLbls>
        <c:axId val="1906795455"/>
        <c:axId val="1"/>
      </c:scatterChart>
      <c:valAx>
        <c:axId val="1906795455"/>
        <c:scaling>
          <c:orientation val="minMax"/>
        </c:scaling>
        <c:delete val="0"/>
        <c:axPos val="b"/>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宋体"/>
                <a:ea typeface="宋体"/>
                <a:cs typeface="宋体"/>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1906795455"/>
        <c:crosses val="autoZero"/>
        <c:crossBetween val="midCat"/>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scatterChart>
        <c:scatterStyle val="lineMarker"/>
        <c:varyColors val="0"/>
        <c:ser>
          <c:idx val="0"/>
          <c:order val="0"/>
          <c:tx>
            <c:strRef>
              <c:f>'Q1-European RB Extrapolation'!$F$1</c:f>
              <c:strCache>
                <c:ptCount val="1"/>
                <c:pt idx="0">
                  <c:v>Error RB</c:v>
                </c:pt>
              </c:strCache>
            </c:strRef>
          </c:tx>
          <c:spPr>
            <a:ln w="12700">
              <a:solidFill>
                <a:srgbClr val="666699"/>
              </a:solidFill>
              <a:prstDash val="solid"/>
            </a:ln>
          </c:spPr>
          <c:marker>
            <c:symbol val="circle"/>
            <c:size val="5"/>
            <c:spPr>
              <a:solidFill>
                <a:srgbClr val="4F81BD"/>
              </a:solidFill>
              <a:ln>
                <a:solidFill>
                  <a:srgbClr val="666699"/>
                </a:solidFill>
                <a:prstDash val="solid"/>
              </a:ln>
            </c:spPr>
          </c:marker>
          <c:xVal>
            <c:numRef>
              <c:f>'Q1-European RB Extrapolation'!$D$2:$D$42</c:f>
              <c:numCache>
                <c:formatCode>General</c:formatCode>
                <c:ptCount val="41"/>
                <c:pt idx="0">
                  <c:v>50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2400</c:v>
                </c:pt>
                <c:pt idx="25">
                  <c:v>2500</c:v>
                </c:pt>
                <c:pt idx="26">
                  <c:v>2600</c:v>
                </c:pt>
                <c:pt idx="27">
                  <c:v>2700</c:v>
                </c:pt>
                <c:pt idx="28">
                  <c:v>2800</c:v>
                </c:pt>
                <c:pt idx="29">
                  <c:v>2900</c:v>
                </c:pt>
                <c:pt idx="30">
                  <c:v>3000</c:v>
                </c:pt>
                <c:pt idx="31">
                  <c:v>3100</c:v>
                </c:pt>
                <c:pt idx="32">
                  <c:v>3200</c:v>
                </c:pt>
                <c:pt idx="33">
                  <c:v>3300</c:v>
                </c:pt>
                <c:pt idx="34">
                  <c:v>3400</c:v>
                </c:pt>
                <c:pt idx="35">
                  <c:v>3500</c:v>
                </c:pt>
                <c:pt idx="36">
                  <c:v>3600</c:v>
                </c:pt>
                <c:pt idx="37">
                  <c:v>3700</c:v>
                </c:pt>
                <c:pt idx="38">
                  <c:v>3800</c:v>
                </c:pt>
                <c:pt idx="39">
                  <c:v>3900</c:v>
                </c:pt>
                <c:pt idx="40">
                  <c:v>4000</c:v>
                </c:pt>
              </c:numCache>
            </c:numRef>
          </c:xVal>
          <c:yVal>
            <c:numRef>
              <c:f>'Q1-European RB Extrapolation'!$F$2:$F$42</c:f>
              <c:numCache>
                <c:formatCode>General</c:formatCode>
                <c:ptCount val="41"/>
                <c:pt idx="0">
                  <c:v>2.5513391023661569E-2</c:v>
                </c:pt>
                <c:pt idx="1">
                  <c:v>-1.7689774854190432E-4</c:v>
                </c:pt>
                <c:pt idx="2">
                  <c:v>-4.5354190854531851E-3</c:v>
                </c:pt>
                <c:pt idx="3">
                  <c:v>1.6015036340348843E-3</c:v>
                </c:pt>
                <c:pt idx="4">
                  <c:v>2.4578036391851299E-3</c:v>
                </c:pt>
                <c:pt idx="5">
                  <c:v>-4.3425146716735696E-4</c:v>
                </c:pt>
                <c:pt idx="6">
                  <c:v>1.4812879756931352E-3</c:v>
                </c:pt>
                <c:pt idx="7">
                  <c:v>8.1416164341163721E-4</c:v>
                </c:pt>
                <c:pt idx="8">
                  <c:v>-2.9894441759203971E-4</c:v>
                </c:pt>
                <c:pt idx="9">
                  <c:v>1.4205225533938659E-3</c:v>
                </c:pt>
                <c:pt idx="10">
                  <c:v>-3.1935746480193927E-4</c:v>
                </c:pt>
                <c:pt idx="11">
                  <c:v>2.0811522182029307E-4</c:v>
                </c:pt>
                <c:pt idx="12">
                  <c:v>1.0624203467255455E-3</c:v>
                </c:pt>
                <c:pt idx="13">
                  <c:v>-8.1552649167093705E-6</c:v>
                </c:pt>
                <c:pt idx="14">
                  <c:v>-2.7226056780627061E-4</c:v>
                </c:pt>
                <c:pt idx="15">
                  <c:v>7.9013571795805149E-4</c:v>
                </c:pt>
                <c:pt idx="16">
                  <c:v>5.4299263322654667E-4</c:v>
                </c:pt>
                <c:pt idx="17">
                  <c:v>-6.8808323168312313E-4</c:v>
                </c:pt>
                <c:pt idx="18">
                  <c:v>1.7078313528884337E-4</c:v>
                </c:pt>
                <c:pt idx="19">
                  <c:v>6.6667617233306942E-4</c:v>
                </c:pt>
                <c:pt idx="20">
                  <c:v>3.7403479331743483E-4</c:v>
                </c:pt>
                <c:pt idx="21">
                  <c:v>-5.46291797927978E-4</c:v>
                </c:pt>
                <c:pt idx="22">
                  <c:v>5.1163092328110338E-5</c:v>
                </c:pt>
                <c:pt idx="23">
                  <c:v>5.1934042323154017E-4</c:v>
                </c:pt>
                <c:pt idx="24">
                  <c:v>4.3823188810598879E-4</c:v>
                </c:pt>
                <c:pt idx="25">
                  <c:v>-9.8321074677443221E-5</c:v>
                </c:pt>
                <c:pt idx="26">
                  <c:v>-3.3545259045375531E-4</c:v>
                </c:pt>
                <c:pt idx="27">
                  <c:v>2.7016353026354523E-4</c:v>
                </c:pt>
                <c:pt idx="28">
                  <c:v>4.5703104849970089E-4</c:v>
                </c:pt>
                <c:pt idx="29">
                  <c:v>2.8611760936669839E-4</c:v>
                </c:pt>
                <c:pt idx="30">
                  <c:v>-1.910181835764746E-4</c:v>
                </c:pt>
                <c:pt idx="31">
                  <c:v>-2.2388454637223276E-4</c:v>
                </c:pt>
                <c:pt idx="32">
                  <c:v>2.2895134625144919E-4</c:v>
                </c:pt>
                <c:pt idx="33">
                  <c:v>3.8587588714911192E-4</c:v>
                </c:pt>
                <c:pt idx="34">
                  <c:v>2.8377178214888943E-4</c:v>
                </c:pt>
                <c:pt idx="35">
                  <c:v>-4.5362919014024783E-5</c:v>
                </c:pt>
                <c:pt idx="36">
                  <c:v>-3.6924515922542867E-4</c:v>
                </c:pt>
                <c:pt idx="37">
                  <c:v>7.6942868014739929E-5</c:v>
                </c:pt>
                <c:pt idx="38">
                  <c:v>2.9738578013116523E-4</c:v>
                </c:pt>
                <c:pt idx="39">
                  <c:v>3.1651352093398089E-4</c:v>
                </c:pt>
                <c:pt idx="40">
                  <c:v>1.5593028633098527E-4</c:v>
                </c:pt>
              </c:numCache>
            </c:numRef>
          </c:yVal>
          <c:smooth val="0"/>
          <c:extLst>
            <c:ext xmlns:c16="http://schemas.microsoft.com/office/drawing/2014/chart" uri="{C3380CC4-5D6E-409C-BE32-E72D297353CC}">
              <c16:uniqueId val="{00000000-3676-2847-93E0-C0EF12840A38}"/>
            </c:ext>
          </c:extLst>
        </c:ser>
        <c:dLbls>
          <c:showLegendKey val="0"/>
          <c:showVal val="0"/>
          <c:showCatName val="0"/>
          <c:showSerName val="0"/>
          <c:showPercent val="0"/>
          <c:showBubbleSize val="0"/>
        </c:dLbls>
        <c:axId val="1736368783"/>
        <c:axId val="1"/>
      </c:scatterChart>
      <c:valAx>
        <c:axId val="1736368783"/>
        <c:scaling>
          <c:orientation val="minMax"/>
        </c:scaling>
        <c:delete val="0"/>
        <c:axPos val="b"/>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宋体"/>
                <a:ea typeface="宋体"/>
                <a:cs typeface="宋体"/>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1736368783"/>
        <c:crosses val="autoZero"/>
        <c:crossBetween val="midCat"/>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scatterChart>
        <c:scatterStyle val="lineMarker"/>
        <c:varyColors val="0"/>
        <c:ser>
          <c:idx val="0"/>
          <c:order val="0"/>
          <c:tx>
            <c:strRef>
              <c:f>'Q1-European LR Extrapolation'!$F$1</c:f>
              <c:strCache>
                <c:ptCount val="1"/>
                <c:pt idx="0">
                  <c:v>Error RB</c:v>
                </c:pt>
              </c:strCache>
            </c:strRef>
          </c:tx>
          <c:spPr>
            <a:ln w="12700">
              <a:solidFill>
                <a:srgbClr val="666699"/>
              </a:solidFill>
              <a:prstDash val="solid"/>
            </a:ln>
          </c:spPr>
          <c:marker>
            <c:symbol val="circle"/>
            <c:size val="5"/>
            <c:spPr>
              <a:solidFill>
                <a:srgbClr val="4F81BD"/>
              </a:solidFill>
              <a:ln>
                <a:solidFill>
                  <a:srgbClr val="666699"/>
                </a:solidFill>
                <a:prstDash val="solid"/>
              </a:ln>
            </c:spPr>
          </c:marker>
          <c:xVal>
            <c:numRef>
              <c:f>'Q1-European LR Extrapolation'!$D$2:$D$42</c:f>
              <c:numCache>
                <c:formatCode>General</c:formatCode>
                <c:ptCount val="41"/>
                <c:pt idx="0">
                  <c:v>51</c:v>
                </c:pt>
                <c:pt idx="1">
                  <c:v>101</c:v>
                </c:pt>
                <c:pt idx="2">
                  <c:v>201</c:v>
                </c:pt>
                <c:pt idx="3">
                  <c:v>301</c:v>
                </c:pt>
                <c:pt idx="4">
                  <c:v>401</c:v>
                </c:pt>
                <c:pt idx="5">
                  <c:v>501</c:v>
                </c:pt>
                <c:pt idx="6">
                  <c:v>601</c:v>
                </c:pt>
                <c:pt idx="7">
                  <c:v>701</c:v>
                </c:pt>
                <c:pt idx="8">
                  <c:v>801</c:v>
                </c:pt>
                <c:pt idx="9">
                  <c:v>901</c:v>
                </c:pt>
                <c:pt idx="10">
                  <c:v>1001</c:v>
                </c:pt>
                <c:pt idx="11">
                  <c:v>1101</c:v>
                </c:pt>
                <c:pt idx="12">
                  <c:v>1201</c:v>
                </c:pt>
                <c:pt idx="13">
                  <c:v>1301</c:v>
                </c:pt>
                <c:pt idx="14">
                  <c:v>1401</c:v>
                </c:pt>
                <c:pt idx="15">
                  <c:v>1501</c:v>
                </c:pt>
                <c:pt idx="16">
                  <c:v>1601</c:v>
                </c:pt>
                <c:pt idx="17">
                  <c:v>1701</c:v>
                </c:pt>
                <c:pt idx="18">
                  <c:v>1801</c:v>
                </c:pt>
                <c:pt idx="19">
                  <c:v>1901</c:v>
                </c:pt>
                <c:pt idx="20">
                  <c:v>2001</c:v>
                </c:pt>
                <c:pt idx="21">
                  <c:v>2101</c:v>
                </c:pt>
                <c:pt idx="22">
                  <c:v>2201</c:v>
                </c:pt>
                <c:pt idx="23">
                  <c:v>2301</c:v>
                </c:pt>
                <c:pt idx="24">
                  <c:v>2401</c:v>
                </c:pt>
                <c:pt idx="25">
                  <c:v>2501</c:v>
                </c:pt>
                <c:pt idx="26">
                  <c:v>2601</c:v>
                </c:pt>
                <c:pt idx="27">
                  <c:v>2701</c:v>
                </c:pt>
                <c:pt idx="28">
                  <c:v>2801</c:v>
                </c:pt>
                <c:pt idx="29">
                  <c:v>2901</c:v>
                </c:pt>
                <c:pt idx="30">
                  <c:v>3001</c:v>
                </c:pt>
                <c:pt idx="31">
                  <c:v>3101</c:v>
                </c:pt>
                <c:pt idx="32">
                  <c:v>3201</c:v>
                </c:pt>
                <c:pt idx="33">
                  <c:v>3301</c:v>
                </c:pt>
                <c:pt idx="34">
                  <c:v>3401</c:v>
                </c:pt>
                <c:pt idx="35">
                  <c:v>3501</c:v>
                </c:pt>
                <c:pt idx="36">
                  <c:v>3601</c:v>
                </c:pt>
                <c:pt idx="37">
                  <c:v>3701</c:v>
                </c:pt>
                <c:pt idx="38">
                  <c:v>3801</c:v>
                </c:pt>
                <c:pt idx="39">
                  <c:v>3901</c:v>
                </c:pt>
                <c:pt idx="40">
                  <c:v>4001</c:v>
                </c:pt>
              </c:numCache>
            </c:numRef>
          </c:xVal>
          <c:yVal>
            <c:numRef>
              <c:f>'Q1-European LR Extrapolation'!$F$2:$F$42</c:f>
              <c:numCache>
                <c:formatCode>General</c:formatCode>
                <c:ptCount val="41"/>
                <c:pt idx="0">
                  <c:v>1.2080494654576057E-4</c:v>
                </c:pt>
                <c:pt idx="1">
                  <c:v>3.1132843366421525E-5</c:v>
                </c:pt>
                <c:pt idx="2">
                  <c:v>7.9032785471611078E-6</c:v>
                </c:pt>
                <c:pt idx="3">
                  <c:v>3.5306014325442447E-6</c:v>
                </c:pt>
                <c:pt idx="4">
                  <c:v>1.9910622253149768E-6</c:v>
                </c:pt>
                <c:pt idx="5">
                  <c:v>1.2762404413280137E-6</c:v>
                </c:pt>
                <c:pt idx="6">
                  <c:v>8.8718776325436011E-7</c:v>
                </c:pt>
                <c:pt idx="7">
                  <c:v>6.5229452417270295E-7</c:v>
                </c:pt>
                <c:pt idx="8">
                  <c:v>4.996847220439804E-7</c:v>
                </c:pt>
                <c:pt idx="9">
                  <c:v>3.9498099901891237E-7</c:v>
                </c:pt>
                <c:pt idx="10">
                  <c:v>3.2004411743002947E-7</c:v>
                </c:pt>
                <c:pt idx="11">
                  <c:v>2.6457737334339981E-7</c:v>
                </c:pt>
                <c:pt idx="12">
                  <c:v>2.2237391128498984E-7</c:v>
                </c:pt>
                <c:pt idx="13">
                  <c:v>1.8951775793141223E-7</c:v>
                </c:pt>
                <c:pt idx="14">
                  <c:v>1.6342997355422995E-7</c:v>
                </c:pt>
                <c:pt idx="15">
                  <c:v>1.4239392420734021E-7</c:v>
                </c:pt>
                <c:pt idx="16">
                  <c:v>1.2516136393969646E-7</c:v>
                </c:pt>
                <c:pt idx="17">
                  <c:v>1.1087522011621331E-7</c:v>
                </c:pt>
                <c:pt idx="18">
                  <c:v>9.8918134128211932E-8</c:v>
                </c:pt>
                <c:pt idx="19">
                  <c:v>8.8776221929265375E-8</c:v>
                </c:pt>
                <c:pt idx="20">
                  <c:v>8.014584551574444E-8</c:v>
                </c:pt>
                <c:pt idx="21">
                  <c:v>7.2683539187323731E-8</c:v>
                </c:pt>
                <c:pt idx="22">
                  <c:v>6.6235964268912539E-8</c:v>
                </c:pt>
                <c:pt idx="23">
                  <c:v>6.0614546271153813E-8</c:v>
                </c:pt>
                <c:pt idx="24">
                  <c:v>5.565493843562308E-8</c:v>
                </c:pt>
                <c:pt idx="25">
                  <c:v>5.1298526315690651E-8</c:v>
                </c:pt>
                <c:pt idx="26">
                  <c:v>4.7428876825961197E-8</c:v>
                </c:pt>
                <c:pt idx="27">
                  <c:v>4.398260067262072E-8</c:v>
                </c:pt>
                <c:pt idx="28">
                  <c:v>4.0918633814612804E-8</c:v>
                </c:pt>
                <c:pt idx="29">
                  <c:v>3.8142212943625964E-8</c:v>
                </c:pt>
                <c:pt idx="30">
                  <c:v>3.5649026841610976E-8</c:v>
                </c:pt>
                <c:pt idx="31">
                  <c:v>3.3392261400422285E-8</c:v>
                </c:pt>
                <c:pt idx="32">
                  <c:v>3.1342359818609111E-8</c:v>
                </c:pt>
                <c:pt idx="33">
                  <c:v>2.94438606829317E-8</c:v>
                </c:pt>
                <c:pt idx="34">
                  <c:v>2.7753035425348571E-8</c:v>
                </c:pt>
                <c:pt idx="35">
                  <c:v>2.616816274780831E-8</c:v>
                </c:pt>
                <c:pt idx="36">
                  <c:v>2.47468694425379E-8</c:v>
                </c:pt>
                <c:pt idx="37">
                  <c:v>2.3442156660280489E-8</c:v>
                </c:pt>
                <c:pt idx="38">
                  <c:v>2.2209269090467387E-8</c:v>
                </c:pt>
                <c:pt idx="39">
                  <c:v>2.1094654911735233E-8</c:v>
                </c:pt>
                <c:pt idx="40">
                  <c:v>2.0040065606963253E-8</c:v>
                </c:pt>
              </c:numCache>
            </c:numRef>
          </c:yVal>
          <c:smooth val="0"/>
          <c:extLst>
            <c:ext xmlns:c16="http://schemas.microsoft.com/office/drawing/2014/chart" uri="{C3380CC4-5D6E-409C-BE32-E72D297353CC}">
              <c16:uniqueId val="{00000000-3C18-1A45-8FB1-C863110B4CAE}"/>
            </c:ext>
          </c:extLst>
        </c:ser>
        <c:dLbls>
          <c:showLegendKey val="0"/>
          <c:showVal val="0"/>
          <c:showCatName val="0"/>
          <c:showSerName val="0"/>
          <c:showPercent val="0"/>
          <c:showBubbleSize val="0"/>
        </c:dLbls>
        <c:axId val="1869944063"/>
        <c:axId val="1"/>
      </c:scatterChart>
      <c:valAx>
        <c:axId val="1869944063"/>
        <c:scaling>
          <c:orientation val="minMax"/>
        </c:scaling>
        <c:delete val="0"/>
        <c:axPos val="b"/>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宋体"/>
                <a:ea typeface="宋体"/>
                <a:cs typeface="宋体"/>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1869944063"/>
        <c:crosses val="autoZero"/>
        <c:crossBetween val="midCat"/>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lineChart>
        <c:grouping val="standard"/>
        <c:varyColors val="0"/>
        <c:ser>
          <c:idx val="0"/>
          <c:order val="0"/>
          <c:tx>
            <c:strRef>
              <c:f>'American CRR'!$F$1</c:f>
              <c:strCache>
                <c:ptCount val="1"/>
                <c:pt idx="0">
                  <c:v>Error CRR</c:v>
                </c:pt>
              </c:strCache>
            </c:strRef>
          </c:tx>
          <c:spPr>
            <a:ln w="25400">
              <a:solidFill>
                <a:srgbClr val="666699"/>
              </a:solidFill>
              <a:prstDash val="solid"/>
            </a:ln>
          </c:spPr>
          <c:marker>
            <c:symbol val="none"/>
          </c:marker>
          <c:cat>
            <c:numRef>
              <c:f>'American CRR'!$D$2:$D$452</c:f>
              <c:numCache>
                <c:formatCode>General</c:formatCode>
                <c:ptCount val="451"/>
                <c:pt idx="0">
                  <c:v>50</c:v>
                </c:pt>
                <c:pt idx="1">
                  <c:v>51</c:v>
                </c:pt>
                <c:pt idx="2">
                  <c:v>52</c:v>
                </c:pt>
                <c:pt idx="3">
                  <c:v>53</c:v>
                </c:pt>
                <c:pt idx="4">
                  <c:v>54</c:v>
                </c:pt>
                <c:pt idx="5">
                  <c:v>55</c:v>
                </c:pt>
                <c:pt idx="6">
                  <c:v>56</c:v>
                </c:pt>
                <c:pt idx="7">
                  <c:v>57</c:v>
                </c:pt>
                <c:pt idx="8">
                  <c:v>58</c:v>
                </c:pt>
                <c:pt idx="9">
                  <c:v>59</c:v>
                </c:pt>
                <c:pt idx="10">
                  <c:v>60</c:v>
                </c:pt>
                <c:pt idx="11">
                  <c:v>61</c:v>
                </c:pt>
                <c:pt idx="12">
                  <c:v>62</c:v>
                </c:pt>
                <c:pt idx="13">
                  <c:v>63</c:v>
                </c:pt>
                <c:pt idx="14">
                  <c:v>64</c:v>
                </c:pt>
                <c:pt idx="15">
                  <c:v>65</c:v>
                </c:pt>
                <c:pt idx="16">
                  <c:v>66</c:v>
                </c:pt>
                <c:pt idx="17">
                  <c:v>67</c:v>
                </c:pt>
                <c:pt idx="18">
                  <c:v>68</c:v>
                </c:pt>
                <c:pt idx="19">
                  <c:v>69</c:v>
                </c:pt>
                <c:pt idx="20">
                  <c:v>70</c:v>
                </c:pt>
                <c:pt idx="21">
                  <c:v>71</c:v>
                </c:pt>
                <c:pt idx="22">
                  <c:v>72</c:v>
                </c:pt>
                <c:pt idx="23">
                  <c:v>73</c:v>
                </c:pt>
                <c:pt idx="24">
                  <c:v>74</c:v>
                </c:pt>
                <c:pt idx="25">
                  <c:v>75</c:v>
                </c:pt>
                <c:pt idx="26">
                  <c:v>76</c:v>
                </c:pt>
                <c:pt idx="27">
                  <c:v>77</c:v>
                </c:pt>
                <c:pt idx="28">
                  <c:v>78</c:v>
                </c:pt>
                <c:pt idx="29">
                  <c:v>79</c:v>
                </c:pt>
                <c:pt idx="30">
                  <c:v>80</c:v>
                </c:pt>
                <c:pt idx="31">
                  <c:v>81</c:v>
                </c:pt>
                <c:pt idx="32">
                  <c:v>82</c:v>
                </c:pt>
                <c:pt idx="33">
                  <c:v>83</c:v>
                </c:pt>
                <c:pt idx="34">
                  <c:v>84</c:v>
                </c:pt>
                <c:pt idx="35">
                  <c:v>85</c:v>
                </c:pt>
                <c:pt idx="36">
                  <c:v>86</c:v>
                </c:pt>
                <c:pt idx="37">
                  <c:v>87</c:v>
                </c:pt>
                <c:pt idx="38">
                  <c:v>88</c:v>
                </c:pt>
                <c:pt idx="39">
                  <c:v>89</c:v>
                </c:pt>
                <c:pt idx="40">
                  <c:v>90</c:v>
                </c:pt>
                <c:pt idx="41">
                  <c:v>91</c:v>
                </c:pt>
                <c:pt idx="42">
                  <c:v>92</c:v>
                </c:pt>
                <c:pt idx="43">
                  <c:v>93</c:v>
                </c:pt>
                <c:pt idx="44">
                  <c:v>94</c:v>
                </c:pt>
                <c:pt idx="45">
                  <c:v>95</c:v>
                </c:pt>
                <c:pt idx="46">
                  <c:v>96</c:v>
                </c:pt>
                <c:pt idx="47">
                  <c:v>97</c:v>
                </c:pt>
                <c:pt idx="48">
                  <c:v>98</c:v>
                </c:pt>
                <c:pt idx="49">
                  <c:v>99</c:v>
                </c:pt>
                <c:pt idx="50">
                  <c:v>100</c:v>
                </c:pt>
                <c:pt idx="51">
                  <c:v>101</c:v>
                </c:pt>
                <c:pt idx="52">
                  <c:v>102</c:v>
                </c:pt>
                <c:pt idx="53">
                  <c:v>103</c:v>
                </c:pt>
                <c:pt idx="54">
                  <c:v>104</c:v>
                </c:pt>
                <c:pt idx="55">
                  <c:v>105</c:v>
                </c:pt>
                <c:pt idx="56">
                  <c:v>106</c:v>
                </c:pt>
                <c:pt idx="57">
                  <c:v>107</c:v>
                </c:pt>
                <c:pt idx="58">
                  <c:v>108</c:v>
                </c:pt>
                <c:pt idx="59">
                  <c:v>109</c:v>
                </c:pt>
                <c:pt idx="60">
                  <c:v>110</c:v>
                </c:pt>
                <c:pt idx="61">
                  <c:v>111</c:v>
                </c:pt>
                <c:pt idx="62">
                  <c:v>112</c:v>
                </c:pt>
                <c:pt idx="63">
                  <c:v>113</c:v>
                </c:pt>
                <c:pt idx="64">
                  <c:v>114</c:v>
                </c:pt>
                <c:pt idx="65">
                  <c:v>115</c:v>
                </c:pt>
                <c:pt idx="66">
                  <c:v>116</c:v>
                </c:pt>
                <c:pt idx="67">
                  <c:v>117</c:v>
                </c:pt>
                <c:pt idx="68">
                  <c:v>118</c:v>
                </c:pt>
                <c:pt idx="69">
                  <c:v>119</c:v>
                </c:pt>
                <c:pt idx="70">
                  <c:v>120</c:v>
                </c:pt>
                <c:pt idx="71">
                  <c:v>121</c:v>
                </c:pt>
                <c:pt idx="72">
                  <c:v>122</c:v>
                </c:pt>
                <c:pt idx="73">
                  <c:v>123</c:v>
                </c:pt>
                <c:pt idx="74">
                  <c:v>124</c:v>
                </c:pt>
                <c:pt idx="75">
                  <c:v>125</c:v>
                </c:pt>
                <c:pt idx="76">
                  <c:v>126</c:v>
                </c:pt>
                <c:pt idx="77">
                  <c:v>127</c:v>
                </c:pt>
                <c:pt idx="78">
                  <c:v>128</c:v>
                </c:pt>
                <c:pt idx="79">
                  <c:v>129</c:v>
                </c:pt>
                <c:pt idx="80">
                  <c:v>130</c:v>
                </c:pt>
                <c:pt idx="81">
                  <c:v>131</c:v>
                </c:pt>
                <c:pt idx="82">
                  <c:v>132</c:v>
                </c:pt>
                <c:pt idx="83">
                  <c:v>133</c:v>
                </c:pt>
                <c:pt idx="84">
                  <c:v>134</c:v>
                </c:pt>
                <c:pt idx="85">
                  <c:v>135</c:v>
                </c:pt>
                <c:pt idx="86">
                  <c:v>136</c:v>
                </c:pt>
                <c:pt idx="87">
                  <c:v>137</c:v>
                </c:pt>
                <c:pt idx="88">
                  <c:v>138</c:v>
                </c:pt>
                <c:pt idx="89">
                  <c:v>139</c:v>
                </c:pt>
                <c:pt idx="90">
                  <c:v>140</c:v>
                </c:pt>
                <c:pt idx="91">
                  <c:v>141</c:v>
                </c:pt>
                <c:pt idx="92">
                  <c:v>142</c:v>
                </c:pt>
                <c:pt idx="93">
                  <c:v>143</c:v>
                </c:pt>
                <c:pt idx="94">
                  <c:v>144</c:v>
                </c:pt>
                <c:pt idx="95">
                  <c:v>145</c:v>
                </c:pt>
                <c:pt idx="96">
                  <c:v>146</c:v>
                </c:pt>
                <c:pt idx="97">
                  <c:v>147</c:v>
                </c:pt>
                <c:pt idx="98">
                  <c:v>148</c:v>
                </c:pt>
                <c:pt idx="99">
                  <c:v>149</c:v>
                </c:pt>
                <c:pt idx="100">
                  <c:v>150</c:v>
                </c:pt>
                <c:pt idx="101">
                  <c:v>151</c:v>
                </c:pt>
                <c:pt idx="102">
                  <c:v>152</c:v>
                </c:pt>
                <c:pt idx="103">
                  <c:v>153</c:v>
                </c:pt>
                <c:pt idx="104">
                  <c:v>154</c:v>
                </c:pt>
                <c:pt idx="105">
                  <c:v>155</c:v>
                </c:pt>
                <c:pt idx="106">
                  <c:v>156</c:v>
                </c:pt>
                <c:pt idx="107">
                  <c:v>157</c:v>
                </c:pt>
                <c:pt idx="108">
                  <c:v>158</c:v>
                </c:pt>
                <c:pt idx="109">
                  <c:v>159</c:v>
                </c:pt>
                <c:pt idx="110">
                  <c:v>160</c:v>
                </c:pt>
                <c:pt idx="111">
                  <c:v>161</c:v>
                </c:pt>
                <c:pt idx="112">
                  <c:v>162</c:v>
                </c:pt>
                <c:pt idx="113">
                  <c:v>163</c:v>
                </c:pt>
                <c:pt idx="114">
                  <c:v>164</c:v>
                </c:pt>
                <c:pt idx="115">
                  <c:v>165</c:v>
                </c:pt>
                <c:pt idx="116">
                  <c:v>166</c:v>
                </c:pt>
                <c:pt idx="117">
                  <c:v>167</c:v>
                </c:pt>
                <c:pt idx="118">
                  <c:v>168</c:v>
                </c:pt>
                <c:pt idx="119">
                  <c:v>169</c:v>
                </c:pt>
                <c:pt idx="120">
                  <c:v>170</c:v>
                </c:pt>
                <c:pt idx="121">
                  <c:v>171</c:v>
                </c:pt>
                <c:pt idx="122">
                  <c:v>172</c:v>
                </c:pt>
                <c:pt idx="123">
                  <c:v>173</c:v>
                </c:pt>
                <c:pt idx="124">
                  <c:v>174</c:v>
                </c:pt>
                <c:pt idx="125">
                  <c:v>175</c:v>
                </c:pt>
                <c:pt idx="126">
                  <c:v>176</c:v>
                </c:pt>
                <c:pt idx="127">
                  <c:v>177</c:v>
                </c:pt>
                <c:pt idx="128">
                  <c:v>178</c:v>
                </c:pt>
                <c:pt idx="129">
                  <c:v>179</c:v>
                </c:pt>
                <c:pt idx="130">
                  <c:v>180</c:v>
                </c:pt>
                <c:pt idx="131">
                  <c:v>181</c:v>
                </c:pt>
                <c:pt idx="132">
                  <c:v>182</c:v>
                </c:pt>
                <c:pt idx="133">
                  <c:v>183</c:v>
                </c:pt>
                <c:pt idx="134">
                  <c:v>184</c:v>
                </c:pt>
                <c:pt idx="135">
                  <c:v>185</c:v>
                </c:pt>
                <c:pt idx="136">
                  <c:v>186</c:v>
                </c:pt>
                <c:pt idx="137">
                  <c:v>187</c:v>
                </c:pt>
                <c:pt idx="138">
                  <c:v>188</c:v>
                </c:pt>
                <c:pt idx="139">
                  <c:v>189</c:v>
                </c:pt>
                <c:pt idx="140">
                  <c:v>190</c:v>
                </c:pt>
                <c:pt idx="141">
                  <c:v>191</c:v>
                </c:pt>
                <c:pt idx="142">
                  <c:v>192</c:v>
                </c:pt>
                <c:pt idx="143">
                  <c:v>193</c:v>
                </c:pt>
                <c:pt idx="144">
                  <c:v>194</c:v>
                </c:pt>
                <c:pt idx="145">
                  <c:v>195</c:v>
                </c:pt>
                <c:pt idx="146">
                  <c:v>196</c:v>
                </c:pt>
                <c:pt idx="147">
                  <c:v>197</c:v>
                </c:pt>
                <c:pt idx="148">
                  <c:v>198</c:v>
                </c:pt>
                <c:pt idx="149">
                  <c:v>199</c:v>
                </c:pt>
                <c:pt idx="150">
                  <c:v>200</c:v>
                </c:pt>
                <c:pt idx="151">
                  <c:v>201</c:v>
                </c:pt>
                <c:pt idx="152">
                  <c:v>202</c:v>
                </c:pt>
                <c:pt idx="153">
                  <c:v>203</c:v>
                </c:pt>
                <c:pt idx="154">
                  <c:v>204</c:v>
                </c:pt>
                <c:pt idx="155">
                  <c:v>205</c:v>
                </c:pt>
                <c:pt idx="156">
                  <c:v>206</c:v>
                </c:pt>
                <c:pt idx="157">
                  <c:v>207</c:v>
                </c:pt>
                <c:pt idx="158">
                  <c:v>208</c:v>
                </c:pt>
                <c:pt idx="159">
                  <c:v>209</c:v>
                </c:pt>
                <c:pt idx="160">
                  <c:v>210</c:v>
                </c:pt>
                <c:pt idx="161">
                  <c:v>211</c:v>
                </c:pt>
                <c:pt idx="162">
                  <c:v>212</c:v>
                </c:pt>
                <c:pt idx="163">
                  <c:v>213</c:v>
                </c:pt>
                <c:pt idx="164">
                  <c:v>214</c:v>
                </c:pt>
                <c:pt idx="165">
                  <c:v>215</c:v>
                </c:pt>
                <c:pt idx="166">
                  <c:v>216</c:v>
                </c:pt>
                <c:pt idx="167">
                  <c:v>217</c:v>
                </c:pt>
                <c:pt idx="168">
                  <c:v>218</c:v>
                </c:pt>
                <c:pt idx="169">
                  <c:v>219</c:v>
                </c:pt>
                <c:pt idx="170">
                  <c:v>220</c:v>
                </c:pt>
                <c:pt idx="171">
                  <c:v>221</c:v>
                </c:pt>
                <c:pt idx="172">
                  <c:v>222</c:v>
                </c:pt>
                <c:pt idx="173">
                  <c:v>223</c:v>
                </c:pt>
                <c:pt idx="174">
                  <c:v>224</c:v>
                </c:pt>
                <c:pt idx="175">
                  <c:v>225</c:v>
                </c:pt>
                <c:pt idx="176">
                  <c:v>226</c:v>
                </c:pt>
                <c:pt idx="177">
                  <c:v>227</c:v>
                </c:pt>
                <c:pt idx="178">
                  <c:v>228</c:v>
                </c:pt>
                <c:pt idx="179">
                  <c:v>229</c:v>
                </c:pt>
                <c:pt idx="180">
                  <c:v>230</c:v>
                </c:pt>
                <c:pt idx="181">
                  <c:v>231</c:v>
                </c:pt>
                <c:pt idx="182">
                  <c:v>232</c:v>
                </c:pt>
                <c:pt idx="183">
                  <c:v>233</c:v>
                </c:pt>
                <c:pt idx="184">
                  <c:v>234</c:v>
                </c:pt>
                <c:pt idx="185">
                  <c:v>235</c:v>
                </c:pt>
                <c:pt idx="186">
                  <c:v>236</c:v>
                </c:pt>
                <c:pt idx="187">
                  <c:v>237</c:v>
                </c:pt>
                <c:pt idx="188">
                  <c:v>238</c:v>
                </c:pt>
                <c:pt idx="189">
                  <c:v>239</c:v>
                </c:pt>
                <c:pt idx="190">
                  <c:v>240</c:v>
                </c:pt>
                <c:pt idx="191">
                  <c:v>241</c:v>
                </c:pt>
                <c:pt idx="192">
                  <c:v>242</c:v>
                </c:pt>
                <c:pt idx="193">
                  <c:v>243</c:v>
                </c:pt>
                <c:pt idx="194">
                  <c:v>244</c:v>
                </c:pt>
                <c:pt idx="195">
                  <c:v>245</c:v>
                </c:pt>
                <c:pt idx="196">
                  <c:v>246</c:v>
                </c:pt>
                <c:pt idx="197">
                  <c:v>247</c:v>
                </c:pt>
                <c:pt idx="198">
                  <c:v>248</c:v>
                </c:pt>
                <c:pt idx="199">
                  <c:v>249</c:v>
                </c:pt>
                <c:pt idx="200">
                  <c:v>250</c:v>
                </c:pt>
                <c:pt idx="201">
                  <c:v>251</c:v>
                </c:pt>
                <c:pt idx="202">
                  <c:v>252</c:v>
                </c:pt>
                <c:pt idx="203">
                  <c:v>253</c:v>
                </c:pt>
                <c:pt idx="204">
                  <c:v>254</c:v>
                </c:pt>
                <c:pt idx="205">
                  <c:v>255</c:v>
                </c:pt>
                <c:pt idx="206">
                  <c:v>256</c:v>
                </c:pt>
                <c:pt idx="207">
                  <c:v>257</c:v>
                </c:pt>
                <c:pt idx="208">
                  <c:v>258</c:v>
                </c:pt>
                <c:pt idx="209">
                  <c:v>259</c:v>
                </c:pt>
                <c:pt idx="210">
                  <c:v>260</c:v>
                </c:pt>
                <c:pt idx="211">
                  <c:v>261</c:v>
                </c:pt>
                <c:pt idx="212">
                  <c:v>262</c:v>
                </c:pt>
                <c:pt idx="213">
                  <c:v>263</c:v>
                </c:pt>
                <c:pt idx="214">
                  <c:v>264</c:v>
                </c:pt>
                <c:pt idx="215">
                  <c:v>265</c:v>
                </c:pt>
                <c:pt idx="216">
                  <c:v>266</c:v>
                </c:pt>
                <c:pt idx="217">
                  <c:v>267</c:v>
                </c:pt>
                <c:pt idx="218">
                  <c:v>268</c:v>
                </c:pt>
                <c:pt idx="219">
                  <c:v>269</c:v>
                </c:pt>
                <c:pt idx="220">
                  <c:v>270</c:v>
                </c:pt>
                <c:pt idx="221">
                  <c:v>271</c:v>
                </c:pt>
                <c:pt idx="222">
                  <c:v>272</c:v>
                </c:pt>
                <c:pt idx="223">
                  <c:v>273</c:v>
                </c:pt>
                <c:pt idx="224">
                  <c:v>274</c:v>
                </c:pt>
                <c:pt idx="225">
                  <c:v>275</c:v>
                </c:pt>
                <c:pt idx="226">
                  <c:v>276</c:v>
                </c:pt>
                <c:pt idx="227">
                  <c:v>277</c:v>
                </c:pt>
                <c:pt idx="228">
                  <c:v>278</c:v>
                </c:pt>
                <c:pt idx="229">
                  <c:v>279</c:v>
                </c:pt>
                <c:pt idx="230">
                  <c:v>280</c:v>
                </c:pt>
                <c:pt idx="231">
                  <c:v>281</c:v>
                </c:pt>
                <c:pt idx="232">
                  <c:v>282</c:v>
                </c:pt>
                <c:pt idx="233">
                  <c:v>283</c:v>
                </c:pt>
                <c:pt idx="234">
                  <c:v>284</c:v>
                </c:pt>
                <c:pt idx="235">
                  <c:v>285</c:v>
                </c:pt>
                <c:pt idx="236">
                  <c:v>286</c:v>
                </c:pt>
                <c:pt idx="237">
                  <c:v>287</c:v>
                </c:pt>
                <c:pt idx="238">
                  <c:v>288</c:v>
                </c:pt>
                <c:pt idx="239">
                  <c:v>289</c:v>
                </c:pt>
                <c:pt idx="240">
                  <c:v>290</c:v>
                </c:pt>
                <c:pt idx="241">
                  <c:v>291</c:v>
                </c:pt>
                <c:pt idx="242">
                  <c:v>292</c:v>
                </c:pt>
                <c:pt idx="243">
                  <c:v>293</c:v>
                </c:pt>
                <c:pt idx="244">
                  <c:v>294</c:v>
                </c:pt>
                <c:pt idx="245">
                  <c:v>295</c:v>
                </c:pt>
                <c:pt idx="246">
                  <c:v>296</c:v>
                </c:pt>
                <c:pt idx="247">
                  <c:v>297</c:v>
                </c:pt>
                <c:pt idx="248">
                  <c:v>298</c:v>
                </c:pt>
                <c:pt idx="249">
                  <c:v>299</c:v>
                </c:pt>
                <c:pt idx="250">
                  <c:v>300</c:v>
                </c:pt>
                <c:pt idx="251">
                  <c:v>301</c:v>
                </c:pt>
                <c:pt idx="252">
                  <c:v>302</c:v>
                </c:pt>
                <c:pt idx="253">
                  <c:v>303</c:v>
                </c:pt>
                <c:pt idx="254">
                  <c:v>304</c:v>
                </c:pt>
                <c:pt idx="255">
                  <c:v>305</c:v>
                </c:pt>
                <c:pt idx="256">
                  <c:v>306</c:v>
                </c:pt>
                <c:pt idx="257">
                  <c:v>307</c:v>
                </c:pt>
                <c:pt idx="258">
                  <c:v>308</c:v>
                </c:pt>
                <c:pt idx="259">
                  <c:v>309</c:v>
                </c:pt>
                <c:pt idx="260">
                  <c:v>310</c:v>
                </c:pt>
                <c:pt idx="261">
                  <c:v>311</c:v>
                </c:pt>
                <c:pt idx="262">
                  <c:v>312</c:v>
                </c:pt>
                <c:pt idx="263">
                  <c:v>313</c:v>
                </c:pt>
                <c:pt idx="264">
                  <c:v>314</c:v>
                </c:pt>
                <c:pt idx="265">
                  <c:v>315</c:v>
                </c:pt>
                <c:pt idx="266">
                  <c:v>316</c:v>
                </c:pt>
                <c:pt idx="267">
                  <c:v>317</c:v>
                </c:pt>
                <c:pt idx="268">
                  <c:v>318</c:v>
                </c:pt>
                <c:pt idx="269">
                  <c:v>319</c:v>
                </c:pt>
                <c:pt idx="270">
                  <c:v>320</c:v>
                </c:pt>
                <c:pt idx="271">
                  <c:v>321</c:v>
                </c:pt>
                <c:pt idx="272">
                  <c:v>322</c:v>
                </c:pt>
                <c:pt idx="273">
                  <c:v>323</c:v>
                </c:pt>
                <c:pt idx="274">
                  <c:v>324</c:v>
                </c:pt>
                <c:pt idx="275">
                  <c:v>325</c:v>
                </c:pt>
                <c:pt idx="276">
                  <c:v>326</c:v>
                </c:pt>
                <c:pt idx="277">
                  <c:v>327</c:v>
                </c:pt>
                <c:pt idx="278">
                  <c:v>328</c:v>
                </c:pt>
                <c:pt idx="279">
                  <c:v>329</c:v>
                </c:pt>
                <c:pt idx="280">
                  <c:v>330</c:v>
                </c:pt>
                <c:pt idx="281">
                  <c:v>331</c:v>
                </c:pt>
                <c:pt idx="282">
                  <c:v>332</c:v>
                </c:pt>
                <c:pt idx="283">
                  <c:v>333</c:v>
                </c:pt>
                <c:pt idx="284">
                  <c:v>334</c:v>
                </c:pt>
                <c:pt idx="285">
                  <c:v>335</c:v>
                </c:pt>
                <c:pt idx="286">
                  <c:v>336</c:v>
                </c:pt>
                <c:pt idx="287">
                  <c:v>337</c:v>
                </c:pt>
                <c:pt idx="288">
                  <c:v>338</c:v>
                </c:pt>
                <c:pt idx="289">
                  <c:v>339</c:v>
                </c:pt>
                <c:pt idx="290">
                  <c:v>340</c:v>
                </c:pt>
                <c:pt idx="291">
                  <c:v>341</c:v>
                </c:pt>
                <c:pt idx="292">
                  <c:v>342</c:v>
                </c:pt>
                <c:pt idx="293">
                  <c:v>343</c:v>
                </c:pt>
                <c:pt idx="294">
                  <c:v>344</c:v>
                </c:pt>
                <c:pt idx="295">
                  <c:v>345</c:v>
                </c:pt>
                <c:pt idx="296">
                  <c:v>346</c:v>
                </c:pt>
                <c:pt idx="297">
                  <c:v>347</c:v>
                </c:pt>
                <c:pt idx="298">
                  <c:v>348</c:v>
                </c:pt>
                <c:pt idx="299">
                  <c:v>349</c:v>
                </c:pt>
                <c:pt idx="300">
                  <c:v>350</c:v>
                </c:pt>
                <c:pt idx="301">
                  <c:v>351</c:v>
                </c:pt>
                <c:pt idx="302">
                  <c:v>352</c:v>
                </c:pt>
                <c:pt idx="303">
                  <c:v>353</c:v>
                </c:pt>
                <c:pt idx="304">
                  <c:v>354</c:v>
                </c:pt>
                <c:pt idx="305">
                  <c:v>355</c:v>
                </c:pt>
                <c:pt idx="306">
                  <c:v>356</c:v>
                </c:pt>
                <c:pt idx="307">
                  <c:v>357</c:v>
                </c:pt>
                <c:pt idx="308">
                  <c:v>358</c:v>
                </c:pt>
                <c:pt idx="309">
                  <c:v>359</c:v>
                </c:pt>
                <c:pt idx="310">
                  <c:v>360</c:v>
                </c:pt>
                <c:pt idx="311">
                  <c:v>361</c:v>
                </c:pt>
                <c:pt idx="312">
                  <c:v>362</c:v>
                </c:pt>
                <c:pt idx="313">
                  <c:v>363</c:v>
                </c:pt>
                <c:pt idx="314">
                  <c:v>364</c:v>
                </c:pt>
                <c:pt idx="315">
                  <c:v>365</c:v>
                </c:pt>
                <c:pt idx="316">
                  <c:v>366</c:v>
                </c:pt>
                <c:pt idx="317">
                  <c:v>367</c:v>
                </c:pt>
                <c:pt idx="318">
                  <c:v>368</c:v>
                </c:pt>
                <c:pt idx="319">
                  <c:v>369</c:v>
                </c:pt>
                <c:pt idx="320">
                  <c:v>370</c:v>
                </c:pt>
                <c:pt idx="321">
                  <c:v>371</c:v>
                </c:pt>
                <c:pt idx="322">
                  <c:v>372</c:v>
                </c:pt>
                <c:pt idx="323">
                  <c:v>373</c:v>
                </c:pt>
                <c:pt idx="324">
                  <c:v>374</c:v>
                </c:pt>
                <c:pt idx="325">
                  <c:v>375</c:v>
                </c:pt>
                <c:pt idx="326">
                  <c:v>376</c:v>
                </c:pt>
                <c:pt idx="327">
                  <c:v>377</c:v>
                </c:pt>
                <c:pt idx="328">
                  <c:v>378</c:v>
                </c:pt>
                <c:pt idx="329">
                  <c:v>379</c:v>
                </c:pt>
                <c:pt idx="330">
                  <c:v>380</c:v>
                </c:pt>
                <c:pt idx="331">
                  <c:v>381</c:v>
                </c:pt>
                <c:pt idx="332">
                  <c:v>382</c:v>
                </c:pt>
                <c:pt idx="333">
                  <c:v>383</c:v>
                </c:pt>
                <c:pt idx="334">
                  <c:v>384</c:v>
                </c:pt>
                <c:pt idx="335">
                  <c:v>385</c:v>
                </c:pt>
                <c:pt idx="336">
                  <c:v>386</c:v>
                </c:pt>
                <c:pt idx="337">
                  <c:v>387</c:v>
                </c:pt>
                <c:pt idx="338">
                  <c:v>388</c:v>
                </c:pt>
                <c:pt idx="339">
                  <c:v>389</c:v>
                </c:pt>
                <c:pt idx="340">
                  <c:v>390</c:v>
                </c:pt>
                <c:pt idx="341">
                  <c:v>391</c:v>
                </c:pt>
                <c:pt idx="342">
                  <c:v>392</c:v>
                </c:pt>
                <c:pt idx="343">
                  <c:v>393</c:v>
                </c:pt>
                <c:pt idx="344">
                  <c:v>394</c:v>
                </c:pt>
                <c:pt idx="345">
                  <c:v>395</c:v>
                </c:pt>
                <c:pt idx="346">
                  <c:v>396</c:v>
                </c:pt>
                <c:pt idx="347">
                  <c:v>397</c:v>
                </c:pt>
                <c:pt idx="348">
                  <c:v>398</c:v>
                </c:pt>
                <c:pt idx="349">
                  <c:v>399</c:v>
                </c:pt>
                <c:pt idx="350">
                  <c:v>400</c:v>
                </c:pt>
                <c:pt idx="351">
                  <c:v>401</c:v>
                </c:pt>
                <c:pt idx="352">
                  <c:v>402</c:v>
                </c:pt>
                <c:pt idx="353">
                  <c:v>403</c:v>
                </c:pt>
                <c:pt idx="354">
                  <c:v>404</c:v>
                </c:pt>
                <c:pt idx="355">
                  <c:v>405</c:v>
                </c:pt>
                <c:pt idx="356">
                  <c:v>406</c:v>
                </c:pt>
                <c:pt idx="357">
                  <c:v>407</c:v>
                </c:pt>
                <c:pt idx="358">
                  <c:v>408</c:v>
                </c:pt>
                <c:pt idx="359">
                  <c:v>409</c:v>
                </c:pt>
                <c:pt idx="360">
                  <c:v>410</c:v>
                </c:pt>
                <c:pt idx="361">
                  <c:v>411</c:v>
                </c:pt>
                <c:pt idx="362">
                  <c:v>412</c:v>
                </c:pt>
                <c:pt idx="363">
                  <c:v>413</c:v>
                </c:pt>
                <c:pt idx="364">
                  <c:v>414</c:v>
                </c:pt>
                <c:pt idx="365">
                  <c:v>415</c:v>
                </c:pt>
                <c:pt idx="366">
                  <c:v>416</c:v>
                </c:pt>
                <c:pt idx="367">
                  <c:v>417</c:v>
                </c:pt>
                <c:pt idx="368">
                  <c:v>418</c:v>
                </c:pt>
                <c:pt idx="369">
                  <c:v>419</c:v>
                </c:pt>
                <c:pt idx="370">
                  <c:v>420</c:v>
                </c:pt>
                <c:pt idx="371">
                  <c:v>421</c:v>
                </c:pt>
                <c:pt idx="372">
                  <c:v>422</c:v>
                </c:pt>
                <c:pt idx="373">
                  <c:v>423</c:v>
                </c:pt>
                <c:pt idx="374">
                  <c:v>424</c:v>
                </c:pt>
                <c:pt idx="375">
                  <c:v>425</c:v>
                </c:pt>
                <c:pt idx="376">
                  <c:v>426</c:v>
                </c:pt>
                <c:pt idx="377">
                  <c:v>427</c:v>
                </c:pt>
                <c:pt idx="378">
                  <c:v>428</c:v>
                </c:pt>
                <c:pt idx="379">
                  <c:v>429</c:v>
                </c:pt>
                <c:pt idx="380">
                  <c:v>430</c:v>
                </c:pt>
                <c:pt idx="381">
                  <c:v>431</c:v>
                </c:pt>
                <c:pt idx="382">
                  <c:v>432</c:v>
                </c:pt>
                <c:pt idx="383">
                  <c:v>433</c:v>
                </c:pt>
                <c:pt idx="384">
                  <c:v>434</c:v>
                </c:pt>
                <c:pt idx="385">
                  <c:v>435</c:v>
                </c:pt>
                <c:pt idx="386">
                  <c:v>436</c:v>
                </c:pt>
                <c:pt idx="387">
                  <c:v>437</c:v>
                </c:pt>
                <c:pt idx="388">
                  <c:v>438</c:v>
                </c:pt>
                <c:pt idx="389">
                  <c:v>439</c:v>
                </c:pt>
                <c:pt idx="390">
                  <c:v>440</c:v>
                </c:pt>
                <c:pt idx="391">
                  <c:v>441</c:v>
                </c:pt>
                <c:pt idx="392">
                  <c:v>442</c:v>
                </c:pt>
                <c:pt idx="393">
                  <c:v>443</c:v>
                </c:pt>
                <c:pt idx="394">
                  <c:v>444</c:v>
                </c:pt>
                <c:pt idx="395">
                  <c:v>445</c:v>
                </c:pt>
                <c:pt idx="396">
                  <c:v>446</c:v>
                </c:pt>
                <c:pt idx="397">
                  <c:v>447</c:v>
                </c:pt>
                <c:pt idx="398">
                  <c:v>448</c:v>
                </c:pt>
                <c:pt idx="399">
                  <c:v>449</c:v>
                </c:pt>
                <c:pt idx="400">
                  <c:v>450</c:v>
                </c:pt>
                <c:pt idx="401">
                  <c:v>451</c:v>
                </c:pt>
                <c:pt idx="402">
                  <c:v>452</c:v>
                </c:pt>
                <c:pt idx="403">
                  <c:v>453</c:v>
                </c:pt>
                <c:pt idx="404">
                  <c:v>454</c:v>
                </c:pt>
                <c:pt idx="405">
                  <c:v>455</c:v>
                </c:pt>
                <c:pt idx="406">
                  <c:v>456</c:v>
                </c:pt>
                <c:pt idx="407">
                  <c:v>457</c:v>
                </c:pt>
                <c:pt idx="408">
                  <c:v>458</c:v>
                </c:pt>
                <c:pt idx="409">
                  <c:v>459</c:v>
                </c:pt>
                <c:pt idx="410">
                  <c:v>460</c:v>
                </c:pt>
                <c:pt idx="411">
                  <c:v>461</c:v>
                </c:pt>
                <c:pt idx="412">
                  <c:v>462</c:v>
                </c:pt>
                <c:pt idx="413">
                  <c:v>463</c:v>
                </c:pt>
                <c:pt idx="414">
                  <c:v>464</c:v>
                </c:pt>
                <c:pt idx="415">
                  <c:v>465</c:v>
                </c:pt>
                <c:pt idx="416">
                  <c:v>466</c:v>
                </c:pt>
                <c:pt idx="417">
                  <c:v>467</c:v>
                </c:pt>
                <c:pt idx="418">
                  <c:v>468</c:v>
                </c:pt>
                <c:pt idx="419">
                  <c:v>469</c:v>
                </c:pt>
                <c:pt idx="420">
                  <c:v>470</c:v>
                </c:pt>
                <c:pt idx="421">
                  <c:v>471</c:v>
                </c:pt>
                <c:pt idx="422">
                  <c:v>472</c:v>
                </c:pt>
                <c:pt idx="423">
                  <c:v>473</c:v>
                </c:pt>
                <c:pt idx="424">
                  <c:v>474</c:v>
                </c:pt>
                <c:pt idx="425">
                  <c:v>475</c:v>
                </c:pt>
                <c:pt idx="426">
                  <c:v>476</c:v>
                </c:pt>
                <c:pt idx="427">
                  <c:v>477</c:v>
                </c:pt>
                <c:pt idx="428">
                  <c:v>478</c:v>
                </c:pt>
                <c:pt idx="429">
                  <c:v>479</c:v>
                </c:pt>
                <c:pt idx="430">
                  <c:v>480</c:v>
                </c:pt>
                <c:pt idx="431">
                  <c:v>481</c:v>
                </c:pt>
                <c:pt idx="432">
                  <c:v>482</c:v>
                </c:pt>
                <c:pt idx="433">
                  <c:v>483</c:v>
                </c:pt>
                <c:pt idx="434">
                  <c:v>484</c:v>
                </c:pt>
                <c:pt idx="435">
                  <c:v>485</c:v>
                </c:pt>
                <c:pt idx="436">
                  <c:v>486</c:v>
                </c:pt>
                <c:pt idx="437">
                  <c:v>487</c:v>
                </c:pt>
                <c:pt idx="438">
                  <c:v>488</c:v>
                </c:pt>
                <c:pt idx="439">
                  <c:v>489</c:v>
                </c:pt>
                <c:pt idx="440">
                  <c:v>490</c:v>
                </c:pt>
                <c:pt idx="441">
                  <c:v>491</c:v>
                </c:pt>
                <c:pt idx="442">
                  <c:v>492</c:v>
                </c:pt>
                <c:pt idx="443">
                  <c:v>493</c:v>
                </c:pt>
                <c:pt idx="444">
                  <c:v>494</c:v>
                </c:pt>
                <c:pt idx="445">
                  <c:v>495</c:v>
                </c:pt>
                <c:pt idx="446">
                  <c:v>496</c:v>
                </c:pt>
                <c:pt idx="447">
                  <c:v>497</c:v>
                </c:pt>
                <c:pt idx="448">
                  <c:v>498</c:v>
                </c:pt>
                <c:pt idx="449">
                  <c:v>499</c:v>
                </c:pt>
                <c:pt idx="450">
                  <c:v>500</c:v>
                </c:pt>
              </c:numCache>
            </c:numRef>
          </c:cat>
          <c:val>
            <c:numRef>
              <c:f>'American CRR'!$F$2:$F$452</c:f>
              <c:numCache>
                <c:formatCode>General</c:formatCode>
                <c:ptCount val="451"/>
                <c:pt idx="0">
                  <c:v>5.9187132266735887E-4</c:v>
                </c:pt>
                <c:pt idx="1">
                  <c:v>2.5523469195400494E-2</c:v>
                </c:pt>
                <c:pt idx="2">
                  <c:v>3.9382599931219175E-3</c:v>
                </c:pt>
                <c:pt idx="3">
                  <c:v>2.3105291470420397E-2</c:v>
                </c:pt>
                <c:pt idx="4">
                  <c:v>6.7846593675024991E-3</c:v>
                </c:pt>
                <c:pt idx="5">
                  <c:v>2.0697429693171898E-2</c:v>
                </c:pt>
                <c:pt idx="6">
                  <c:v>9.1963297003161415E-3</c:v>
                </c:pt>
                <c:pt idx="7">
                  <c:v>1.8308475568211691E-2</c:v>
                </c:pt>
                <c:pt idx="8">
                  <c:v>1.1228457829711047E-2</c:v>
                </c:pt>
                <c:pt idx="9">
                  <c:v>1.5977206118442666E-2</c:v>
                </c:pt>
                <c:pt idx="10">
                  <c:v>1.2928262893799669E-2</c:v>
                </c:pt>
                <c:pt idx="11">
                  <c:v>1.3678547628735771E-2</c:v>
                </c:pt>
                <c:pt idx="12">
                  <c:v>1.43360819562659E-2</c:v>
                </c:pt>
                <c:pt idx="13">
                  <c:v>1.1426073506365597E-2</c:v>
                </c:pt>
                <c:pt idx="14">
                  <c:v>1.5488185035932744E-2</c:v>
                </c:pt>
                <c:pt idx="15">
                  <c:v>9.2050506140441968E-3</c:v>
                </c:pt>
                <c:pt idx="16">
                  <c:v>1.6416973715754679E-2</c:v>
                </c:pt>
                <c:pt idx="17">
                  <c:v>7.0387066881441029E-3</c:v>
                </c:pt>
                <c:pt idx="18">
                  <c:v>1.7146963356751144E-2</c:v>
                </c:pt>
                <c:pt idx="19">
                  <c:v>4.9076446122597872E-3</c:v>
                </c:pt>
                <c:pt idx="20">
                  <c:v>1.7700598569287962E-2</c:v>
                </c:pt>
                <c:pt idx="21">
                  <c:v>2.810750385583205E-3</c:v>
                </c:pt>
                <c:pt idx="22">
                  <c:v>1.8097672765206241E-2</c:v>
                </c:pt>
                <c:pt idx="23">
                  <c:v>7.4879435715047293E-4</c:v>
                </c:pt>
                <c:pt idx="24">
                  <c:v>1.8355847962991945E-2</c:v>
                </c:pt>
                <c:pt idx="25">
                  <c:v>-1.2714783703309251E-3</c:v>
                </c:pt>
                <c:pt idx="26">
                  <c:v>1.8490780469027968E-2</c:v>
                </c:pt>
                <c:pt idx="27">
                  <c:v>-3.1954077373725909E-3</c:v>
                </c:pt>
                <c:pt idx="28">
                  <c:v>1.8516175210134378E-2</c:v>
                </c:pt>
                <c:pt idx="29">
                  <c:v>-5.0876433734412529E-3</c:v>
                </c:pt>
                <c:pt idx="30">
                  <c:v>1.8443881024984066E-2</c:v>
                </c:pt>
                <c:pt idx="31">
                  <c:v>-6.9428587942539366E-3</c:v>
                </c:pt>
                <c:pt idx="32">
                  <c:v>1.8284287248791387E-2</c:v>
                </c:pt>
                <c:pt idx="33">
                  <c:v>-8.7209186463113042E-3</c:v>
                </c:pt>
                <c:pt idx="34">
                  <c:v>1.8046787116922758E-2</c:v>
                </c:pt>
                <c:pt idx="35">
                  <c:v>-1.0372428855992766E-2</c:v>
                </c:pt>
                <c:pt idx="36">
                  <c:v>1.7740848076508442E-2</c:v>
                </c:pt>
                <c:pt idx="37">
                  <c:v>-1.1881146953578892E-2</c:v>
                </c:pt>
                <c:pt idx="38">
                  <c:v>1.737484374452869E-2</c:v>
                </c:pt>
                <c:pt idx="39">
                  <c:v>-1.2783647678334731E-2</c:v>
                </c:pt>
                <c:pt idx="40">
                  <c:v>1.6953671836418494E-2</c:v>
                </c:pt>
                <c:pt idx="41">
                  <c:v>-1.0719919294862379E-2</c:v>
                </c:pt>
                <c:pt idx="42">
                  <c:v>1.6483192147363823E-2</c:v>
                </c:pt>
                <c:pt idx="43">
                  <c:v>-8.6625964768423103E-3</c:v>
                </c:pt>
                <c:pt idx="44">
                  <c:v>1.5971400685367954E-2</c:v>
                </c:pt>
                <c:pt idx="45">
                  <c:v>-6.7718709439166247E-3</c:v>
                </c:pt>
                <c:pt idx="46">
                  <c:v>1.5425901176554291E-2</c:v>
                </c:pt>
                <c:pt idx="47">
                  <c:v>-5.0352553532917455E-3</c:v>
                </c:pt>
                <c:pt idx="48">
                  <c:v>1.4845499741463541E-2</c:v>
                </c:pt>
                <c:pt idx="49">
                  <c:v>-3.4406999660543391E-3</c:v>
                </c:pt>
                <c:pt idx="50">
                  <c:v>1.4238035421515249E-2</c:v>
                </c:pt>
                <c:pt idx="51">
                  <c:v>-1.9780085198828345E-3</c:v>
                </c:pt>
                <c:pt idx="52">
                  <c:v>1.3602328715936807E-2</c:v>
                </c:pt>
                <c:pt idx="53">
                  <c:v>-6.3801598648005609E-4</c:v>
                </c:pt>
                <c:pt idx="54">
                  <c:v>1.2941507480155323E-2</c:v>
                </c:pt>
                <c:pt idx="55">
                  <c:v>5.89564822814026E-4</c:v>
                </c:pt>
                <c:pt idx="56">
                  <c:v>1.2260596431387327E-2</c:v>
                </c:pt>
                <c:pt idx="57">
                  <c:v>1.7124119886418043E-3</c:v>
                </c:pt>
                <c:pt idx="58">
                  <c:v>1.1563464480937924E-2</c:v>
                </c:pt>
                <c:pt idx="59">
                  <c:v>2.7364091733854679E-3</c:v>
                </c:pt>
                <c:pt idx="60">
                  <c:v>1.0849107344018449E-2</c:v>
                </c:pt>
                <c:pt idx="61">
                  <c:v>3.6687594774900134E-3</c:v>
                </c:pt>
                <c:pt idx="62">
                  <c:v>1.0120304564980032E-2</c:v>
                </c:pt>
                <c:pt idx="63">
                  <c:v>4.5154166129535156E-3</c:v>
                </c:pt>
                <c:pt idx="64">
                  <c:v>9.377883881734661E-3</c:v>
                </c:pt>
                <c:pt idx="65">
                  <c:v>5.2821176494646238E-3</c:v>
                </c:pt>
                <c:pt idx="66">
                  <c:v>8.6238601051817909E-3</c:v>
                </c:pt>
                <c:pt idx="67">
                  <c:v>5.9763440244076094E-3</c:v>
                </c:pt>
                <c:pt idx="68">
                  <c:v>7.8603505854069056E-3</c:v>
                </c:pt>
                <c:pt idx="69">
                  <c:v>6.6007425345091519E-3</c:v>
                </c:pt>
                <c:pt idx="70">
                  <c:v>7.0879549457814051E-3</c:v>
                </c:pt>
                <c:pt idx="71">
                  <c:v>7.1599267975681613E-3</c:v>
                </c:pt>
                <c:pt idx="72">
                  <c:v>6.3079577038553936E-3</c:v>
                </c:pt>
                <c:pt idx="73">
                  <c:v>7.6582015248156665E-3</c:v>
                </c:pt>
                <c:pt idx="74">
                  <c:v>5.5215391806235914E-3</c:v>
                </c:pt>
                <c:pt idx="75">
                  <c:v>8.0993368217434636E-3</c:v>
                </c:pt>
                <c:pt idx="76">
                  <c:v>4.7297846478748795E-3</c:v>
                </c:pt>
                <c:pt idx="77">
                  <c:v>8.4869692625080262E-3</c:v>
                </c:pt>
                <c:pt idx="78">
                  <c:v>3.9374061971120256E-3</c:v>
                </c:pt>
                <c:pt idx="79">
                  <c:v>8.8244762756080064E-3</c:v>
                </c:pt>
                <c:pt idx="80">
                  <c:v>3.1464157401561721E-3</c:v>
                </c:pt>
                <c:pt idx="81">
                  <c:v>9.1149878176999266E-3</c:v>
                </c:pt>
                <c:pt idx="82">
                  <c:v>2.3615533992327187E-3</c:v>
                </c:pt>
                <c:pt idx="83">
                  <c:v>9.3622402671247329E-3</c:v>
                </c:pt>
                <c:pt idx="84">
                  <c:v>1.5759548362535014E-3</c:v>
                </c:pt>
                <c:pt idx="85">
                  <c:v>9.569124636190196E-3</c:v>
                </c:pt>
                <c:pt idx="86">
                  <c:v>7.8918359207769129E-4</c:v>
                </c:pt>
                <c:pt idx="87">
                  <c:v>9.7370927325961532E-3</c:v>
                </c:pt>
                <c:pt idx="88">
                  <c:v>3.1338036574624084E-6</c:v>
                </c:pt>
                <c:pt idx="89">
                  <c:v>9.8685120522361558E-3</c:v>
                </c:pt>
                <c:pt idx="90">
                  <c:v>-7.8369310778825252E-4</c:v>
                </c:pt>
                <c:pt idx="91">
                  <c:v>9.9655994011360605E-3</c:v>
                </c:pt>
                <c:pt idx="92">
                  <c:v>-1.5707520696466304E-3</c:v>
                </c:pt>
                <c:pt idx="93">
                  <c:v>1.0030428162986382E-2</c:v>
                </c:pt>
                <c:pt idx="94">
                  <c:v>-2.3530534699585104E-3</c:v>
                </c:pt>
                <c:pt idx="95">
                  <c:v>1.0064933606793502E-2</c:v>
                </c:pt>
                <c:pt idx="96">
                  <c:v>-3.1087059945686946E-3</c:v>
                </c:pt>
                <c:pt idx="97">
                  <c:v>1.0071124936327891E-2</c:v>
                </c:pt>
                <c:pt idx="98">
                  <c:v>-3.8558259015584184E-3</c:v>
                </c:pt>
                <c:pt idx="99">
                  <c:v>1.0050983746996422E-2</c:v>
                </c:pt>
                <c:pt idx="100">
                  <c:v>-4.5979308930945706E-3</c:v>
                </c:pt>
                <c:pt idx="101">
                  <c:v>1.0006168178612995E-2</c:v>
                </c:pt>
                <c:pt idx="102">
                  <c:v>-5.3384469332193873E-3</c:v>
                </c:pt>
                <c:pt idx="103">
                  <c:v>9.9376471964838231E-3</c:v>
                </c:pt>
                <c:pt idx="104">
                  <c:v>-6.0255920121647932E-3</c:v>
                </c:pt>
                <c:pt idx="105">
                  <c:v>9.8468403835418883E-3</c:v>
                </c:pt>
                <c:pt idx="106">
                  <c:v>-6.6849505503281392E-3</c:v>
                </c:pt>
                <c:pt idx="107">
                  <c:v>9.7350041421737643E-3</c:v>
                </c:pt>
                <c:pt idx="108">
                  <c:v>-7.1807423134142567E-3</c:v>
                </c:pt>
                <c:pt idx="109">
                  <c:v>9.6033697500939041E-3</c:v>
                </c:pt>
                <c:pt idx="110">
                  <c:v>-6.4929606241879156E-3</c:v>
                </c:pt>
                <c:pt idx="111">
                  <c:v>9.4530922457831679E-3</c:v>
                </c:pt>
                <c:pt idx="112">
                  <c:v>-5.6051858307526459E-3</c:v>
                </c:pt>
                <c:pt idx="113">
                  <c:v>9.2852551138502548E-3</c:v>
                </c:pt>
                <c:pt idx="114">
                  <c:v>-4.7645342953970271E-3</c:v>
                </c:pt>
                <c:pt idx="115">
                  <c:v>9.1012158148782163E-3</c:v>
                </c:pt>
                <c:pt idx="116">
                  <c:v>-3.9688880058044163E-3</c:v>
                </c:pt>
                <c:pt idx="117">
                  <c:v>8.901838844078469E-3</c:v>
                </c:pt>
                <c:pt idx="118">
                  <c:v>-3.2162399421142851E-3</c:v>
                </c:pt>
                <c:pt idx="119">
                  <c:v>8.6888619828346947E-3</c:v>
                </c:pt>
                <c:pt idx="120">
                  <c:v>-2.5046536827826316E-3</c:v>
                </c:pt>
                <c:pt idx="121">
                  <c:v>8.4624087360332112E-3</c:v>
                </c:pt>
                <c:pt idx="122">
                  <c:v>-1.8322755567545812E-3</c:v>
                </c:pt>
                <c:pt idx="123">
                  <c:v>8.2228945895774785E-3</c:v>
                </c:pt>
                <c:pt idx="124">
                  <c:v>-1.1974199826845222E-3</c:v>
                </c:pt>
                <c:pt idx="125">
                  <c:v>7.9711078691833137E-3</c:v>
                </c:pt>
                <c:pt idx="126">
                  <c:v>-5.9830942063676673E-4</c:v>
                </c:pt>
                <c:pt idx="127">
                  <c:v>7.7081694103142695E-3</c:v>
                </c:pt>
                <c:pt idx="128">
                  <c:v>-3.3415730843699976E-5</c:v>
                </c:pt>
                <c:pt idx="129">
                  <c:v>7.4349705702374536E-3</c:v>
                </c:pt>
                <c:pt idx="130">
                  <c:v>4.9862994448268694E-4</c:v>
                </c:pt>
                <c:pt idx="131">
                  <c:v>7.1515046585943765E-3</c:v>
                </c:pt>
                <c:pt idx="132">
                  <c:v>9.997619779635869E-4</c:v>
                </c:pt>
                <c:pt idx="133">
                  <c:v>6.8594245991970837E-3</c:v>
                </c:pt>
                <c:pt idx="134">
                  <c:v>1.4707155762572199E-3</c:v>
                </c:pt>
                <c:pt idx="135">
                  <c:v>6.5584796953075397E-3</c:v>
                </c:pt>
                <c:pt idx="136">
                  <c:v>1.9127465463935067E-3</c:v>
                </c:pt>
                <c:pt idx="137">
                  <c:v>6.2491519142078289E-3</c:v>
                </c:pt>
                <c:pt idx="138">
                  <c:v>2.3270633398713159E-3</c:v>
                </c:pt>
                <c:pt idx="139">
                  <c:v>5.9340385844919297E-3</c:v>
                </c:pt>
                <c:pt idx="140">
                  <c:v>2.7149112344666548E-3</c:v>
                </c:pt>
                <c:pt idx="141">
                  <c:v>5.6127938474368477E-3</c:v>
                </c:pt>
                <c:pt idx="142">
                  <c:v>3.0773323986785783E-3</c:v>
                </c:pt>
                <c:pt idx="143">
                  <c:v>5.2843347557480769E-3</c:v>
                </c:pt>
                <c:pt idx="144">
                  <c:v>3.4153210216629759E-3</c:v>
                </c:pt>
                <c:pt idx="145">
                  <c:v>4.9494317158664813E-3</c:v>
                </c:pt>
                <c:pt idx="146">
                  <c:v>3.7298715224540757E-3</c:v>
                </c:pt>
                <c:pt idx="147">
                  <c:v>4.6095919076734049E-3</c:v>
                </c:pt>
                <c:pt idx="148">
                  <c:v>4.021958529659031E-3</c:v>
                </c:pt>
                <c:pt idx="149">
                  <c:v>4.2637438368284819E-3</c:v>
                </c:pt>
                <c:pt idx="150">
                  <c:v>4.2929373322238007E-3</c:v>
                </c:pt>
                <c:pt idx="151">
                  <c:v>3.9122601613996721E-3</c:v>
                </c:pt>
                <c:pt idx="152">
                  <c:v>4.543213489704101E-3</c:v>
                </c:pt>
                <c:pt idx="153">
                  <c:v>3.5554945611888655E-3</c:v>
                </c:pt>
                <c:pt idx="154">
                  <c:v>4.7735902952794618E-3</c:v>
                </c:pt>
                <c:pt idx="155">
                  <c:v>3.1937830047716886E-3</c:v>
                </c:pt>
                <c:pt idx="156">
                  <c:v>4.9849305867173399E-3</c:v>
                </c:pt>
                <c:pt idx="157">
                  <c:v>2.8313903579793021E-3</c:v>
                </c:pt>
                <c:pt idx="158">
                  <c:v>5.1782643749138657E-3</c:v>
                </c:pt>
                <c:pt idx="159">
                  <c:v>2.4661203320306413E-3</c:v>
                </c:pt>
                <c:pt idx="160">
                  <c:v>5.3541705551545249E-3</c:v>
                </c:pt>
                <c:pt idx="161">
                  <c:v>2.0966856021367164E-3</c:v>
                </c:pt>
                <c:pt idx="162">
                  <c:v>5.5132009370204571E-3</c:v>
                </c:pt>
                <c:pt idx="163">
                  <c:v>1.7236763042873804E-3</c:v>
                </c:pt>
                <c:pt idx="164">
                  <c:v>5.6559361674182185E-3</c:v>
                </c:pt>
                <c:pt idx="165">
                  <c:v>1.3472362781605796E-3</c:v>
                </c:pt>
                <c:pt idx="166">
                  <c:v>5.7830066471957764E-3</c:v>
                </c:pt>
                <c:pt idx="167">
                  <c:v>9.6751265557415422E-4</c:v>
                </c:pt>
                <c:pt idx="168">
                  <c:v>5.8950155148274064E-3</c:v>
                </c:pt>
                <c:pt idx="169">
                  <c:v>5.852384514373199E-4</c:v>
                </c:pt>
                <c:pt idx="170">
                  <c:v>5.9925417787063395E-3</c:v>
                </c:pt>
                <c:pt idx="171">
                  <c:v>2.0640712681441187E-4</c:v>
                </c:pt>
                <c:pt idx="172">
                  <c:v>6.0761391469110748E-3</c:v>
                </c:pt>
                <c:pt idx="173">
                  <c:v>-1.741253760076944E-4</c:v>
                </c:pt>
                <c:pt idx="174">
                  <c:v>6.1463389281879444E-3</c:v>
                </c:pt>
                <c:pt idx="175">
                  <c:v>-5.5659687786935308E-4</c:v>
                </c:pt>
                <c:pt idx="176">
                  <c:v>6.2037445678146952E-3</c:v>
                </c:pt>
                <c:pt idx="177">
                  <c:v>-9.4143584372119449E-4</c:v>
                </c:pt>
                <c:pt idx="178">
                  <c:v>6.2488542811500736E-3</c:v>
                </c:pt>
                <c:pt idx="179">
                  <c:v>-1.3277744200017594E-3</c:v>
                </c:pt>
                <c:pt idx="180">
                  <c:v>6.2820339417868354E-3</c:v>
                </c:pt>
                <c:pt idx="181">
                  <c:v>-1.7160365499861996E-3</c:v>
                </c:pt>
                <c:pt idx="182">
                  <c:v>6.3040317410933966E-3</c:v>
                </c:pt>
                <c:pt idx="183">
                  <c:v>-2.1060431847939043E-3</c:v>
                </c:pt>
                <c:pt idx="184">
                  <c:v>6.3161705972216708E-3</c:v>
                </c:pt>
                <c:pt idx="185">
                  <c:v>-2.4917875643595266E-3</c:v>
                </c:pt>
                <c:pt idx="186">
                  <c:v>6.3180266937816754E-3</c:v>
                </c:pt>
                <c:pt idx="187">
                  <c:v>-2.8719899130020821E-3</c:v>
                </c:pt>
                <c:pt idx="188">
                  <c:v>6.3096274586111889E-3</c:v>
                </c:pt>
                <c:pt idx="189">
                  <c:v>-3.2539002734832678E-3</c:v>
                </c:pt>
                <c:pt idx="190">
                  <c:v>6.2913935222521644E-3</c:v>
                </c:pt>
                <c:pt idx="191">
                  <c:v>-3.6366249815333873E-3</c:v>
                </c:pt>
                <c:pt idx="192">
                  <c:v>6.2637430693222029E-3</c:v>
                </c:pt>
                <c:pt idx="193">
                  <c:v>-3.9927223780402699E-3</c:v>
                </c:pt>
                <c:pt idx="194">
                  <c:v>6.2269652440445356E-3</c:v>
                </c:pt>
                <c:pt idx="195">
                  <c:v>-4.3391652194237906E-3</c:v>
                </c:pt>
                <c:pt idx="196">
                  <c:v>6.1813839733204645E-3</c:v>
                </c:pt>
                <c:pt idx="197">
                  <c:v>-4.6086975137260566E-3</c:v>
                </c:pt>
                <c:pt idx="198">
                  <c:v>6.1274907649782051E-3</c:v>
                </c:pt>
                <c:pt idx="199">
                  <c:v>-4.3182567934572091E-3</c:v>
                </c:pt>
                <c:pt idx="200">
                  <c:v>6.0656162322079155E-3</c:v>
                </c:pt>
                <c:pt idx="201">
                  <c:v>-3.8619908449479823E-3</c:v>
                </c:pt>
                <c:pt idx="202">
                  <c:v>5.995855112770343E-3</c:v>
                </c:pt>
                <c:pt idx="203">
                  <c:v>-3.4231532036770318E-3</c:v>
                </c:pt>
                <c:pt idx="204">
                  <c:v>5.9185291039405286E-3</c:v>
                </c:pt>
                <c:pt idx="205">
                  <c:v>-3.0013094142518071E-3</c:v>
                </c:pt>
                <c:pt idx="206">
                  <c:v>5.8340943971391113E-3</c:v>
                </c:pt>
                <c:pt idx="207">
                  <c:v>-2.5959755318378797E-3</c:v>
                </c:pt>
                <c:pt idx="208">
                  <c:v>5.7433711727412629E-3</c:v>
                </c:pt>
                <c:pt idx="209">
                  <c:v>-2.2066804843809962E-3</c:v>
                </c:pt>
                <c:pt idx="210">
                  <c:v>5.6463461219724564E-3</c:v>
                </c:pt>
                <c:pt idx="211">
                  <c:v>-1.8329457194141696E-3</c:v>
                </c:pt>
                <c:pt idx="212">
                  <c:v>5.543414410507097E-3</c:v>
                </c:pt>
                <c:pt idx="213">
                  <c:v>-1.4743065455693483E-3</c:v>
                </c:pt>
                <c:pt idx="214">
                  <c:v>5.4342229895336658E-3</c:v>
                </c:pt>
                <c:pt idx="215">
                  <c:v>-1.1303313692945238E-3</c:v>
                </c:pt>
                <c:pt idx="216">
                  <c:v>5.3191681003550428E-3</c:v>
                </c:pt>
                <c:pt idx="217">
                  <c:v>-8.0034107940285537E-4</c:v>
                </c:pt>
                <c:pt idx="218">
                  <c:v>5.198224655202921E-3</c:v>
                </c:pt>
                <c:pt idx="219">
                  <c:v>-4.8405796513861787E-4</c:v>
                </c:pt>
                <c:pt idx="220">
                  <c:v>5.0716879612195953E-3</c:v>
                </c:pt>
                <c:pt idx="221">
                  <c:v>-1.811873209600634E-4</c:v>
                </c:pt>
                <c:pt idx="222">
                  <c:v>4.9402106430687098E-3</c:v>
                </c:pt>
                <c:pt idx="223">
                  <c:v>1.087904979559795E-4</c:v>
                </c:pt>
                <c:pt idx="224">
                  <c:v>4.8037283486248583E-3</c:v>
                </c:pt>
                <c:pt idx="225">
                  <c:v>3.8623608758747707E-4</c:v>
                </c:pt>
                <c:pt idx="226">
                  <c:v>4.6623246550190345E-3</c:v>
                </c:pt>
                <c:pt idx="227">
                  <c:v>6.5167223094242388E-4</c:v>
                </c:pt>
                <c:pt idx="228">
                  <c:v>4.516016568709702E-3</c:v>
                </c:pt>
                <c:pt idx="229">
                  <c:v>9.0515833738002982E-4</c:v>
                </c:pt>
                <c:pt idx="230">
                  <c:v>4.3649834874166515E-3</c:v>
                </c:pt>
                <c:pt idx="231">
                  <c:v>1.1471820217217044E-3</c:v>
                </c:pt>
                <c:pt idx="232">
                  <c:v>4.2098723140338024E-3</c:v>
                </c:pt>
                <c:pt idx="233">
                  <c:v>1.3779174671704197E-3</c:v>
                </c:pt>
                <c:pt idx="234">
                  <c:v>4.0503819214361414E-3</c:v>
                </c:pt>
                <c:pt idx="235">
                  <c:v>1.5976839813713895E-3</c:v>
                </c:pt>
                <c:pt idx="236">
                  <c:v>3.8866739762593028E-3</c:v>
                </c:pt>
                <c:pt idx="237">
                  <c:v>1.8067764935594255E-3</c:v>
                </c:pt>
                <c:pt idx="238">
                  <c:v>3.7189036314959623E-3</c:v>
                </c:pt>
                <c:pt idx="239">
                  <c:v>2.0055242510341742E-3</c:v>
                </c:pt>
                <c:pt idx="240">
                  <c:v>3.5472095625745936E-3</c:v>
                </c:pt>
                <c:pt idx="241">
                  <c:v>2.1941996491516846E-3</c:v>
                </c:pt>
                <c:pt idx="242">
                  <c:v>3.3717463957021465E-3</c:v>
                </c:pt>
                <c:pt idx="243">
                  <c:v>2.3733263094083412E-3</c:v>
                </c:pt>
                <c:pt idx="244">
                  <c:v>3.1928664584821576E-3</c:v>
                </c:pt>
                <c:pt idx="245">
                  <c:v>2.5429378114214529E-3</c:v>
                </c:pt>
                <c:pt idx="246">
                  <c:v>3.0104990342785243E-3</c:v>
                </c:pt>
                <c:pt idx="247">
                  <c:v>2.7034727484771537E-3</c:v>
                </c:pt>
                <c:pt idx="248">
                  <c:v>2.8248957646770378E-3</c:v>
                </c:pt>
                <c:pt idx="249">
                  <c:v>2.854991385959238E-3</c:v>
                </c:pt>
                <c:pt idx="250">
                  <c:v>2.6371619450493711E-3</c:v>
                </c:pt>
                <c:pt idx="251">
                  <c:v>2.9977233645954726E-3</c:v>
                </c:pt>
                <c:pt idx="252">
                  <c:v>2.4470371926046397E-3</c:v>
                </c:pt>
                <c:pt idx="253">
                  <c:v>3.1319132481915091E-3</c:v>
                </c:pt>
                <c:pt idx="254">
                  <c:v>2.2540275849500802E-3</c:v>
                </c:pt>
                <c:pt idx="255">
                  <c:v>3.2577896292629305E-3</c:v>
                </c:pt>
                <c:pt idx="256">
                  <c:v>2.0592407561235149E-3</c:v>
                </c:pt>
                <c:pt idx="257">
                  <c:v>3.3755750019217601E-3</c:v>
                </c:pt>
                <c:pt idx="258">
                  <c:v>1.8616797898829418E-3</c:v>
                </c:pt>
                <c:pt idx="259">
                  <c:v>3.4855730915968053E-3</c:v>
                </c:pt>
                <c:pt idx="260">
                  <c:v>1.6614082719446088E-3</c:v>
                </c:pt>
                <c:pt idx="261">
                  <c:v>3.5880637733871623E-3</c:v>
                </c:pt>
                <c:pt idx="262">
                  <c:v>1.458527649036867E-3</c:v>
                </c:pt>
                <c:pt idx="263">
                  <c:v>3.6830934612606114E-3</c:v>
                </c:pt>
                <c:pt idx="264">
                  <c:v>1.2533845650342101E-3</c:v>
                </c:pt>
                <c:pt idx="265">
                  <c:v>3.7708609802145077E-3</c:v>
                </c:pt>
                <c:pt idx="266">
                  <c:v>1.0459091165930801E-3</c:v>
                </c:pt>
                <c:pt idx="267">
                  <c:v>3.8515592904673213E-3</c:v>
                </c:pt>
                <c:pt idx="268">
                  <c:v>8.3632234123420801E-4</c:v>
                </c:pt>
                <c:pt idx="269">
                  <c:v>3.9253778992787147E-3</c:v>
                </c:pt>
                <c:pt idx="270">
                  <c:v>6.2448928093772338E-4</c:v>
                </c:pt>
                <c:pt idx="271">
                  <c:v>3.9925428239033778E-3</c:v>
                </c:pt>
                <c:pt idx="272">
                  <c:v>4.1100559594831054E-4</c:v>
                </c:pt>
                <c:pt idx="273">
                  <c:v>4.0531915124883966E-3</c:v>
                </c:pt>
                <c:pt idx="274">
                  <c:v>1.9755821761080483E-4</c:v>
                </c:pt>
                <c:pt idx="275">
                  <c:v>4.1074877061237913E-3</c:v>
                </c:pt>
                <c:pt idx="276">
                  <c:v>-1.7121459485736068E-5</c:v>
                </c:pt>
                <c:pt idx="277">
                  <c:v>4.1556000277545024E-3</c:v>
                </c:pt>
                <c:pt idx="278">
                  <c:v>-2.3337775632192859E-4</c:v>
                </c:pt>
                <c:pt idx="279">
                  <c:v>4.1977745793086996E-3</c:v>
                </c:pt>
                <c:pt idx="280">
                  <c:v>-4.4857742264525768E-4</c:v>
                </c:pt>
                <c:pt idx="281">
                  <c:v>4.2341404689096862E-3</c:v>
                </c:pt>
                <c:pt idx="282">
                  <c:v>-6.6394680706061138E-4</c:v>
                </c:pt>
                <c:pt idx="283">
                  <c:v>4.2648171966437332E-3</c:v>
                </c:pt>
                <c:pt idx="284">
                  <c:v>-8.809510836229606E-4</c:v>
                </c:pt>
                <c:pt idx="285">
                  <c:v>4.2899409115690901E-3</c:v>
                </c:pt>
                <c:pt idx="286">
                  <c:v>-1.0996978449444583E-3</c:v>
                </c:pt>
                <c:pt idx="287">
                  <c:v>4.3096437880567606E-3</c:v>
                </c:pt>
                <c:pt idx="288">
                  <c:v>-1.3201174712857977E-3</c:v>
                </c:pt>
                <c:pt idx="289">
                  <c:v>4.3240799983959022E-3</c:v>
                </c:pt>
                <c:pt idx="290">
                  <c:v>-1.5420361881037792E-3</c:v>
                </c:pt>
                <c:pt idx="291">
                  <c:v>4.3334530906413704E-3</c:v>
                </c:pt>
                <c:pt idx="292">
                  <c:v>-1.7653789759357608E-3</c:v>
                </c:pt>
                <c:pt idx="293">
                  <c:v>4.3378147654422605E-3</c:v>
                </c:pt>
                <c:pt idx="294">
                  <c:v>-1.9871897039749342E-3</c:v>
                </c:pt>
                <c:pt idx="295">
                  <c:v>4.3374040381376489E-3</c:v>
                </c:pt>
                <c:pt idx="296">
                  <c:v>-2.2060328308040056E-3</c:v>
                </c:pt>
                <c:pt idx="297">
                  <c:v>4.3323441545268793E-3</c:v>
                </c:pt>
                <c:pt idx="298">
                  <c:v>-2.4262244501915831E-3</c:v>
                </c:pt>
                <c:pt idx="299">
                  <c:v>4.3227385991890799E-3</c:v>
                </c:pt>
                <c:pt idx="300">
                  <c:v>-2.6475636854446094E-3</c:v>
                </c:pt>
                <c:pt idx="301">
                  <c:v>4.3086132929275323E-3</c:v>
                </c:pt>
                <c:pt idx="302">
                  <c:v>-2.8562658404673869E-3</c:v>
                </c:pt>
                <c:pt idx="303">
                  <c:v>4.2901779769994874E-3</c:v>
                </c:pt>
                <c:pt idx="304">
                  <c:v>-3.059687845940573E-3</c:v>
                </c:pt>
                <c:pt idx="305">
                  <c:v>4.2676964079557678E-3</c:v>
                </c:pt>
                <c:pt idx="306">
                  <c:v>-3.2181318659638691E-3</c:v>
                </c:pt>
                <c:pt idx="307">
                  <c:v>4.241101929590485E-3</c:v>
                </c:pt>
                <c:pt idx="308">
                  <c:v>-3.0497846422914421E-3</c:v>
                </c:pt>
                <c:pt idx="309">
                  <c:v>4.2105183147320702E-3</c:v>
                </c:pt>
                <c:pt idx="310">
                  <c:v>-2.7865890799230186E-3</c:v>
                </c:pt>
                <c:pt idx="311">
                  <c:v>4.1759722278200684E-3</c:v>
                </c:pt>
                <c:pt idx="312">
                  <c:v>-2.5312302307440859E-3</c:v>
                </c:pt>
                <c:pt idx="313">
                  <c:v>4.1377051009678922E-3</c:v>
                </c:pt>
                <c:pt idx="314">
                  <c:v>-2.2835358037589515E-3</c:v>
                </c:pt>
                <c:pt idx="315">
                  <c:v>4.0956606813349339E-3</c:v>
                </c:pt>
                <c:pt idx="316">
                  <c:v>-2.0432664618219576E-3</c:v>
                </c:pt>
                <c:pt idx="317">
                  <c:v>4.0502117697727158E-3</c:v>
                </c:pt>
                <c:pt idx="318">
                  <c:v>-1.810329494126961E-3</c:v>
                </c:pt>
                <c:pt idx="319">
                  <c:v>4.0015168165101755E-3</c:v>
                </c:pt>
                <c:pt idx="320">
                  <c:v>-1.5845527046050023E-3</c:v>
                </c:pt>
                <c:pt idx="321">
                  <c:v>3.9493143237336881E-3</c:v>
                </c:pt>
                <c:pt idx="322">
                  <c:v>-1.3657956598969179E-3</c:v>
                </c:pt>
                <c:pt idx="323">
                  <c:v>3.8936928493260581E-3</c:v>
                </c:pt>
                <c:pt idx="324">
                  <c:v>-1.1539321277300729E-3</c:v>
                </c:pt>
                <c:pt idx="325">
                  <c:v>3.8347796278550561E-3</c:v>
                </c:pt>
                <c:pt idx="326">
                  <c:v>-9.4881795850021433E-4</c:v>
                </c:pt>
                <c:pt idx="327">
                  <c:v>3.7728678529944659E-3</c:v>
                </c:pt>
                <c:pt idx="328">
                  <c:v>-7.5031243965284489E-4</c:v>
                </c:pt>
                <c:pt idx="329">
                  <c:v>3.7078637471879006E-3</c:v>
                </c:pt>
                <c:pt idx="330">
                  <c:v>-5.5823739986671228E-4</c:v>
                </c:pt>
                <c:pt idx="331">
                  <c:v>3.6397950846822624E-3</c:v>
                </c:pt>
                <c:pt idx="332">
                  <c:v>-3.722909073271552E-4</c:v>
                </c:pt>
                <c:pt idx="333">
                  <c:v>3.5689661241615767E-3</c:v>
                </c:pt>
                <c:pt idx="334">
                  <c:v>-1.9255060646727884E-4</c:v>
                </c:pt>
                <c:pt idx="335">
                  <c:v>3.4952409760862224E-3</c:v>
                </c:pt>
                <c:pt idx="336">
                  <c:v>-1.8881845340601444E-5</c:v>
                </c:pt>
                <c:pt idx="337">
                  <c:v>3.419012849741776E-3</c:v>
                </c:pt>
                <c:pt idx="338">
                  <c:v>1.4883205380833431E-4</c:v>
                </c:pt>
                <c:pt idx="339">
                  <c:v>3.3402640293100916E-3</c:v>
                </c:pt>
                <c:pt idx="340">
                  <c:v>3.1074366775030171E-4</c:v>
                </c:pt>
                <c:pt idx="341">
                  <c:v>3.2588446536081506E-3</c:v>
                </c:pt>
                <c:pt idx="342">
                  <c:v>4.670647554849694E-4</c:v>
                </c:pt>
                <c:pt idx="343">
                  <c:v>3.1747692101866676E-3</c:v>
                </c:pt>
                <c:pt idx="344">
                  <c:v>6.1779170458287069E-4</c:v>
                </c:pt>
                <c:pt idx="345">
                  <c:v>3.088224325837885E-3</c:v>
                </c:pt>
                <c:pt idx="346">
                  <c:v>7.6303394036969507E-4</c:v>
                </c:pt>
                <c:pt idx="347">
                  <c:v>2.9991534745370529E-3</c:v>
                </c:pt>
                <c:pt idx="348">
                  <c:v>9.0294587245942637E-4</c:v>
                </c:pt>
                <c:pt idx="349">
                  <c:v>2.9079731115970731E-3</c:v>
                </c:pt>
                <c:pt idx="350">
                  <c:v>1.0376227534099058E-3</c:v>
                </c:pt>
                <c:pt idx="351">
                  <c:v>2.8148473785094552E-3</c:v>
                </c:pt>
                <c:pt idx="352">
                  <c:v>1.1671409718214676E-3</c:v>
                </c:pt>
                <c:pt idx="353">
                  <c:v>2.7195233509669237E-3</c:v>
                </c:pt>
                <c:pt idx="354">
                  <c:v>1.2917535254342027E-3</c:v>
                </c:pt>
                <c:pt idx="355">
                  <c:v>2.6220367960299029E-3</c:v>
                </c:pt>
                <c:pt idx="356">
                  <c:v>1.4114162501606131E-3</c:v>
                </c:pt>
                <c:pt idx="357">
                  <c:v>2.522360477637875E-3</c:v>
                </c:pt>
                <c:pt idx="358">
                  <c:v>1.5262262439446062E-3</c:v>
                </c:pt>
                <c:pt idx="359">
                  <c:v>2.4207354563756667E-3</c:v>
                </c:pt>
                <c:pt idx="360">
                  <c:v>1.6362861502425829E-3</c:v>
                </c:pt>
                <c:pt idx="361">
                  <c:v>2.3170565041095159E-3</c:v>
                </c:pt>
                <c:pt idx="362">
                  <c:v>1.741782740275255E-3</c:v>
                </c:pt>
                <c:pt idx="363">
                  <c:v>2.2112975131332036E-3</c:v>
                </c:pt>
                <c:pt idx="364">
                  <c:v>1.8428805713384122E-3</c:v>
                </c:pt>
                <c:pt idx="365">
                  <c:v>2.103541367629802E-3</c:v>
                </c:pt>
                <c:pt idx="366">
                  <c:v>1.9395450689945193E-3</c:v>
                </c:pt>
                <c:pt idx="367">
                  <c:v>1.9939262505950239E-3</c:v>
                </c:pt>
                <c:pt idx="368">
                  <c:v>2.0318147635123296E-3</c:v>
                </c:pt>
                <c:pt idx="369">
                  <c:v>1.8823830637870742E-3</c:v>
                </c:pt>
                <c:pt idx="370">
                  <c:v>2.1198685709631349E-3</c:v>
                </c:pt>
                <c:pt idx="371">
                  <c:v>1.7691148808225421E-3</c:v>
                </c:pt>
                <c:pt idx="372">
                  <c:v>2.2037229901012978E-3</c:v>
                </c:pt>
                <c:pt idx="373">
                  <c:v>1.6540224839491913E-3</c:v>
                </c:pt>
                <c:pt idx="374">
                  <c:v>2.2834362617754067E-3</c:v>
                </c:pt>
                <c:pt idx="375">
                  <c:v>1.5371456266439765E-3</c:v>
                </c:pt>
                <c:pt idx="376">
                  <c:v>2.3591010690875436E-3</c:v>
                </c:pt>
                <c:pt idx="377">
                  <c:v>1.418696527322183E-3</c:v>
                </c:pt>
                <c:pt idx="378">
                  <c:v>2.430796712015848E-3</c:v>
                </c:pt>
                <c:pt idx="379">
                  <c:v>1.2988976031742538E-3</c:v>
                </c:pt>
                <c:pt idx="380">
                  <c:v>2.4985974213915796E-3</c:v>
                </c:pt>
                <c:pt idx="381">
                  <c:v>1.178373780712505E-3</c:v>
                </c:pt>
                <c:pt idx="382">
                  <c:v>2.5625771121724483E-3</c:v>
                </c:pt>
                <c:pt idx="383">
                  <c:v>1.0562216637488575E-3</c:v>
                </c:pt>
                <c:pt idx="384">
                  <c:v>2.6228035573350184E-3</c:v>
                </c:pt>
                <c:pt idx="385">
                  <c:v>9.326586200746334E-4</c:v>
                </c:pt>
                <c:pt idx="386">
                  <c:v>2.6793495112631405E-3</c:v>
                </c:pt>
                <c:pt idx="387">
                  <c:v>8.0767624305622121E-4</c:v>
                </c:pt>
                <c:pt idx="388">
                  <c:v>2.7323424251317618E-3</c:v>
                </c:pt>
                <c:pt idx="389">
                  <c:v>6.8120711533659062E-4</c:v>
                </c:pt>
                <c:pt idx="390">
                  <c:v>2.7818155188175098E-3</c:v>
                </c:pt>
                <c:pt idx="391">
                  <c:v>5.5330689575150416E-4</c:v>
                </c:pt>
                <c:pt idx="392">
                  <c:v>2.8279169008218474E-3</c:v>
                </c:pt>
                <c:pt idx="393">
                  <c:v>4.2397474099864496E-4</c:v>
                </c:pt>
                <c:pt idx="394">
                  <c:v>2.8710239433937801E-3</c:v>
                </c:pt>
                <c:pt idx="395">
                  <c:v>2.9353863165226812E-4</c:v>
                </c:pt>
                <c:pt idx="396">
                  <c:v>2.9109047752520212E-3</c:v>
                </c:pt>
                <c:pt idx="397">
                  <c:v>1.6214292604210812E-4</c:v>
                </c:pt>
                <c:pt idx="398">
                  <c:v>2.9475044801809958E-3</c:v>
                </c:pt>
                <c:pt idx="399">
                  <c:v>2.9464170644644128E-5</c:v>
                </c:pt>
                <c:pt idx="400">
                  <c:v>2.9808983558385904E-3</c:v>
                </c:pt>
                <c:pt idx="401">
                  <c:v>-1.044670712531115E-4</c:v>
                </c:pt>
                <c:pt idx="402">
                  <c:v>3.0112196117624279E-3</c:v>
                </c:pt>
                <c:pt idx="403">
                  <c:v>-2.3958003614055201E-4</c:v>
                </c:pt>
                <c:pt idx="404">
                  <c:v>3.0384711941540132E-3</c:v>
                </c:pt>
                <c:pt idx="405">
                  <c:v>-3.7555593796056996E-4</c:v>
                </c:pt>
                <c:pt idx="406">
                  <c:v>3.0626848807688845E-3</c:v>
                </c:pt>
                <c:pt idx="407">
                  <c:v>-5.1249437703759781E-4</c:v>
                </c:pt>
                <c:pt idx="408">
                  <c:v>3.0839434238600916E-3</c:v>
                </c:pt>
                <c:pt idx="409">
                  <c:v>-6.4850890153067553E-4</c:v>
                </c:pt>
                <c:pt idx="410">
                  <c:v>3.1023718441556269E-3</c:v>
                </c:pt>
                <c:pt idx="411">
                  <c:v>-7.8457772404760817E-4</c:v>
                </c:pt>
                <c:pt idx="412">
                  <c:v>3.1179311638052098E-3</c:v>
                </c:pt>
                <c:pt idx="413">
                  <c:v>-9.2179537756820196E-4</c:v>
                </c:pt>
                <c:pt idx="414">
                  <c:v>3.1306756405911074E-3</c:v>
                </c:pt>
                <c:pt idx="415">
                  <c:v>-1.0599647437192772E-3</c:v>
                </c:pt>
                <c:pt idx="416">
                  <c:v>3.1406588814082426E-3</c:v>
                </c:pt>
                <c:pt idx="417">
                  <c:v>-1.1989151776692353E-3</c:v>
                </c:pt>
                <c:pt idx="418">
                  <c:v>3.147932577135748E-3</c:v>
                </c:pt>
                <c:pt idx="419">
                  <c:v>-1.3383321852984409E-3</c:v>
                </c:pt>
                <c:pt idx="420">
                  <c:v>3.1525477389031664E-3</c:v>
                </c:pt>
                <c:pt idx="421">
                  <c:v>-1.478380468610041E-3</c:v>
                </c:pt>
                <c:pt idx="422">
                  <c:v>3.1545543516600105E-3</c:v>
                </c:pt>
                <c:pt idx="423">
                  <c:v>-1.6173408818289658E-3</c:v>
                </c:pt>
                <c:pt idx="424">
                  <c:v>3.1540013894186814E-3</c:v>
                </c:pt>
                <c:pt idx="425">
                  <c:v>-1.7548700093374947E-3</c:v>
                </c:pt>
                <c:pt idx="426">
                  <c:v>3.150936861221254E-3</c:v>
                </c:pt>
                <c:pt idx="427">
                  <c:v>-1.8934071384997253E-3</c:v>
                </c:pt>
                <c:pt idx="428">
                  <c:v>3.1454162212032344E-3</c:v>
                </c:pt>
                <c:pt idx="429">
                  <c:v>-2.0329281348292483E-3</c:v>
                </c:pt>
                <c:pt idx="430">
                  <c:v>3.1375820239478713E-3</c:v>
                </c:pt>
                <c:pt idx="431">
                  <c:v>-2.1640326177951863E-3</c:v>
                </c:pt>
                <c:pt idx="432">
                  <c:v>3.1274948559438798E-3</c:v>
                </c:pt>
                <c:pt idx="433">
                  <c:v>-2.2905546312390612E-3</c:v>
                </c:pt>
                <c:pt idx="434">
                  <c:v>3.1152128688418657E-3</c:v>
                </c:pt>
                <c:pt idx="435">
                  <c:v>-2.3871070659549076E-3</c:v>
                </c:pt>
                <c:pt idx="436">
                  <c:v>3.1006464497878028E-3</c:v>
                </c:pt>
                <c:pt idx="437">
                  <c:v>-2.2580114140726693E-3</c:v>
                </c:pt>
                <c:pt idx="438">
                  <c:v>3.083838789821769E-3</c:v>
                </c:pt>
                <c:pt idx="439">
                  <c:v>-2.0930935894369895E-3</c:v>
                </c:pt>
                <c:pt idx="440">
                  <c:v>3.0648297729385376E-3</c:v>
                </c:pt>
                <c:pt idx="441">
                  <c:v>-1.9321486662526866E-3</c:v>
                </c:pt>
                <c:pt idx="442">
                  <c:v>3.0436845149406366E-3</c:v>
                </c:pt>
                <c:pt idx="443">
                  <c:v>-1.7751128598284538E-3</c:v>
                </c:pt>
                <c:pt idx="444">
                  <c:v>3.0204820298624924E-3</c:v>
                </c:pt>
                <c:pt idx="445">
                  <c:v>-1.6219228489902093E-3</c:v>
                </c:pt>
                <c:pt idx="446">
                  <c:v>2.9952249468667702E-3</c:v>
                </c:pt>
                <c:pt idx="447">
                  <c:v>-1.472482433030109E-3</c:v>
                </c:pt>
                <c:pt idx="448">
                  <c:v>2.9679230444710214E-3</c:v>
                </c:pt>
                <c:pt idx="449">
                  <c:v>-1.3267271532484415E-3</c:v>
                </c:pt>
                <c:pt idx="450">
                  <c:v>2.938658315301268E-3</c:v>
                </c:pt>
              </c:numCache>
            </c:numRef>
          </c:val>
          <c:smooth val="0"/>
          <c:extLst>
            <c:ext xmlns:c16="http://schemas.microsoft.com/office/drawing/2014/chart" uri="{C3380CC4-5D6E-409C-BE32-E72D297353CC}">
              <c16:uniqueId val="{00000000-BC3A-7A47-9880-C1A371D10296}"/>
            </c:ext>
          </c:extLst>
        </c:ser>
        <c:dLbls>
          <c:showLegendKey val="0"/>
          <c:showVal val="0"/>
          <c:showCatName val="0"/>
          <c:showSerName val="0"/>
          <c:showPercent val="0"/>
          <c:showBubbleSize val="0"/>
        </c:dLbls>
        <c:smooth val="0"/>
        <c:axId val="1906690527"/>
        <c:axId val="1"/>
      </c:lineChart>
      <c:catAx>
        <c:axId val="1906690527"/>
        <c:scaling>
          <c:orientation val="minMax"/>
        </c:scaling>
        <c:delete val="0"/>
        <c:axPos val="b"/>
        <c:numFmt formatCode="General" sourceLinked="1"/>
        <c:majorTickMark val="none"/>
        <c:minorTickMark val="none"/>
        <c:tickLblPos val="nextTo"/>
        <c:spPr>
          <a:ln w="3175">
            <a:solidFill>
              <a:srgbClr val="C0C0C0"/>
            </a:solidFill>
            <a:prstDash val="solid"/>
          </a:ln>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906690527"/>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scatterChart>
        <c:scatterStyle val="lineMarker"/>
        <c:varyColors val="0"/>
        <c:ser>
          <c:idx val="0"/>
          <c:order val="0"/>
          <c:tx>
            <c:strRef>
              <c:f>'American BD'!$F$1</c:f>
              <c:strCache>
                <c:ptCount val="1"/>
                <c:pt idx="0">
                  <c:v>Error BD</c:v>
                </c:pt>
              </c:strCache>
            </c:strRef>
          </c:tx>
          <c:spPr>
            <a:ln w="28575">
              <a:noFill/>
            </a:ln>
          </c:spPr>
          <c:marker>
            <c:symbol val="circle"/>
            <c:size val="5"/>
            <c:spPr>
              <a:solidFill>
                <a:srgbClr val="4F81BD"/>
              </a:solidFill>
              <a:ln>
                <a:solidFill>
                  <a:srgbClr val="666699"/>
                </a:solidFill>
                <a:prstDash val="solid"/>
              </a:ln>
            </c:spPr>
          </c:marker>
          <c:xVal>
            <c:numRef>
              <c:f>'American BD'!$D$2:$D$452</c:f>
              <c:numCache>
                <c:formatCode>General</c:formatCode>
                <c:ptCount val="451"/>
                <c:pt idx="0">
                  <c:v>50</c:v>
                </c:pt>
                <c:pt idx="1">
                  <c:v>51</c:v>
                </c:pt>
                <c:pt idx="2">
                  <c:v>52</c:v>
                </c:pt>
                <c:pt idx="3">
                  <c:v>53</c:v>
                </c:pt>
                <c:pt idx="4">
                  <c:v>54</c:v>
                </c:pt>
                <c:pt idx="5">
                  <c:v>55</c:v>
                </c:pt>
                <c:pt idx="6">
                  <c:v>56</c:v>
                </c:pt>
                <c:pt idx="7">
                  <c:v>57</c:v>
                </c:pt>
                <c:pt idx="8">
                  <c:v>58</c:v>
                </c:pt>
                <c:pt idx="9">
                  <c:v>59</c:v>
                </c:pt>
                <c:pt idx="10">
                  <c:v>60</c:v>
                </c:pt>
                <c:pt idx="11">
                  <c:v>61</c:v>
                </c:pt>
                <c:pt idx="12">
                  <c:v>62</c:v>
                </c:pt>
                <c:pt idx="13">
                  <c:v>63</c:v>
                </c:pt>
                <c:pt idx="14">
                  <c:v>64</c:v>
                </c:pt>
                <c:pt idx="15">
                  <c:v>65</c:v>
                </c:pt>
                <c:pt idx="16">
                  <c:v>66</c:v>
                </c:pt>
                <c:pt idx="17">
                  <c:v>67</c:v>
                </c:pt>
                <c:pt idx="18">
                  <c:v>68</c:v>
                </c:pt>
                <c:pt idx="19">
                  <c:v>69</c:v>
                </c:pt>
                <c:pt idx="20">
                  <c:v>70</c:v>
                </c:pt>
                <c:pt idx="21">
                  <c:v>71</c:v>
                </c:pt>
                <c:pt idx="22">
                  <c:v>72</c:v>
                </c:pt>
                <c:pt idx="23">
                  <c:v>73</c:v>
                </c:pt>
                <c:pt idx="24">
                  <c:v>74</c:v>
                </c:pt>
                <c:pt idx="25">
                  <c:v>75</c:v>
                </c:pt>
                <c:pt idx="26">
                  <c:v>76</c:v>
                </c:pt>
                <c:pt idx="27">
                  <c:v>77</c:v>
                </c:pt>
                <c:pt idx="28">
                  <c:v>78</c:v>
                </c:pt>
                <c:pt idx="29">
                  <c:v>79</c:v>
                </c:pt>
                <c:pt idx="30">
                  <c:v>80</c:v>
                </c:pt>
                <c:pt idx="31">
                  <c:v>81</c:v>
                </c:pt>
                <c:pt idx="32">
                  <c:v>82</c:v>
                </c:pt>
                <c:pt idx="33">
                  <c:v>83</c:v>
                </c:pt>
                <c:pt idx="34">
                  <c:v>84</c:v>
                </c:pt>
                <c:pt idx="35">
                  <c:v>85</c:v>
                </c:pt>
                <c:pt idx="36">
                  <c:v>86</c:v>
                </c:pt>
                <c:pt idx="37">
                  <c:v>87</c:v>
                </c:pt>
                <c:pt idx="38">
                  <c:v>88</c:v>
                </c:pt>
                <c:pt idx="39">
                  <c:v>89</c:v>
                </c:pt>
                <c:pt idx="40">
                  <c:v>90</c:v>
                </c:pt>
                <c:pt idx="41">
                  <c:v>91</c:v>
                </c:pt>
                <c:pt idx="42">
                  <c:v>92</c:v>
                </c:pt>
                <c:pt idx="43">
                  <c:v>93</c:v>
                </c:pt>
                <c:pt idx="44">
                  <c:v>94</c:v>
                </c:pt>
                <c:pt idx="45">
                  <c:v>95</c:v>
                </c:pt>
                <c:pt idx="46">
                  <c:v>96</c:v>
                </c:pt>
                <c:pt idx="47">
                  <c:v>97</c:v>
                </c:pt>
                <c:pt idx="48">
                  <c:v>98</c:v>
                </c:pt>
                <c:pt idx="49">
                  <c:v>99</c:v>
                </c:pt>
                <c:pt idx="50">
                  <c:v>100</c:v>
                </c:pt>
                <c:pt idx="51">
                  <c:v>101</c:v>
                </c:pt>
                <c:pt idx="52">
                  <c:v>102</c:v>
                </c:pt>
                <c:pt idx="53">
                  <c:v>103</c:v>
                </c:pt>
                <c:pt idx="54">
                  <c:v>104</c:v>
                </c:pt>
                <c:pt idx="55">
                  <c:v>105</c:v>
                </c:pt>
                <c:pt idx="56">
                  <c:v>106</c:v>
                </c:pt>
                <c:pt idx="57">
                  <c:v>107</c:v>
                </c:pt>
                <c:pt idx="58">
                  <c:v>108</c:v>
                </c:pt>
                <c:pt idx="59">
                  <c:v>109</c:v>
                </c:pt>
                <c:pt idx="60">
                  <c:v>110</c:v>
                </c:pt>
                <c:pt idx="61">
                  <c:v>111</c:v>
                </c:pt>
                <c:pt idx="62">
                  <c:v>112</c:v>
                </c:pt>
                <c:pt idx="63">
                  <c:v>113</c:v>
                </c:pt>
                <c:pt idx="64">
                  <c:v>114</c:v>
                </c:pt>
                <c:pt idx="65">
                  <c:v>115</c:v>
                </c:pt>
                <c:pt idx="66">
                  <c:v>116</c:v>
                </c:pt>
                <c:pt idx="67">
                  <c:v>117</c:v>
                </c:pt>
                <c:pt idx="68">
                  <c:v>118</c:v>
                </c:pt>
                <c:pt idx="69">
                  <c:v>119</c:v>
                </c:pt>
                <c:pt idx="70">
                  <c:v>120</c:v>
                </c:pt>
                <c:pt idx="71">
                  <c:v>121</c:v>
                </c:pt>
                <c:pt idx="72">
                  <c:v>122</c:v>
                </c:pt>
                <c:pt idx="73">
                  <c:v>123</c:v>
                </c:pt>
                <c:pt idx="74">
                  <c:v>124</c:v>
                </c:pt>
                <c:pt idx="75">
                  <c:v>125</c:v>
                </c:pt>
                <c:pt idx="76">
                  <c:v>126</c:v>
                </c:pt>
                <c:pt idx="77">
                  <c:v>127</c:v>
                </c:pt>
                <c:pt idx="78">
                  <c:v>128</c:v>
                </c:pt>
                <c:pt idx="79">
                  <c:v>129</c:v>
                </c:pt>
                <c:pt idx="80">
                  <c:v>130</c:v>
                </c:pt>
                <c:pt idx="81">
                  <c:v>131</c:v>
                </c:pt>
                <c:pt idx="82">
                  <c:v>132</c:v>
                </c:pt>
                <c:pt idx="83">
                  <c:v>133</c:v>
                </c:pt>
                <c:pt idx="84">
                  <c:v>134</c:v>
                </c:pt>
                <c:pt idx="85">
                  <c:v>135</c:v>
                </c:pt>
                <c:pt idx="86">
                  <c:v>136</c:v>
                </c:pt>
                <c:pt idx="87">
                  <c:v>137</c:v>
                </c:pt>
                <c:pt idx="88">
                  <c:v>138</c:v>
                </c:pt>
                <c:pt idx="89">
                  <c:v>139</c:v>
                </c:pt>
                <c:pt idx="90">
                  <c:v>140</c:v>
                </c:pt>
                <c:pt idx="91">
                  <c:v>141</c:v>
                </c:pt>
                <c:pt idx="92">
                  <c:v>142</c:v>
                </c:pt>
                <c:pt idx="93">
                  <c:v>143</c:v>
                </c:pt>
                <c:pt idx="94">
                  <c:v>144</c:v>
                </c:pt>
                <c:pt idx="95">
                  <c:v>145</c:v>
                </c:pt>
                <c:pt idx="96">
                  <c:v>146</c:v>
                </c:pt>
                <c:pt idx="97">
                  <c:v>147</c:v>
                </c:pt>
                <c:pt idx="98">
                  <c:v>148</c:v>
                </c:pt>
                <c:pt idx="99">
                  <c:v>149</c:v>
                </c:pt>
                <c:pt idx="100">
                  <c:v>150</c:v>
                </c:pt>
                <c:pt idx="101">
                  <c:v>151</c:v>
                </c:pt>
                <c:pt idx="102">
                  <c:v>152</c:v>
                </c:pt>
                <c:pt idx="103">
                  <c:v>153</c:v>
                </c:pt>
                <c:pt idx="104">
                  <c:v>154</c:v>
                </c:pt>
                <c:pt idx="105">
                  <c:v>155</c:v>
                </c:pt>
                <c:pt idx="106">
                  <c:v>156</c:v>
                </c:pt>
                <c:pt idx="107">
                  <c:v>157</c:v>
                </c:pt>
                <c:pt idx="108">
                  <c:v>158</c:v>
                </c:pt>
                <c:pt idx="109">
                  <c:v>159</c:v>
                </c:pt>
                <c:pt idx="110">
                  <c:v>160</c:v>
                </c:pt>
                <c:pt idx="111">
                  <c:v>161</c:v>
                </c:pt>
                <c:pt idx="112">
                  <c:v>162</c:v>
                </c:pt>
                <c:pt idx="113">
                  <c:v>163</c:v>
                </c:pt>
                <c:pt idx="114">
                  <c:v>164</c:v>
                </c:pt>
                <c:pt idx="115">
                  <c:v>165</c:v>
                </c:pt>
                <c:pt idx="116">
                  <c:v>166</c:v>
                </c:pt>
                <c:pt idx="117">
                  <c:v>167</c:v>
                </c:pt>
                <c:pt idx="118">
                  <c:v>168</c:v>
                </c:pt>
                <c:pt idx="119">
                  <c:v>169</c:v>
                </c:pt>
                <c:pt idx="120">
                  <c:v>170</c:v>
                </c:pt>
                <c:pt idx="121">
                  <c:v>171</c:v>
                </c:pt>
                <c:pt idx="122">
                  <c:v>172</c:v>
                </c:pt>
                <c:pt idx="123">
                  <c:v>173</c:v>
                </c:pt>
                <c:pt idx="124">
                  <c:v>174</c:v>
                </c:pt>
                <c:pt idx="125">
                  <c:v>175</c:v>
                </c:pt>
                <c:pt idx="126">
                  <c:v>176</c:v>
                </c:pt>
                <c:pt idx="127">
                  <c:v>177</c:v>
                </c:pt>
                <c:pt idx="128">
                  <c:v>178</c:v>
                </c:pt>
                <c:pt idx="129">
                  <c:v>179</c:v>
                </c:pt>
                <c:pt idx="130">
                  <c:v>180</c:v>
                </c:pt>
                <c:pt idx="131">
                  <c:v>181</c:v>
                </c:pt>
                <c:pt idx="132">
                  <c:v>182</c:v>
                </c:pt>
                <c:pt idx="133">
                  <c:v>183</c:v>
                </c:pt>
                <c:pt idx="134">
                  <c:v>184</c:v>
                </c:pt>
                <c:pt idx="135">
                  <c:v>185</c:v>
                </c:pt>
                <c:pt idx="136">
                  <c:v>186</c:v>
                </c:pt>
                <c:pt idx="137">
                  <c:v>187</c:v>
                </c:pt>
                <c:pt idx="138">
                  <c:v>188</c:v>
                </c:pt>
                <c:pt idx="139">
                  <c:v>189</c:v>
                </c:pt>
                <c:pt idx="140">
                  <c:v>190</c:v>
                </c:pt>
                <c:pt idx="141">
                  <c:v>191</c:v>
                </c:pt>
                <c:pt idx="142">
                  <c:v>192</c:v>
                </c:pt>
                <c:pt idx="143">
                  <c:v>193</c:v>
                </c:pt>
                <c:pt idx="144">
                  <c:v>194</c:v>
                </c:pt>
                <c:pt idx="145">
                  <c:v>195</c:v>
                </c:pt>
                <c:pt idx="146">
                  <c:v>196</c:v>
                </c:pt>
                <c:pt idx="147">
                  <c:v>197</c:v>
                </c:pt>
                <c:pt idx="148">
                  <c:v>198</c:v>
                </c:pt>
                <c:pt idx="149">
                  <c:v>199</c:v>
                </c:pt>
                <c:pt idx="150">
                  <c:v>200</c:v>
                </c:pt>
                <c:pt idx="151">
                  <c:v>201</c:v>
                </c:pt>
                <c:pt idx="152">
                  <c:v>202</c:v>
                </c:pt>
                <c:pt idx="153">
                  <c:v>203</c:v>
                </c:pt>
                <c:pt idx="154">
                  <c:v>204</c:v>
                </c:pt>
                <c:pt idx="155">
                  <c:v>205</c:v>
                </c:pt>
                <c:pt idx="156">
                  <c:v>206</c:v>
                </c:pt>
                <c:pt idx="157">
                  <c:v>207</c:v>
                </c:pt>
                <c:pt idx="158">
                  <c:v>208</c:v>
                </c:pt>
                <c:pt idx="159">
                  <c:v>209</c:v>
                </c:pt>
                <c:pt idx="160">
                  <c:v>210</c:v>
                </c:pt>
                <c:pt idx="161">
                  <c:v>211</c:v>
                </c:pt>
                <c:pt idx="162">
                  <c:v>212</c:v>
                </c:pt>
                <c:pt idx="163">
                  <c:v>213</c:v>
                </c:pt>
                <c:pt idx="164">
                  <c:v>214</c:v>
                </c:pt>
                <c:pt idx="165">
                  <c:v>215</c:v>
                </c:pt>
                <c:pt idx="166">
                  <c:v>216</c:v>
                </c:pt>
                <c:pt idx="167">
                  <c:v>217</c:v>
                </c:pt>
                <c:pt idx="168">
                  <c:v>218</c:v>
                </c:pt>
                <c:pt idx="169">
                  <c:v>219</c:v>
                </c:pt>
                <c:pt idx="170">
                  <c:v>220</c:v>
                </c:pt>
                <c:pt idx="171">
                  <c:v>221</c:v>
                </c:pt>
                <c:pt idx="172">
                  <c:v>222</c:v>
                </c:pt>
                <c:pt idx="173">
                  <c:v>223</c:v>
                </c:pt>
                <c:pt idx="174">
                  <c:v>224</c:v>
                </c:pt>
                <c:pt idx="175">
                  <c:v>225</c:v>
                </c:pt>
                <c:pt idx="176">
                  <c:v>226</c:v>
                </c:pt>
                <c:pt idx="177">
                  <c:v>227</c:v>
                </c:pt>
                <c:pt idx="178">
                  <c:v>228</c:v>
                </c:pt>
                <c:pt idx="179">
                  <c:v>229</c:v>
                </c:pt>
                <c:pt idx="180">
                  <c:v>230</c:v>
                </c:pt>
                <c:pt idx="181">
                  <c:v>231</c:v>
                </c:pt>
                <c:pt idx="182">
                  <c:v>232</c:v>
                </c:pt>
                <c:pt idx="183">
                  <c:v>233</c:v>
                </c:pt>
                <c:pt idx="184">
                  <c:v>234</c:v>
                </c:pt>
                <c:pt idx="185">
                  <c:v>235</c:v>
                </c:pt>
                <c:pt idx="186">
                  <c:v>236</c:v>
                </c:pt>
                <c:pt idx="187">
                  <c:v>237</c:v>
                </c:pt>
                <c:pt idx="188">
                  <c:v>238</c:v>
                </c:pt>
                <c:pt idx="189">
                  <c:v>239</c:v>
                </c:pt>
                <c:pt idx="190">
                  <c:v>240</c:v>
                </c:pt>
                <c:pt idx="191">
                  <c:v>241</c:v>
                </c:pt>
                <c:pt idx="192">
                  <c:v>242</c:v>
                </c:pt>
                <c:pt idx="193">
                  <c:v>243</c:v>
                </c:pt>
                <c:pt idx="194">
                  <c:v>244</c:v>
                </c:pt>
                <c:pt idx="195">
                  <c:v>245</c:v>
                </c:pt>
                <c:pt idx="196">
                  <c:v>246</c:v>
                </c:pt>
                <c:pt idx="197">
                  <c:v>247</c:v>
                </c:pt>
                <c:pt idx="198">
                  <c:v>248</c:v>
                </c:pt>
                <c:pt idx="199">
                  <c:v>249</c:v>
                </c:pt>
                <c:pt idx="200">
                  <c:v>250</c:v>
                </c:pt>
                <c:pt idx="201">
                  <c:v>251</c:v>
                </c:pt>
                <c:pt idx="202">
                  <c:v>252</c:v>
                </c:pt>
                <c:pt idx="203">
                  <c:v>253</c:v>
                </c:pt>
                <c:pt idx="204">
                  <c:v>254</c:v>
                </c:pt>
                <c:pt idx="205">
                  <c:v>255</c:v>
                </c:pt>
                <c:pt idx="206">
                  <c:v>256</c:v>
                </c:pt>
                <c:pt idx="207">
                  <c:v>257</c:v>
                </c:pt>
                <c:pt idx="208">
                  <c:v>258</c:v>
                </c:pt>
                <c:pt idx="209">
                  <c:v>259</c:v>
                </c:pt>
                <c:pt idx="210">
                  <c:v>260</c:v>
                </c:pt>
                <c:pt idx="211">
                  <c:v>261</c:v>
                </c:pt>
                <c:pt idx="212">
                  <c:v>262</c:v>
                </c:pt>
                <c:pt idx="213">
                  <c:v>263</c:v>
                </c:pt>
                <c:pt idx="214">
                  <c:v>264</c:v>
                </c:pt>
                <c:pt idx="215">
                  <c:v>265</c:v>
                </c:pt>
                <c:pt idx="216">
                  <c:v>266</c:v>
                </c:pt>
                <c:pt idx="217">
                  <c:v>267</c:v>
                </c:pt>
                <c:pt idx="218">
                  <c:v>268</c:v>
                </c:pt>
                <c:pt idx="219">
                  <c:v>269</c:v>
                </c:pt>
                <c:pt idx="220">
                  <c:v>270</c:v>
                </c:pt>
                <c:pt idx="221">
                  <c:v>271</c:v>
                </c:pt>
                <c:pt idx="222">
                  <c:v>272</c:v>
                </c:pt>
                <c:pt idx="223">
                  <c:v>273</c:v>
                </c:pt>
                <c:pt idx="224">
                  <c:v>274</c:v>
                </c:pt>
                <c:pt idx="225">
                  <c:v>275</c:v>
                </c:pt>
                <c:pt idx="226">
                  <c:v>276</c:v>
                </c:pt>
                <c:pt idx="227">
                  <c:v>277</c:v>
                </c:pt>
                <c:pt idx="228">
                  <c:v>278</c:v>
                </c:pt>
                <c:pt idx="229">
                  <c:v>279</c:v>
                </c:pt>
                <c:pt idx="230">
                  <c:v>280</c:v>
                </c:pt>
                <c:pt idx="231">
                  <c:v>281</c:v>
                </c:pt>
                <c:pt idx="232">
                  <c:v>282</c:v>
                </c:pt>
                <c:pt idx="233">
                  <c:v>283</c:v>
                </c:pt>
                <c:pt idx="234">
                  <c:v>284</c:v>
                </c:pt>
                <c:pt idx="235">
                  <c:v>285</c:v>
                </c:pt>
                <c:pt idx="236">
                  <c:v>286</c:v>
                </c:pt>
                <c:pt idx="237">
                  <c:v>287</c:v>
                </c:pt>
                <c:pt idx="238">
                  <c:v>288</c:v>
                </c:pt>
                <c:pt idx="239">
                  <c:v>289</c:v>
                </c:pt>
                <c:pt idx="240">
                  <c:v>290</c:v>
                </c:pt>
                <c:pt idx="241">
                  <c:v>291</c:v>
                </c:pt>
                <c:pt idx="242">
                  <c:v>292</c:v>
                </c:pt>
                <c:pt idx="243">
                  <c:v>293</c:v>
                </c:pt>
                <c:pt idx="244">
                  <c:v>294</c:v>
                </c:pt>
                <c:pt idx="245">
                  <c:v>295</c:v>
                </c:pt>
                <c:pt idx="246">
                  <c:v>296</c:v>
                </c:pt>
                <c:pt idx="247">
                  <c:v>297</c:v>
                </c:pt>
                <c:pt idx="248">
                  <c:v>298</c:v>
                </c:pt>
                <c:pt idx="249">
                  <c:v>299</c:v>
                </c:pt>
                <c:pt idx="250">
                  <c:v>300</c:v>
                </c:pt>
                <c:pt idx="251">
                  <c:v>301</c:v>
                </c:pt>
                <c:pt idx="252">
                  <c:v>302</c:v>
                </c:pt>
                <c:pt idx="253">
                  <c:v>303</c:v>
                </c:pt>
                <c:pt idx="254">
                  <c:v>304</c:v>
                </c:pt>
                <c:pt idx="255">
                  <c:v>305</c:v>
                </c:pt>
                <c:pt idx="256">
                  <c:v>306</c:v>
                </c:pt>
                <c:pt idx="257">
                  <c:v>307</c:v>
                </c:pt>
                <c:pt idx="258">
                  <c:v>308</c:v>
                </c:pt>
                <c:pt idx="259">
                  <c:v>309</c:v>
                </c:pt>
                <c:pt idx="260">
                  <c:v>310</c:v>
                </c:pt>
                <c:pt idx="261">
                  <c:v>311</c:v>
                </c:pt>
                <c:pt idx="262">
                  <c:v>312</c:v>
                </c:pt>
                <c:pt idx="263">
                  <c:v>313</c:v>
                </c:pt>
                <c:pt idx="264">
                  <c:v>314</c:v>
                </c:pt>
                <c:pt idx="265">
                  <c:v>315</c:v>
                </c:pt>
                <c:pt idx="266">
                  <c:v>316</c:v>
                </c:pt>
                <c:pt idx="267">
                  <c:v>317</c:v>
                </c:pt>
                <c:pt idx="268">
                  <c:v>318</c:v>
                </c:pt>
                <c:pt idx="269">
                  <c:v>319</c:v>
                </c:pt>
                <c:pt idx="270">
                  <c:v>320</c:v>
                </c:pt>
                <c:pt idx="271">
                  <c:v>321</c:v>
                </c:pt>
                <c:pt idx="272">
                  <c:v>322</c:v>
                </c:pt>
                <c:pt idx="273">
                  <c:v>323</c:v>
                </c:pt>
                <c:pt idx="274">
                  <c:v>324</c:v>
                </c:pt>
                <c:pt idx="275">
                  <c:v>325</c:v>
                </c:pt>
                <c:pt idx="276">
                  <c:v>326</c:v>
                </c:pt>
                <c:pt idx="277">
                  <c:v>327</c:v>
                </c:pt>
                <c:pt idx="278">
                  <c:v>328</c:v>
                </c:pt>
                <c:pt idx="279">
                  <c:v>329</c:v>
                </c:pt>
                <c:pt idx="280">
                  <c:v>330</c:v>
                </c:pt>
                <c:pt idx="281">
                  <c:v>331</c:v>
                </c:pt>
                <c:pt idx="282">
                  <c:v>332</c:v>
                </c:pt>
                <c:pt idx="283">
                  <c:v>333</c:v>
                </c:pt>
                <c:pt idx="284">
                  <c:v>334</c:v>
                </c:pt>
                <c:pt idx="285">
                  <c:v>335</c:v>
                </c:pt>
                <c:pt idx="286">
                  <c:v>336</c:v>
                </c:pt>
                <c:pt idx="287">
                  <c:v>337</c:v>
                </c:pt>
                <c:pt idx="288">
                  <c:v>338</c:v>
                </c:pt>
                <c:pt idx="289">
                  <c:v>339</c:v>
                </c:pt>
                <c:pt idx="290">
                  <c:v>340</c:v>
                </c:pt>
                <c:pt idx="291">
                  <c:v>341</c:v>
                </c:pt>
                <c:pt idx="292">
                  <c:v>342</c:v>
                </c:pt>
                <c:pt idx="293">
                  <c:v>343</c:v>
                </c:pt>
                <c:pt idx="294">
                  <c:v>344</c:v>
                </c:pt>
                <c:pt idx="295">
                  <c:v>345</c:v>
                </c:pt>
                <c:pt idx="296">
                  <c:v>346</c:v>
                </c:pt>
                <c:pt idx="297">
                  <c:v>347</c:v>
                </c:pt>
                <c:pt idx="298">
                  <c:v>348</c:v>
                </c:pt>
                <c:pt idx="299">
                  <c:v>349</c:v>
                </c:pt>
                <c:pt idx="300">
                  <c:v>350</c:v>
                </c:pt>
                <c:pt idx="301">
                  <c:v>351</c:v>
                </c:pt>
                <c:pt idx="302">
                  <c:v>352</c:v>
                </c:pt>
                <c:pt idx="303">
                  <c:v>353</c:v>
                </c:pt>
                <c:pt idx="304">
                  <c:v>354</c:v>
                </c:pt>
                <c:pt idx="305">
                  <c:v>355</c:v>
                </c:pt>
                <c:pt idx="306">
                  <c:v>356</c:v>
                </c:pt>
                <c:pt idx="307">
                  <c:v>357</c:v>
                </c:pt>
                <c:pt idx="308">
                  <c:v>358</c:v>
                </c:pt>
                <c:pt idx="309">
                  <c:v>359</c:v>
                </c:pt>
                <c:pt idx="310">
                  <c:v>360</c:v>
                </c:pt>
                <c:pt idx="311">
                  <c:v>361</c:v>
                </c:pt>
                <c:pt idx="312">
                  <c:v>362</c:v>
                </c:pt>
                <c:pt idx="313">
                  <c:v>363</c:v>
                </c:pt>
                <c:pt idx="314">
                  <c:v>364</c:v>
                </c:pt>
                <c:pt idx="315">
                  <c:v>365</c:v>
                </c:pt>
                <c:pt idx="316">
                  <c:v>366</c:v>
                </c:pt>
                <c:pt idx="317">
                  <c:v>367</c:v>
                </c:pt>
                <c:pt idx="318">
                  <c:v>368</c:v>
                </c:pt>
                <c:pt idx="319">
                  <c:v>369</c:v>
                </c:pt>
                <c:pt idx="320">
                  <c:v>370</c:v>
                </c:pt>
                <c:pt idx="321">
                  <c:v>371</c:v>
                </c:pt>
                <c:pt idx="322">
                  <c:v>372</c:v>
                </c:pt>
                <c:pt idx="323">
                  <c:v>373</c:v>
                </c:pt>
                <c:pt idx="324">
                  <c:v>374</c:v>
                </c:pt>
                <c:pt idx="325">
                  <c:v>375</c:v>
                </c:pt>
                <c:pt idx="326">
                  <c:v>376</c:v>
                </c:pt>
                <c:pt idx="327">
                  <c:v>377</c:v>
                </c:pt>
                <c:pt idx="328">
                  <c:v>378</c:v>
                </c:pt>
                <c:pt idx="329">
                  <c:v>379</c:v>
                </c:pt>
                <c:pt idx="330">
                  <c:v>380</c:v>
                </c:pt>
                <c:pt idx="331">
                  <c:v>381</c:v>
                </c:pt>
                <c:pt idx="332">
                  <c:v>382</c:v>
                </c:pt>
                <c:pt idx="333">
                  <c:v>383</c:v>
                </c:pt>
                <c:pt idx="334">
                  <c:v>384</c:v>
                </c:pt>
                <c:pt idx="335">
                  <c:v>385</c:v>
                </c:pt>
                <c:pt idx="336">
                  <c:v>386</c:v>
                </c:pt>
                <c:pt idx="337">
                  <c:v>387</c:v>
                </c:pt>
                <c:pt idx="338">
                  <c:v>388</c:v>
                </c:pt>
                <c:pt idx="339">
                  <c:v>389</c:v>
                </c:pt>
                <c:pt idx="340">
                  <c:v>390</c:v>
                </c:pt>
                <c:pt idx="341">
                  <c:v>391</c:v>
                </c:pt>
                <c:pt idx="342">
                  <c:v>392</c:v>
                </c:pt>
                <c:pt idx="343">
                  <c:v>393</c:v>
                </c:pt>
                <c:pt idx="344">
                  <c:v>394</c:v>
                </c:pt>
                <c:pt idx="345">
                  <c:v>395</c:v>
                </c:pt>
                <c:pt idx="346">
                  <c:v>396</c:v>
                </c:pt>
                <c:pt idx="347">
                  <c:v>397</c:v>
                </c:pt>
                <c:pt idx="348">
                  <c:v>398</c:v>
                </c:pt>
                <c:pt idx="349">
                  <c:v>399</c:v>
                </c:pt>
                <c:pt idx="350">
                  <c:v>400</c:v>
                </c:pt>
                <c:pt idx="351">
                  <c:v>401</c:v>
                </c:pt>
                <c:pt idx="352">
                  <c:v>402</c:v>
                </c:pt>
                <c:pt idx="353">
                  <c:v>403</c:v>
                </c:pt>
                <c:pt idx="354">
                  <c:v>404</c:v>
                </c:pt>
                <c:pt idx="355">
                  <c:v>405</c:v>
                </c:pt>
                <c:pt idx="356">
                  <c:v>406</c:v>
                </c:pt>
                <c:pt idx="357">
                  <c:v>407</c:v>
                </c:pt>
                <c:pt idx="358">
                  <c:v>408</c:v>
                </c:pt>
                <c:pt idx="359">
                  <c:v>409</c:v>
                </c:pt>
                <c:pt idx="360">
                  <c:v>410</c:v>
                </c:pt>
                <c:pt idx="361">
                  <c:v>411</c:v>
                </c:pt>
                <c:pt idx="362">
                  <c:v>412</c:v>
                </c:pt>
                <c:pt idx="363">
                  <c:v>413</c:v>
                </c:pt>
                <c:pt idx="364">
                  <c:v>414</c:v>
                </c:pt>
                <c:pt idx="365">
                  <c:v>415</c:v>
                </c:pt>
                <c:pt idx="366">
                  <c:v>416</c:v>
                </c:pt>
                <c:pt idx="367">
                  <c:v>417</c:v>
                </c:pt>
                <c:pt idx="368">
                  <c:v>418</c:v>
                </c:pt>
                <c:pt idx="369">
                  <c:v>419</c:v>
                </c:pt>
                <c:pt idx="370">
                  <c:v>420</c:v>
                </c:pt>
                <c:pt idx="371">
                  <c:v>421</c:v>
                </c:pt>
                <c:pt idx="372">
                  <c:v>422</c:v>
                </c:pt>
                <c:pt idx="373">
                  <c:v>423</c:v>
                </c:pt>
                <c:pt idx="374">
                  <c:v>424</c:v>
                </c:pt>
                <c:pt idx="375">
                  <c:v>425</c:v>
                </c:pt>
                <c:pt idx="376">
                  <c:v>426</c:v>
                </c:pt>
                <c:pt idx="377">
                  <c:v>427</c:v>
                </c:pt>
                <c:pt idx="378">
                  <c:v>428</c:v>
                </c:pt>
                <c:pt idx="379">
                  <c:v>429</c:v>
                </c:pt>
                <c:pt idx="380">
                  <c:v>430</c:v>
                </c:pt>
                <c:pt idx="381">
                  <c:v>431</c:v>
                </c:pt>
                <c:pt idx="382">
                  <c:v>432</c:v>
                </c:pt>
                <c:pt idx="383">
                  <c:v>433</c:v>
                </c:pt>
                <c:pt idx="384">
                  <c:v>434</c:v>
                </c:pt>
                <c:pt idx="385">
                  <c:v>435</c:v>
                </c:pt>
                <c:pt idx="386">
                  <c:v>436</c:v>
                </c:pt>
                <c:pt idx="387">
                  <c:v>437</c:v>
                </c:pt>
                <c:pt idx="388">
                  <c:v>438</c:v>
                </c:pt>
                <c:pt idx="389">
                  <c:v>439</c:v>
                </c:pt>
                <c:pt idx="390">
                  <c:v>440</c:v>
                </c:pt>
                <c:pt idx="391">
                  <c:v>441</c:v>
                </c:pt>
                <c:pt idx="392">
                  <c:v>442</c:v>
                </c:pt>
                <c:pt idx="393">
                  <c:v>443</c:v>
                </c:pt>
                <c:pt idx="394">
                  <c:v>444</c:v>
                </c:pt>
                <c:pt idx="395">
                  <c:v>445</c:v>
                </c:pt>
                <c:pt idx="396">
                  <c:v>446</c:v>
                </c:pt>
                <c:pt idx="397">
                  <c:v>447</c:v>
                </c:pt>
                <c:pt idx="398">
                  <c:v>448</c:v>
                </c:pt>
                <c:pt idx="399">
                  <c:v>449</c:v>
                </c:pt>
                <c:pt idx="400">
                  <c:v>450</c:v>
                </c:pt>
                <c:pt idx="401">
                  <c:v>451</c:v>
                </c:pt>
                <c:pt idx="402">
                  <c:v>452</c:v>
                </c:pt>
                <c:pt idx="403">
                  <c:v>453</c:v>
                </c:pt>
                <c:pt idx="404">
                  <c:v>454</c:v>
                </c:pt>
                <c:pt idx="405">
                  <c:v>455</c:v>
                </c:pt>
                <c:pt idx="406">
                  <c:v>456</c:v>
                </c:pt>
                <c:pt idx="407">
                  <c:v>457</c:v>
                </c:pt>
                <c:pt idx="408">
                  <c:v>458</c:v>
                </c:pt>
                <c:pt idx="409">
                  <c:v>459</c:v>
                </c:pt>
                <c:pt idx="410">
                  <c:v>460</c:v>
                </c:pt>
                <c:pt idx="411">
                  <c:v>461</c:v>
                </c:pt>
                <c:pt idx="412">
                  <c:v>462</c:v>
                </c:pt>
                <c:pt idx="413">
                  <c:v>463</c:v>
                </c:pt>
                <c:pt idx="414">
                  <c:v>464</c:v>
                </c:pt>
                <c:pt idx="415">
                  <c:v>465</c:v>
                </c:pt>
                <c:pt idx="416">
                  <c:v>466</c:v>
                </c:pt>
                <c:pt idx="417">
                  <c:v>467</c:v>
                </c:pt>
                <c:pt idx="418">
                  <c:v>468</c:v>
                </c:pt>
                <c:pt idx="419">
                  <c:v>469</c:v>
                </c:pt>
                <c:pt idx="420">
                  <c:v>470</c:v>
                </c:pt>
                <c:pt idx="421">
                  <c:v>471</c:v>
                </c:pt>
                <c:pt idx="422">
                  <c:v>472</c:v>
                </c:pt>
                <c:pt idx="423">
                  <c:v>473</c:v>
                </c:pt>
                <c:pt idx="424">
                  <c:v>474</c:v>
                </c:pt>
                <c:pt idx="425">
                  <c:v>475</c:v>
                </c:pt>
                <c:pt idx="426">
                  <c:v>476</c:v>
                </c:pt>
                <c:pt idx="427">
                  <c:v>477</c:v>
                </c:pt>
                <c:pt idx="428">
                  <c:v>478</c:v>
                </c:pt>
                <c:pt idx="429">
                  <c:v>479</c:v>
                </c:pt>
                <c:pt idx="430">
                  <c:v>480</c:v>
                </c:pt>
                <c:pt idx="431">
                  <c:v>481</c:v>
                </c:pt>
                <c:pt idx="432">
                  <c:v>482</c:v>
                </c:pt>
                <c:pt idx="433">
                  <c:v>483</c:v>
                </c:pt>
                <c:pt idx="434">
                  <c:v>484</c:v>
                </c:pt>
                <c:pt idx="435">
                  <c:v>485</c:v>
                </c:pt>
                <c:pt idx="436">
                  <c:v>486</c:v>
                </c:pt>
                <c:pt idx="437">
                  <c:v>487</c:v>
                </c:pt>
                <c:pt idx="438">
                  <c:v>488</c:v>
                </c:pt>
                <c:pt idx="439">
                  <c:v>489</c:v>
                </c:pt>
                <c:pt idx="440">
                  <c:v>490</c:v>
                </c:pt>
                <c:pt idx="441">
                  <c:v>491</c:v>
                </c:pt>
                <c:pt idx="442">
                  <c:v>492</c:v>
                </c:pt>
                <c:pt idx="443">
                  <c:v>493</c:v>
                </c:pt>
                <c:pt idx="444">
                  <c:v>494</c:v>
                </c:pt>
                <c:pt idx="445">
                  <c:v>495</c:v>
                </c:pt>
                <c:pt idx="446">
                  <c:v>496</c:v>
                </c:pt>
                <c:pt idx="447">
                  <c:v>497</c:v>
                </c:pt>
                <c:pt idx="448">
                  <c:v>498</c:v>
                </c:pt>
                <c:pt idx="449">
                  <c:v>499</c:v>
                </c:pt>
                <c:pt idx="450">
                  <c:v>500</c:v>
                </c:pt>
              </c:numCache>
            </c:numRef>
          </c:xVal>
          <c:yVal>
            <c:numRef>
              <c:f>'American BD'!$F$2:$F$452</c:f>
              <c:numCache>
                <c:formatCode>General</c:formatCode>
                <c:ptCount val="451"/>
                <c:pt idx="0">
                  <c:v>1.0219820875462915E-2</c:v>
                </c:pt>
                <c:pt idx="1">
                  <c:v>9.8483780292912826E-3</c:v>
                </c:pt>
                <c:pt idx="2">
                  <c:v>9.8289251936645172E-3</c:v>
                </c:pt>
                <c:pt idx="3">
                  <c:v>9.5519309514937589E-3</c:v>
                </c:pt>
                <c:pt idx="4">
                  <c:v>9.4570920623713306E-3</c:v>
                </c:pt>
                <c:pt idx="5">
                  <c:v>9.2774476331225486E-3</c:v>
                </c:pt>
                <c:pt idx="6">
                  <c:v>9.1045445939990088E-3</c:v>
                </c:pt>
                <c:pt idx="7">
                  <c:v>9.0157459561961417E-3</c:v>
                </c:pt>
                <c:pt idx="8">
                  <c:v>8.7712392908994019E-3</c:v>
                </c:pt>
                <c:pt idx="9">
                  <c:v>8.763592533810538E-3</c:v>
                </c:pt>
                <c:pt idx="10">
                  <c:v>8.4618908612643651E-3</c:v>
                </c:pt>
                <c:pt idx="11">
                  <c:v>8.5313892986018658E-3</c:v>
                </c:pt>
                <c:pt idx="12">
                  <c:v>8.2046318571773469E-3</c:v>
                </c:pt>
                <c:pt idx="13">
                  <c:v>8.3097445406039583E-3</c:v>
                </c:pt>
                <c:pt idx="14">
                  <c:v>7.968492870706001E-3</c:v>
                </c:pt>
                <c:pt idx="15">
                  <c:v>8.094588412319581E-3</c:v>
                </c:pt>
                <c:pt idx="16">
                  <c:v>7.7397262571867742E-3</c:v>
                </c:pt>
                <c:pt idx="17">
                  <c:v>7.8861215634447035E-3</c:v>
                </c:pt>
                <c:pt idx="18">
                  <c:v>7.5188613668792925E-3</c:v>
                </c:pt>
                <c:pt idx="19">
                  <c:v>7.6840082896794115E-3</c:v>
                </c:pt>
                <c:pt idx="20">
                  <c:v>7.3056728356259981E-3</c:v>
                </c:pt>
                <c:pt idx="21">
                  <c:v>7.4876427111547628E-3</c:v>
                </c:pt>
                <c:pt idx="22">
                  <c:v>7.1022361579444748E-3</c:v>
                </c:pt>
                <c:pt idx="23">
                  <c:v>7.2967118564637445E-3</c:v>
                </c:pt>
                <c:pt idx="24">
                  <c:v>6.9085135075894755E-3</c:v>
                </c:pt>
                <c:pt idx="25">
                  <c:v>7.1111879026179992E-3</c:v>
                </c:pt>
                <c:pt idx="26">
                  <c:v>6.7222159422239969E-3</c:v>
                </c:pt>
                <c:pt idx="27">
                  <c:v>6.9349268705973799E-3</c:v>
                </c:pt>
                <c:pt idx="28">
                  <c:v>6.543375465700052E-3</c:v>
                </c:pt>
                <c:pt idx="29">
                  <c:v>6.7833516486413004E-3</c:v>
                </c:pt>
                <c:pt idx="30">
                  <c:v>6.3802223010771542E-3</c:v>
                </c:pt>
                <c:pt idx="31">
                  <c:v>6.6341006713255268E-3</c:v>
                </c:pt>
                <c:pt idx="32">
                  <c:v>6.2289242498287933E-3</c:v>
                </c:pt>
                <c:pt idx="33">
                  <c:v>6.4875522849447975E-3</c:v>
                </c:pt>
                <c:pt idx="34">
                  <c:v>6.0998588204821402E-3</c:v>
                </c:pt>
                <c:pt idx="35">
                  <c:v>6.3432415039734735E-3</c:v>
                </c:pt>
                <c:pt idx="36">
                  <c:v>5.9872521416508562E-3</c:v>
                </c:pt>
                <c:pt idx="37">
                  <c:v>6.2020350675204838E-3</c:v>
                </c:pt>
                <c:pt idx="38">
                  <c:v>5.8781362200388543E-3</c:v>
                </c:pt>
                <c:pt idx="39">
                  <c:v>6.0634930323573144E-3</c:v>
                </c:pt>
                <c:pt idx="40">
                  <c:v>5.7705860966468236E-3</c:v>
                </c:pt>
                <c:pt idx="41">
                  <c:v>5.9283082245897845E-3</c:v>
                </c:pt>
                <c:pt idx="42">
                  <c:v>5.6651953267543576E-3</c:v>
                </c:pt>
                <c:pt idx="43">
                  <c:v>5.7993321042744128E-3</c:v>
                </c:pt>
                <c:pt idx="44">
                  <c:v>5.5678000649610482E-3</c:v>
                </c:pt>
                <c:pt idx="45">
                  <c:v>5.6726604583126061E-3</c:v>
                </c:pt>
                <c:pt idx="46">
                  <c:v>5.4724141445792185E-3</c:v>
                </c:pt>
                <c:pt idx="47">
                  <c:v>5.5483294209484058E-3</c:v>
                </c:pt>
                <c:pt idx="48">
                  <c:v>5.3789474032708284E-3</c:v>
                </c:pt>
                <c:pt idx="49">
                  <c:v>5.4280785740949966E-3</c:v>
                </c:pt>
                <c:pt idx="50">
                  <c:v>5.287113899433038E-3</c:v>
                </c:pt>
                <c:pt idx="51">
                  <c:v>5.3105193174367571E-3</c:v>
                </c:pt>
                <c:pt idx="52">
                  <c:v>5.197494647045886E-3</c:v>
                </c:pt>
                <c:pt idx="53">
                  <c:v>5.195432167274916E-3</c:v>
                </c:pt>
                <c:pt idx="54">
                  <c:v>5.1096502126970478E-3</c:v>
                </c:pt>
                <c:pt idx="55">
                  <c:v>5.0869706177056884E-3</c:v>
                </c:pt>
                <c:pt idx="56">
                  <c:v>5.0235234857431976E-3</c:v>
                </c:pt>
                <c:pt idx="57">
                  <c:v>4.9943312418641028E-3</c:v>
                </c:pt>
                <c:pt idx="58">
                  <c:v>4.9390692481097176E-3</c:v>
                </c:pt>
                <c:pt idx="59">
                  <c:v>4.9036242628748283E-3</c:v>
                </c:pt>
                <c:pt idx="60">
                  <c:v>4.8562795893687394E-3</c:v>
                </c:pt>
                <c:pt idx="61">
                  <c:v>4.8137630462274927E-3</c:v>
                </c:pt>
                <c:pt idx="62">
                  <c:v>4.7839214807670061E-3</c:v>
                </c:pt>
                <c:pt idx="63">
                  <c:v>4.7248966341850718E-3</c:v>
                </c:pt>
                <c:pt idx="64">
                  <c:v>4.7153901212215743E-3</c:v>
                </c:pt>
                <c:pt idx="65">
                  <c:v>4.6374910522537505E-3</c:v>
                </c:pt>
                <c:pt idx="66">
                  <c:v>4.6470482720959438E-3</c:v>
                </c:pt>
                <c:pt idx="67">
                  <c:v>4.5580052216251943E-3</c:v>
                </c:pt>
                <c:pt idx="68">
                  <c:v>4.5789967242821916E-3</c:v>
                </c:pt>
                <c:pt idx="69">
                  <c:v>4.4821856890475686E-3</c:v>
                </c:pt>
                <c:pt idx="70">
                  <c:v>4.5113036375212801E-3</c:v>
                </c:pt>
                <c:pt idx="71">
                  <c:v>4.4071173179762724E-3</c:v>
                </c:pt>
                <c:pt idx="72">
                  <c:v>4.448944052644066E-3</c:v>
                </c:pt>
                <c:pt idx="73">
                  <c:v>4.3330070214349092E-3</c:v>
                </c:pt>
                <c:pt idx="74">
                  <c:v>4.3927277944728615E-3</c:v>
                </c:pt>
                <c:pt idx="75">
                  <c:v>4.2600082556703001E-3</c:v>
                </c:pt>
                <c:pt idx="76">
                  <c:v>4.3363074583009364E-3</c:v>
                </c:pt>
                <c:pt idx="77">
                  <c:v>4.1901423696018014E-3</c:v>
                </c:pt>
                <c:pt idx="78">
                  <c:v>4.2797194714907505E-3</c:v>
                </c:pt>
                <c:pt idx="79">
                  <c:v>4.1231782693706975E-3</c:v>
                </c:pt>
                <c:pt idx="80">
                  <c:v>4.223051446560433E-3</c:v>
                </c:pt>
                <c:pt idx="81">
                  <c:v>4.0572417171542696E-3</c:v>
                </c:pt>
                <c:pt idx="82">
                  <c:v>4.1663693801208268E-3</c:v>
                </c:pt>
                <c:pt idx="83">
                  <c:v>4.0009324087986187E-3</c:v>
                </c:pt>
                <c:pt idx="84">
                  <c:v>4.1110678329587813E-3</c:v>
                </c:pt>
                <c:pt idx="85">
                  <c:v>3.9478691114176456E-3</c:v>
                </c:pt>
                <c:pt idx="86">
                  <c:v>4.0559169186842325E-3</c:v>
                </c:pt>
                <c:pt idx="87">
                  <c:v>3.895355828205993E-3</c:v>
                </c:pt>
                <c:pt idx="88">
                  <c:v>4.0009023404987687E-3</c:v>
                </c:pt>
                <c:pt idx="89">
                  <c:v>3.8434943087235496E-3</c:v>
                </c:pt>
                <c:pt idx="90">
                  <c:v>3.947529846017872E-3</c:v>
                </c:pt>
                <c:pt idx="91">
                  <c:v>3.7919056341699786E-3</c:v>
                </c:pt>
                <c:pt idx="92">
                  <c:v>3.8943918199354499E-3</c:v>
                </c:pt>
                <c:pt idx="93">
                  <c:v>3.7406899966612173E-3</c:v>
                </c:pt>
                <c:pt idx="94">
                  <c:v>3.8414472198251559E-3</c:v>
                </c:pt>
                <c:pt idx="95">
                  <c:v>3.6899304456614601E-3</c:v>
                </c:pt>
                <c:pt idx="96">
                  <c:v>3.7887077507630096E-3</c:v>
                </c:pt>
                <c:pt idx="97">
                  <c:v>3.6396915235439309E-3</c:v>
                </c:pt>
                <c:pt idx="98">
                  <c:v>3.7361962649651304E-3</c:v>
                </c:pt>
                <c:pt idx="99">
                  <c:v>3.5900224221325772E-3</c:v>
                </c:pt>
                <c:pt idx="100">
                  <c:v>3.6843345836583552E-3</c:v>
                </c:pt>
                <c:pt idx="101">
                  <c:v>3.5414932872317451E-3</c:v>
                </c:pt>
                <c:pt idx="102">
                  <c:v>3.634709521541879E-3</c:v>
                </c:pt>
                <c:pt idx="103">
                  <c:v>3.4936961071156958E-3</c:v>
                </c:pt>
                <c:pt idx="104">
                  <c:v>3.5861587928636141E-3</c:v>
                </c:pt>
                <c:pt idx="105">
                  <c:v>3.4470517987692517E-3</c:v>
                </c:pt>
                <c:pt idx="106">
                  <c:v>3.5403571310688164E-3</c:v>
                </c:pt>
                <c:pt idx="107">
                  <c:v>3.4024346662988592E-3</c:v>
                </c:pt>
                <c:pt idx="108">
                  <c:v>3.49627859048951E-3</c:v>
                </c:pt>
                <c:pt idx="109">
                  <c:v>3.3584577413581229E-3</c:v>
                </c:pt>
                <c:pt idx="110">
                  <c:v>3.4568464653954578E-3</c:v>
                </c:pt>
                <c:pt idx="111">
                  <c:v>3.3195608552514244E-3</c:v>
                </c:pt>
                <c:pt idx="112">
                  <c:v>3.4176666990450855E-3</c:v>
                </c:pt>
                <c:pt idx="113">
                  <c:v>3.28458661856601E-3</c:v>
                </c:pt>
                <c:pt idx="114">
                  <c:v>3.379597927347433E-3</c:v>
                </c:pt>
                <c:pt idx="115">
                  <c:v>3.2498535480307567E-3</c:v>
                </c:pt>
                <c:pt idx="116">
                  <c:v>3.3412383450812655E-3</c:v>
                </c:pt>
                <c:pt idx="117">
                  <c:v>3.2157927333233971E-3</c:v>
                </c:pt>
                <c:pt idx="118">
                  <c:v>3.3026211384257209E-3</c:v>
                </c:pt>
                <c:pt idx="119">
                  <c:v>3.1817494257619927E-3</c:v>
                </c:pt>
                <c:pt idx="120">
                  <c:v>3.2638141571688095E-3</c:v>
                </c:pt>
                <c:pt idx="121">
                  <c:v>3.1523208876400588E-3</c:v>
                </c:pt>
                <c:pt idx="122">
                  <c:v>3.2254997123644102E-3</c:v>
                </c:pt>
                <c:pt idx="123">
                  <c:v>3.1234070978047868E-3</c:v>
                </c:pt>
                <c:pt idx="124">
                  <c:v>3.1871848447817541E-3</c:v>
                </c:pt>
                <c:pt idx="125">
                  <c:v>3.0943838082286845E-3</c:v>
                </c:pt>
                <c:pt idx="126">
                  <c:v>3.1490382641106152E-3</c:v>
                </c:pt>
                <c:pt idx="127">
                  <c:v>3.065290046373903E-3</c:v>
                </c:pt>
                <c:pt idx="128">
                  <c:v>3.1110735725476957E-3</c:v>
                </c:pt>
                <c:pt idx="129">
                  <c:v>3.0361581502820201E-3</c:v>
                </c:pt>
                <c:pt idx="130">
                  <c:v>3.0731441174900453E-3</c:v>
                </c:pt>
                <c:pt idx="131">
                  <c:v>3.0070146574647794E-3</c:v>
                </c:pt>
                <c:pt idx="132">
                  <c:v>3.0352902140098337E-3</c:v>
                </c:pt>
                <c:pt idx="133">
                  <c:v>2.9780028205088627E-3</c:v>
                </c:pt>
                <c:pt idx="134">
                  <c:v>2.9975493123632901E-3</c:v>
                </c:pt>
                <c:pt idx="135">
                  <c:v>2.9492877608223722E-3</c:v>
                </c:pt>
                <c:pt idx="136">
                  <c:v>2.9600707431463036E-3</c:v>
                </c:pt>
                <c:pt idx="137">
                  <c:v>2.9218555209773456E-3</c:v>
                </c:pt>
                <c:pt idx="138">
                  <c:v>2.9235000900467156E-3</c:v>
                </c:pt>
                <c:pt idx="139">
                  <c:v>2.8944318985306694E-3</c:v>
                </c:pt>
                <c:pt idx="140">
                  <c:v>2.8881227012149679E-3</c:v>
                </c:pt>
                <c:pt idx="141">
                  <c:v>2.8670311444720653E-3</c:v>
                </c:pt>
                <c:pt idx="142">
                  <c:v>2.8551022715284091E-3</c:v>
                </c:pt>
                <c:pt idx="143">
                  <c:v>2.8396652686257795E-3</c:v>
                </c:pt>
                <c:pt idx="144">
                  <c:v>2.8253157340358825E-3</c:v>
                </c:pt>
                <c:pt idx="145">
                  <c:v>2.8123436873599417E-3</c:v>
                </c:pt>
                <c:pt idx="146">
                  <c:v>2.7954039620752269E-3</c:v>
                </c:pt>
                <c:pt idx="147">
                  <c:v>2.789774322737415E-3</c:v>
                </c:pt>
                <c:pt idx="148">
                  <c:v>2.7658878136573861E-3</c:v>
                </c:pt>
                <c:pt idx="149">
                  <c:v>2.7682972751019719E-3</c:v>
                </c:pt>
                <c:pt idx="150">
                  <c:v>2.7365967313262018E-3</c:v>
                </c:pt>
                <c:pt idx="151">
                  <c:v>2.7475704609170037E-3</c:v>
                </c:pt>
                <c:pt idx="152">
                  <c:v>2.7073248043087972E-3</c:v>
                </c:pt>
                <c:pt idx="153">
                  <c:v>2.726789781897665E-3</c:v>
                </c:pt>
                <c:pt idx="154">
                  <c:v>2.6787046964233951E-3</c:v>
                </c:pt>
                <c:pt idx="155">
                  <c:v>2.7061036486610845E-3</c:v>
                </c:pt>
                <c:pt idx="156">
                  <c:v>2.6502784810311653E-3</c:v>
                </c:pt>
                <c:pt idx="157">
                  <c:v>2.6850774559381563E-3</c:v>
                </c:pt>
                <c:pt idx="158">
                  <c:v>2.6219206806228357E-3</c:v>
                </c:pt>
                <c:pt idx="159">
                  <c:v>2.6637418855095518E-3</c:v>
                </c:pt>
                <c:pt idx="160">
                  <c:v>2.5936646557376264E-3</c:v>
                </c:pt>
                <c:pt idx="161">
                  <c:v>2.6421251962673864E-3</c:v>
                </c:pt>
                <c:pt idx="162">
                  <c:v>2.5655938052189242E-3</c:v>
                </c:pt>
                <c:pt idx="163">
                  <c:v>2.6204501311681838E-3</c:v>
                </c:pt>
                <c:pt idx="164">
                  <c:v>2.5378190933640354E-3</c:v>
                </c:pt>
                <c:pt idx="165">
                  <c:v>2.5986772278194792E-3</c:v>
                </c:pt>
                <c:pt idx="166">
                  <c:v>2.5104260838020309E-3</c:v>
                </c:pt>
                <c:pt idx="167">
                  <c:v>2.576685185598393E-3</c:v>
                </c:pt>
                <c:pt idx="168">
                  <c:v>2.4832346025380758E-3</c:v>
                </c:pt>
                <c:pt idx="169">
                  <c:v>2.5574234121332751E-3</c:v>
                </c:pt>
                <c:pt idx="170">
                  <c:v>2.4579168329648127E-3</c:v>
                </c:pt>
                <c:pt idx="171">
                  <c:v>2.5382111413598807E-3</c:v>
                </c:pt>
                <c:pt idx="172">
                  <c:v>2.43357838719227E-3</c:v>
                </c:pt>
                <c:pt idx="173">
                  <c:v>2.5193399187752874E-3</c:v>
                </c:pt>
                <c:pt idx="174">
                  <c:v>2.4099328971018963E-3</c:v>
                </c:pt>
                <c:pt idx="175">
                  <c:v>2.500311156540036E-3</c:v>
                </c:pt>
                <c:pt idx="176">
                  <c:v>2.3907377011127551E-3</c:v>
                </c:pt>
                <c:pt idx="177">
                  <c:v>2.481053316493842E-3</c:v>
                </c:pt>
                <c:pt idx="178">
                  <c:v>2.3715130155270714E-3</c:v>
                </c:pt>
                <c:pt idx="179">
                  <c:v>2.4615689490108394E-3</c:v>
                </c:pt>
                <c:pt idx="180">
                  <c:v>2.352204737672281E-3</c:v>
                </c:pt>
                <c:pt idx="181">
                  <c:v>2.442310496764577E-3</c:v>
                </c:pt>
                <c:pt idx="182">
                  <c:v>2.3328680916492317E-3</c:v>
                </c:pt>
                <c:pt idx="183">
                  <c:v>2.4227989638081482E-3</c:v>
                </c:pt>
                <c:pt idx="184">
                  <c:v>2.3134811955269896E-3</c:v>
                </c:pt>
                <c:pt idx="185">
                  <c:v>2.4030841205675557E-3</c:v>
                </c:pt>
                <c:pt idx="186">
                  <c:v>2.294330544152956E-3</c:v>
                </c:pt>
                <c:pt idx="187">
                  <c:v>2.3836745537231252E-3</c:v>
                </c:pt>
                <c:pt idx="188">
                  <c:v>2.2753463725599943E-3</c:v>
                </c:pt>
                <c:pt idx="189">
                  <c:v>2.3641625028574254E-3</c:v>
                </c:pt>
                <c:pt idx="190">
                  <c:v>2.2565654011206249E-3</c:v>
                </c:pt>
                <c:pt idx="191">
                  <c:v>2.3444586139795831E-3</c:v>
                </c:pt>
                <c:pt idx="192">
                  <c:v>2.2389541418714742E-3</c:v>
                </c:pt>
                <c:pt idx="193">
                  <c:v>2.3245805909049011E-3</c:v>
                </c:pt>
                <c:pt idx="194">
                  <c:v>2.2221478179051957E-3</c:v>
                </c:pt>
                <c:pt idx="195">
                  <c:v>2.3045457209125431E-3</c:v>
                </c:pt>
                <c:pt idx="196">
                  <c:v>2.2053283664895673E-3</c:v>
                </c:pt>
                <c:pt idx="197">
                  <c:v>2.2843708615383207E-3</c:v>
                </c:pt>
                <c:pt idx="198">
                  <c:v>2.188770294166531E-3</c:v>
                </c:pt>
                <c:pt idx="199">
                  <c:v>2.2641707889317075E-3</c:v>
                </c:pt>
                <c:pt idx="200">
                  <c:v>2.1722359367188915E-3</c:v>
                </c:pt>
                <c:pt idx="201">
                  <c:v>2.2439535275751155E-3</c:v>
                </c:pt>
                <c:pt idx="202">
                  <c:v>2.1558044527925091E-3</c:v>
                </c:pt>
                <c:pt idx="203">
                  <c:v>2.2238029689347627E-3</c:v>
                </c:pt>
                <c:pt idx="204">
                  <c:v>2.139631458428326E-3</c:v>
                </c:pt>
                <c:pt idx="205">
                  <c:v>2.2035693196524875E-3</c:v>
                </c:pt>
                <c:pt idx="206">
                  <c:v>2.1234861354102463E-3</c:v>
                </c:pt>
                <c:pt idx="207">
                  <c:v>2.1832750714914084E-3</c:v>
                </c:pt>
                <c:pt idx="208">
                  <c:v>2.1078783421213387E-3</c:v>
                </c:pt>
                <c:pt idx="209">
                  <c:v>2.1630813006954241E-3</c:v>
                </c:pt>
                <c:pt idx="210">
                  <c:v>2.0949043199660622E-3</c:v>
                </c:pt>
                <c:pt idx="211">
                  <c:v>2.145246874661666E-3</c:v>
                </c:pt>
                <c:pt idx="212">
                  <c:v>2.0826239331128704E-3</c:v>
                </c:pt>
                <c:pt idx="213">
                  <c:v>2.1281048217911547E-3</c:v>
                </c:pt>
                <c:pt idx="214">
                  <c:v>2.0704099304893475E-3</c:v>
                </c:pt>
                <c:pt idx="215">
                  <c:v>2.110853352117914E-3</c:v>
                </c:pt>
                <c:pt idx="216">
                  <c:v>2.0580264260363634E-3</c:v>
                </c:pt>
                <c:pt idx="217">
                  <c:v>2.0935619426971641E-3</c:v>
                </c:pt>
                <c:pt idx="218">
                  <c:v>2.0454899731099374E-3</c:v>
                </c:pt>
                <c:pt idx="219">
                  <c:v>2.0768261905068641E-3</c:v>
                </c:pt>
                <c:pt idx="220">
                  <c:v>2.0330692026835351E-3</c:v>
                </c:pt>
                <c:pt idx="221">
                  <c:v>2.0608287961092486E-3</c:v>
                </c:pt>
                <c:pt idx="222">
                  <c:v>2.0207418607309791E-3</c:v>
                </c:pt>
                <c:pt idx="223">
                  <c:v>2.0446741030220039E-3</c:v>
                </c:pt>
                <c:pt idx="224">
                  <c:v>2.0083158328318973E-3</c:v>
                </c:pt>
                <c:pt idx="225">
                  <c:v>2.0283805492891105E-3</c:v>
                </c:pt>
                <c:pt idx="226">
                  <c:v>1.9957834534789498E-3</c:v>
                </c:pt>
                <c:pt idx="227">
                  <c:v>2.011965773712987E-3</c:v>
                </c:pt>
                <c:pt idx="228">
                  <c:v>1.9831507374998836E-3</c:v>
                </c:pt>
                <c:pt idx="229">
                  <c:v>1.9954466728400178E-3</c:v>
                </c:pt>
                <c:pt idx="230">
                  <c:v>1.9704366733463985E-3</c:v>
                </c:pt>
                <c:pt idx="231">
                  <c:v>1.9790541747415347E-3</c:v>
                </c:pt>
                <c:pt idx="232">
                  <c:v>1.9591393510456356E-3</c:v>
                </c:pt>
                <c:pt idx="233">
                  <c:v>1.9632948904355629E-3</c:v>
                </c:pt>
                <c:pt idx="234">
                  <c:v>1.94770514468523E-3</c:v>
                </c:pt>
                <c:pt idx="235">
                  <c:v>1.9476195343024472E-3</c:v>
                </c:pt>
                <c:pt idx="236">
                  <c:v>1.9362604670067896E-3</c:v>
                </c:pt>
                <c:pt idx="237">
                  <c:v>1.9320762141799008E-3</c:v>
                </c:pt>
                <c:pt idx="238">
                  <c:v>1.9247640898427676E-3</c:v>
                </c:pt>
                <c:pt idx="239">
                  <c:v>1.9172602912149728E-3</c:v>
                </c:pt>
                <c:pt idx="240">
                  <c:v>1.9132005723001555E-3</c:v>
                </c:pt>
                <c:pt idx="241">
                  <c:v>1.9024286528992462E-3</c:v>
                </c:pt>
                <c:pt idx="242">
                  <c:v>1.9016045352806543E-3</c:v>
                </c:pt>
                <c:pt idx="243">
                  <c:v>1.8876720150817761E-3</c:v>
                </c:pt>
                <c:pt idx="244">
                  <c:v>1.8899331991804047E-3</c:v>
                </c:pt>
                <c:pt idx="245">
                  <c:v>1.8733139857918246E-3</c:v>
                </c:pt>
                <c:pt idx="246">
                  <c:v>1.878163380792941E-3</c:v>
                </c:pt>
                <c:pt idx="247">
                  <c:v>1.8591373693777058E-3</c:v>
                </c:pt>
                <c:pt idx="248">
                  <c:v>1.8664591567567612E-3</c:v>
                </c:pt>
                <c:pt idx="249">
                  <c:v>1.8449235179467394E-3</c:v>
                </c:pt>
                <c:pt idx="250">
                  <c:v>1.8551254756058455E-3</c:v>
                </c:pt>
                <c:pt idx="251">
                  <c:v>1.8327205931090162E-3</c:v>
                </c:pt>
                <c:pt idx="252">
                  <c:v>1.8452790020440091E-3</c:v>
                </c:pt>
                <c:pt idx="253">
                  <c:v>1.8206265160465307E-3</c:v>
                </c:pt>
                <c:pt idx="254">
                  <c:v>1.835807585470306E-3</c:v>
                </c:pt>
                <c:pt idx="255">
                  <c:v>1.8086796259595417E-3</c:v>
                </c:pt>
                <c:pt idx="256">
                  <c:v>1.8261547881746054E-3</c:v>
                </c:pt>
                <c:pt idx="257">
                  <c:v>1.79671058372044E-3</c:v>
                </c:pt>
                <c:pt idx="258">
                  <c:v>1.8162965855488267E-3</c:v>
                </c:pt>
                <c:pt idx="259">
                  <c:v>1.784644399711155E-3</c:v>
                </c:pt>
                <c:pt idx="260">
                  <c:v>1.8062429094349852E-3</c:v>
                </c:pt>
                <c:pt idx="261">
                  <c:v>1.772495587342604E-3</c:v>
                </c:pt>
                <c:pt idx="262">
                  <c:v>1.7960733033195453E-3</c:v>
                </c:pt>
                <c:pt idx="263">
                  <c:v>1.7602779794572143E-3</c:v>
                </c:pt>
                <c:pt idx="264">
                  <c:v>1.7858994826642771E-3</c:v>
                </c:pt>
                <c:pt idx="265">
                  <c:v>1.7480046125886162E-3</c:v>
                </c:pt>
                <c:pt idx="266">
                  <c:v>1.7755539630535111E-3</c:v>
                </c:pt>
                <c:pt idx="267">
                  <c:v>1.7356877325713782E-3</c:v>
                </c:pt>
                <c:pt idx="268">
                  <c:v>1.7652512645653928E-3</c:v>
                </c:pt>
                <c:pt idx="269">
                  <c:v>1.7234052416270629E-3</c:v>
                </c:pt>
                <c:pt idx="270">
                  <c:v>1.7548169825705173E-3</c:v>
                </c:pt>
                <c:pt idx="271">
                  <c:v>1.7111954244395378E-3</c:v>
                </c:pt>
                <c:pt idx="272">
                  <c:v>1.7444242521733599E-3</c:v>
                </c:pt>
                <c:pt idx="273">
                  <c:v>1.6989712300770066E-3</c:v>
                </c:pt>
                <c:pt idx="274">
                  <c:v>1.7346904419230924E-3</c:v>
                </c:pt>
                <c:pt idx="275">
                  <c:v>1.6867471128954037E-3</c:v>
                </c:pt>
                <c:pt idx="276">
                  <c:v>1.7251648917522289E-3</c:v>
                </c:pt>
                <c:pt idx="277">
                  <c:v>1.6745679485179465E-3</c:v>
                </c:pt>
                <c:pt idx="278">
                  <c:v>1.7155424523078722E-3</c:v>
                </c:pt>
                <c:pt idx="279">
                  <c:v>1.6624869056052205E-3</c:v>
                </c:pt>
                <c:pt idx="280">
                  <c:v>1.7062266058758269E-3</c:v>
                </c:pt>
                <c:pt idx="281">
                  <c:v>1.6504261527447994E-3</c:v>
                </c:pt>
                <c:pt idx="282">
                  <c:v>1.6969256093375407E-3</c:v>
                </c:pt>
                <c:pt idx="283">
                  <c:v>1.6384802889728434E-3</c:v>
                </c:pt>
                <c:pt idx="284">
                  <c:v>1.6875517431014231E-3</c:v>
                </c:pt>
                <c:pt idx="285">
                  <c:v>1.6267621934211718E-3</c:v>
                </c:pt>
                <c:pt idx="286">
                  <c:v>1.6795603807988613E-3</c:v>
                </c:pt>
                <c:pt idx="287">
                  <c:v>1.6151881765988918E-3</c:v>
                </c:pt>
                <c:pt idx="288">
                  <c:v>1.6716383803387913E-3</c:v>
                </c:pt>
                <c:pt idx="289">
                  <c:v>1.6052264439174735E-3</c:v>
                </c:pt>
                <c:pt idx="290">
                  <c:v>1.6637406077748551E-3</c:v>
                </c:pt>
                <c:pt idx="291">
                  <c:v>1.5960598651805213E-3</c:v>
                </c:pt>
                <c:pt idx="292">
                  <c:v>1.6557007740320984E-3</c:v>
                </c:pt>
                <c:pt idx="293">
                  <c:v>1.5868267634591149E-3</c:v>
                </c:pt>
                <c:pt idx="294">
                  <c:v>1.6474635951055916E-3</c:v>
                </c:pt>
                <c:pt idx="295">
                  <c:v>1.578469552910633E-3</c:v>
                </c:pt>
                <c:pt idx="296">
                  <c:v>1.6390399315628912E-3</c:v>
                </c:pt>
                <c:pt idx="297">
                  <c:v>1.5701266332417418E-3</c:v>
                </c:pt>
                <c:pt idx="298">
                  <c:v>1.6304467915233545E-3</c:v>
                </c:pt>
                <c:pt idx="299">
                  <c:v>1.5617579010598348E-3</c:v>
                </c:pt>
                <c:pt idx="300">
                  <c:v>1.6216833143243292E-3</c:v>
                </c:pt>
                <c:pt idx="301">
                  <c:v>1.553458604128366E-3</c:v>
                </c:pt>
                <c:pt idx="302">
                  <c:v>1.6128272164888102E-3</c:v>
                </c:pt>
                <c:pt idx="303">
                  <c:v>1.5450991344767573E-3</c:v>
                </c:pt>
                <c:pt idx="304">
                  <c:v>1.6039050336580374E-3</c:v>
                </c:pt>
                <c:pt idx="305">
                  <c:v>1.5366866988948402E-3</c:v>
                </c:pt>
                <c:pt idx="306">
                  <c:v>1.5948376296091027E-3</c:v>
                </c:pt>
                <c:pt idx="307">
                  <c:v>1.5282279668831222E-3</c:v>
                </c:pt>
                <c:pt idx="308">
                  <c:v>1.5856366265634136E-3</c:v>
                </c:pt>
                <c:pt idx="309">
                  <c:v>1.5197744034392002E-3</c:v>
                </c:pt>
                <c:pt idx="310">
                  <c:v>1.5763190315212228E-3</c:v>
                </c:pt>
                <c:pt idx="311">
                  <c:v>1.5112906786622915E-3</c:v>
                </c:pt>
                <c:pt idx="312">
                  <c:v>1.5668769805987637E-3</c:v>
                </c:pt>
                <c:pt idx="313">
                  <c:v>1.5028949305513351E-3</c:v>
                </c:pt>
                <c:pt idx="314">
                  <c:v>1.5574104812472456E-3</c:v>
                </c:pt>
                <c:pt idx="315">
                  <c:v>1.4946046438986116E-3</c:v>
                </c:pt>
                <c:pt idx="316">
                  <c:v>1.5478652059410791E-3</c:v>
                </c:pt>
                <c:pt idx="317">
                  <c:v>1.4863805335654234E-3</c:v>
                </c:pt>
                <c:pt idx="318">
                  <c:v>1.5383816634280123E-3</c:v>
                </c:pt>
                <c:pt idx="319">
                  <c:v>1.4785868401290259E-3</c:v>
                </c:pt>
                <c:pt idx="320">
                  <c:v>1.5288931183974341E-3</c:v>
                </c:pt>
                <c:pt idx="321">
                  <c:v>1.4710068482930438E-3</c:v>
                </c:pt>
                <c:pt idx="322">
                  <c:v>1.5193186638313705E-3</c:v>
                </c:pt>
                <c:pt idx="323">
                  <c:v>1.4634003943001517E-3</c:v>
                </c:pt>
                <c:pt idx="324">
                  <c:v>1.5096539501460171E-3</c:v>
                </c:pt>
                <c:pt idx="325">
                  <c:v>1.4558670101401106E-3</c:v>
                </c:pt>
                <c:pt idx="326">
                  <c:v>1.4999055309345977E-3</c:v>
                </c:pt>
                <c:pt idx="327">
                  <c:v>1.4484375091825541E-3</c:v>
                </c:pt>
                <c:pt idx="328">
                  <c:v>1.4901896134809078E-3</c:v>
                </c:pt>
                <c:pt idx="329">
                  <c:v>1.442261765365771E-3</c:v>
                </c:pt>
                <c:pt idx="330">
                  <c:v>1.4806522883805684E-3</c:v>
                </c:pt>
                <c:pt idx="331">
                  <c:v>1.4368509418094533E-3</c:v>
                </c:pt>
                <c:pt idx="332">
                  <c:v>1.4712016715350273E-3</c:v>
                </c:pt>
                <c:pt idx="333">
                  <c:v>1.4313384517947725E-3</c:v>
                </c:pt>
                <c:pt idx="334">
                  <c:v>1.4624428457743477E-3</c:v>
                </c:pt>
                <c:pt idx="335">
                  <c:v>1.4261745660846259E-3</c:v>
                </c:pt>
                <c:pt idx="336">
                  <c:v>1.4542184201111752E-3</c:v>
                </c:pt>
                <c:pt idx="337">
                  <c:v>1.4209034151697608E-3</c:v>
                </c:pt>
                <c:pt idx="338">
                  <c:v>1.4458973255582208E-3</c:v>
                </c:pt>
                <c:pt idx="339">
                  <c:v>1.4155335504835165E-3</c:v>
                </c:pt>
                <c:pt idx="340">
                  <c:v>1.4374809829789115E-3</c:v>
                </c:pt>
                <c:pt idx="341">
                  <c:v>1.4100794365923264E-3</c:v>
                </c:pt>
                <c:pt idx="342">
                  <c:v>1.4289687878772384E-3</c:v>
                </c:pt>
                <c:pt idx="343">
                  <c:v>1.4045396314248393E-3</c:v>
                </c:pt>
                <c:pt idx="344">
                  <c:v>1.4203681066735641E-3</c:v>
                </c:pt>
                <c:pt idx="345">
                  <c:v>1.3989242320437967E-3</c:v>
                </c:pt>
                <c:pt idx="346">
                  <c:v>1.4116955151894928E-3</c:v>
                </c:pt>
                <c:pt idx="347">
                  <c:v>1.3932707724624294E-3</c:v>
                </c:pt>
                <c:pt idx="348">
                  <c:v>1.4030458441833815E-3</c:v>
                </c:pt>
                <c:pt idx="349">
                  <c:v>1.3875660093720654E-3</c:v>
                </c:pt>
                <c:pt idx="350">
                  <c:v>1.3944309571822799E-3</c:v>
                </c:pt>
                <c:pt idx="351">
                  <c:v>1.3819418252936089E-3</c:v>
                </c:pt>
                <c:pt idx="352">
                  <c:v>1.3858154312043069E-3</c:v>
                </c:pt>
                <c:pt idx="353">
                  <c:v>1.3763189248674479E-3</c:v>
                </c:pt>
                <c:pt idx="354">
                  <c:v>1.3771963320916569E-3</c:v>
                </c:pt>
                <c:pt idx="355">
                  <c:v>1.3706091378313801E-3</c:v>
                </c:pt>
                <c:pt idx="356">
                  <c:v>1.3687445776522367E-3</c:v>
                </c:pt>
                <c:pt idx="357">
                  <c:v>1.3648156184746796E-3</c:v>
                </c:pt>
                <c:pt idx="358">
                  <c:v>1.3608210863651493E-3</c:v>
                </c:pt>
                <c:pt idx="359">
                  <c:v>1.3589616839873031E-3</c:v>
                </c:pt>
                <c:pt idx="360">
                  <c:v>1.3528430635467714E-3</c:v>
                </c:pt>
                <c:pt idx="361">
                  <c:v>1.3531442091956336E-3</c:v>
                </c:pt>
                <c:pt idx="362">
                  <c:v>1.344910440204572E-3</c:v>
                </c:pt>
                <c:pt idx="363">
                  <c:v>1.3476474910767422E-3</c:v>
                </c:pt>
                <c:pt idx="364">
                  <c:v>1.3370500011529174E-3</c:v>
                </c:pt>
                <c:pt idx="365">
                  <c:v>1.3424767967009643E-3</c:v>
                </c:pt>
                <c:pt idx="366">
                  <c:v>1.3294561471308697E-3</c:v>
                </c:pt>
                <c:pt idx="367">
                  <c:v>1.3372904702109167E-3</c:v>
                </c:pt>
                <c:pt idx="368">
                  <c:v>1.3219437060403294E-3</c:v>
                </c:pt>
                <c:pt idx="369">
                  <c:v>1.3320084008388022E-3</c:v>
                </c:pt>
                <c:pt idx="370">
                  <c:v>1.3143923738265784E-3</c:v>
                </c:pt>
                <c:pt idx="371">
                  <c:v>1.3267141584289988E-3</c:v>
                </c:pt>
                <c:pt idx="372">
                  <c:v>1.3068015759767349E-3</c:v>
                </c:pt>
                <c:pt idx="373">
                  <c:v>1.3215004931481644E-3</c:v>
                </c:pt>
                <c:pt idx="374">
                  <c:v>1.2991765080450079E-3</c:v>
                </c:pt>
                <c:pt idx="375">
                  <c:v>1.3161931846337183E-3</c:v>
                </c:pt>
                <c:pt idx="376">
                  <c:v>1.2915221641751629E-3</c:v>
                </c:pt>
                <c:pt idx="377">
                  <c:v>1.3108036944053936E-3</c:v>
                </c:pt>
                <c:pt idx="378">
                  <c:v>1.2838449463039581E-3</c:v>
                </c:pt>
                <c:pt idx="379">
                  <c:v>1.3062283337781366E-3</c:v>
                </c:pt>
                <c:pt idx="380">
                  <c:v>1.2771850771837734E-3</c:v>
                </c:pt>
                <c:pt idx="381">
                  <c:v>1.30152421210461E-3</c:v>
                </c:pt>
                <c:pt idx="382">
                  <c:v>1.2706676989111543E-3</c:v>
                </c:pt>
                <c:pt idx="383">
                  <c:v>1.2967382518827009E-3</c:v>
                </c:pt>
                <c:pt idx="384">
                  <c:v>1.2643602443915825E-3</c:v>
                </c:pt>
                <c:pt idx="385">
                  <c:v>1.2919337348762383E-3</c:v>
                </c:pt>
                <c:pt idx="386">
                  <c:v>1.2586198377491087E-3</c:v>
                </c:pt>
                <c:pt idx="387">
                  <c:v>1.287056691305466E-3</c:v>
                </c:pt>
                <c:pt idx="388">
                  <c:v>1.2528244520098042E-3</c:v>
                </c:pt>
                <c:pt idx="389">
                  <c:v>1.2820661668335731E-3</c:v>
                </c:pt>
                <c:pt idx="390">
                  <c:v>1.2469897043914102E-3</c:v>
                </c:pt>
                <c:pt idx="391">
                  <c:v>1.2769680033688502E-3</c:v>
                </c:pt>
                <c:pt idx="392">
                  <c:v>1.2411276540067462E-3</c:v>
                </c:pt>
                <c:pt idx="393">
                  <c:v>1.2717924268379477E-3</c:v>
                </c:pt>
                <c:pt idx="394">
                  <c:v>1.2353188225500134E-3</c:v>
                </c:pt>
                <c:pt idx="395">
                  <c:v>1.2665060747707457E-3</c:v>
                </c:pt>
                <c:pt idx="396">
                  <c:v>1.2294656037319385E-3</c:v>
                </c:pt>
                <c:pt idx="397">
                  <c:v>1.2612566549226045E-3</c:v>
                </c:pt>
                <c:pt idx="398">
                  <c:v>1.2235979140555742E-3</c:v>
                </c:pt>
                <c:pt idx="399">
                  <c:v>1.2560483593979654E-3</c:v>
                </c:pt>
                <c:pt idx="400">
                  <c:v>1.2177767731138545E-3</c:v>
                </c:pt>
                <c:pt idx="401">
                  <c:v>1.2508915987687885E-3</c:v>
                </c:pt>
                <c:pt idx="402">
                  <c:v>1.2119258918588116E-3</c:v>
                </c:pt>
                <c:pt idx="403">
                  <c:v>1.245677932720568E-3</c:v>
                </c:pt>
                <c:pt idx="404">
                  <c:v>1.2060419182606807E-3</c:v>
                </c:pt>
                <c:pt idx="405">
                  <c:v>1.2403644560077254E-3</c:v>
                </c:pt>
                <c:pt idx="406">
                  <c:v>1.2001311672005244E-3</c:v>
                </c:pt>
                <c:pt idx="407">
                  <c:v>1.2349518746042065E-3</c:v>
                </c:pt>
                <c:pt idx="408">
                  <c:v>1.194206290087152E-3</c:v>
                </c:pt>
                <c:pt idx="409">
                  <c:v>1.2294494401388079E-3</c:v>
                </c:pt>
                <c:pt idx="410">
                  <c:v>1.1882633950275334E-3</c:v>
                </c:pt>
                <c:pt idx="411">
                  <c:v>1.2239948183996319E-3</c:v>
                </c:pt>
                <c:pt idx="412">
                  <c:v>1.1823025028867562E-3</c:v>
                </c:pt>
                <c:pt idx="413">
                  <c:v>1.2186016848119152E-3</c:v>
                </c:pt>
                <c:pt idx="414">
                  <c:v>1.1763885461153478E-3</c:v>
                </c:pt>
                <c:pt idx="415">
                  <c:v>1.213162178318683E-3</c:v>
                </c:pt>
                <c:pt idx="416">
                  <c:v>1.1706068972294759E-3</c:v>
                </c:pt>
                <c:pt idx="417">
                  <c:v>1.2076695530645054E-3</c:v>
                </c:pt>
                <c:pt idx="418">
                  <c:v>1.1648120494225367E-3</c:v>
                </c:pt>
                <c:pt idx="419">
                  <c:v>1.2023708439059533E-3</c:v>
                </c:pt>
                <c:pt idx="420">
                  <c:v>1.1591566348325699E-3</c:v>
                </c:pt>
                <c:pt idx="421">
                  <c:v>1.197301646648441E-3</c:v>
                </c:pt>
                <c:pt idx="422">
                  <c:v>1.1535370962434399E-3</c:v>
                </c:pt>
                <c:pt idx="423">
                  <c:v>1.1922487363307255E-3</c:v>
                </c:pt>
                <c:pt idx="424">
                  <c:v>1.1487705374157997E-3</c:v>
                </c:pt>
                <c:pt idx="425">
                  <c:v>1.1877334473915369E-3</c:v>
                </c:pt>
                <c:pt idx="426">
                  <c:v>1.1441328529304684E-3</c:v>
                </c:pt>
                <c:pt idx="427">
                  <c:v>1.1831675314226686E-3</c:v>
                </c:pt>
                <c:pt idx="428">
                  <c:v>1.1394571789882235E-3</c:v>
                </c:pt>
                <c:pt idx="429">
                  <c:v>1.1785167461901835E-3</c:v>
                </c:pt>
                <c:pt idx="430">
                  <c:v>1.1347644226535891E-3</c:v>
                </c:pt>
                <c:pt idx="431">
                  <c:v>1.17378312349814E-3</c:v>
                </c:pt>
                <c:pt idx="432">
                  <c:v>1.130088062140544E-3</c:v>
                </c:pt>
                <c:pt idx="433">
                  <c:v>1.1690411055944594E-3</c:v>
                </c:pt>
                <c:pt idx="434">
                  <c:v>1.1253945375617747E-3</c:v>
                </c:pt>
                <c:pt idx="435">
                  <c:v>1.1643226362902936E-3</c:v>
                </c:pt>
                <c:pt idx="436">
                  <c:v>1.1206845905284979E-3</c:v>
                </c:pt>
                <c:pt idx="437">
                  <c:v>1.1596363555845812E-3</c:v>
                </c:pt>
                <c:pt idx="438">
                  <c:v>1.1162618189874962E-3</c:v>
                </c:pt>
                <c:pt idx="439">
                  <c:v>1.154880992324081E-3</c:v>
                </c:pt>
                <c:pt idx="440">
                  <c:v>1.1120468165142228E-3</c:v>
                </c:pt>
                <c:pt idx="441">
                  <c:v>1.1501612816431361E-3</c:v>
                </c:pt>
                <c:pt idx="442">
                  <c:v>1.1080046743590088E-3</c:v>
                </c:pt>
                <c:pt idx="443">
                  <c:v>1.1454887692519122E-3</c:v>
                </c:pt>
                <c:pt idx="444">
                  <c:v>1.1039249265696327E-3</c:v>
                </c:pt>
                <c:pt idx="445">
                  <c:v>1.140724381452074E-3</c:v>
                </c:pt>
                <c:pt idx="446">
                  <c:v>1.0998457266175876E-3</c:v>
                </c:pt>
                <c:pt idx="447">
                  <c:v>1.1358716770750732E-3</c:v>
                </c:pt>
                <c:pt idx="448">
                  <c:v>1.0957488192353537E-3</c:v>
                </c:pt>
                <c:pt idx="449">
                  <c:v>1.1309341728811262E-3</c:v>
                </c:pt>
                <c:pt idx="450">
                  <c:v>1.0916706047279234E-3</c:v>
                </c:pt>
              </c:numCache>
            </c:numRef>
          </c:yVal>
          <c:smooth val="0"/>
          <c:extLst>
            <c:ext xmlns:c16="http://schemas.microsoft.com/office/drawing/2014/chart" uri="{C3380CC4-5D6E-409C-BE32-E72D297353CC}">
              <c16:uniqueId val="{00000000-DAF7-2D4A-886B-9246D12449B8}"/>
            </c:ext>
          </c:extLst>
        </c:ser>
        <c:dLbls>
          <c:showLegendKey val="0"/>
          <c:showVal val="0"/>
          <c:showCatName val="0"/>
          <c:showSerName val="0"/>
          <c:showPercent val="0"/>
          <c:showBubbleSize val="0"/>
        </c:dLbls>
        <c:axId val="1906408303"/>
        <c:axId val="1"/>
      </c:scatterChart>
      <c:valAx>
        <c:axId val="1906408303"/>
        <c:scaling>
          <c:orientation val="minMax"/>
        </c:scaling>
        <c:delete val="0"/>
        <c:axPos val="b"/>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宋体"/>
                <a:ea typeface="宋体"/>
                <a:cs typeface="宋体"/>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1906408303"/>
        <c:crosses val="autoZero"/>
        <c:crossBetween val="midCat"/>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lineChart>
        <c:grouping val="standard"/>
        <c:varyColors val="0"/>
        <c:ser>
          <c:idx val="0"/>
          <c:order val="0"/>
          <c:tx>
            <c:strRef>
              <c:f>'American LR'!$F$1</c:f>
              <c:strCache>
                <c:ptCount val="1"/>
                <c:pt idx="0">
                  <c:v>Error LR</c:v>
                </c:pt>
              </c:strCache>
            </c:strRef>
          </c:tx>
          <c:spPr>
            <a:ln w="25400">
              <a:solidFill>
                <a:srgbClr val="666699"/>
              </a:solidFill>
              <a:prstDash val="solid"/>
            </a:ln>
          </c:spPr>
          <c:marker>
            <c:symbol val="none"/>
          </c:marker>
          <c:cat>
            <c:numRef>
              <c:f>'American LR'!$D$2:$D$452</c:f>
              <c:numCache>
                <c:formatCode>General</c:formatCode>
                <c:ptCount val="451"/>
                <c:pt idx="0">
                  <c:v>50</c:v>
                </c:pt>
                <c:pt idx="1">
                  <c:v>51</c:v>
                </c:pt>
                <c:pt idx="2">
                  <c:v>52</c:v>
                </c:pt>
                <c:pt idx="3">
                  <c:v>53</c:v>
                </c:pt>
                <c:pt idx="4">
                  <c:v>54</c:v>
                </c:pt>
                <c:pt idx="5">
                  <c:v>55</c:v>
                </c:pt>
                <c:pt idx="6">
                  <c:v>56</c:v>
                </c:pt>
                <c:pt idx="7">
                  <c:v>57</c:v>
                </c:pt>
                <c:pt idx="8">
                  <c:v>58</c:v>
                </c:pt>
                <c:pt idx="9">
                  <c:v>59</c:v>
                </c:pt>
                <c:pt idx="10">
                  <c:v>60</c:v>
                </c:pt>
                <c:pt idx="11">
                  <c:v>61</c:v>
                </c:pt>
                <c:pt idx="12">
                  <c:v>62</c:v>
                </c:pt>
                <c:pt idx="13">
                  <c:v>63</c:v>
                </c:pt>
                <c:pt idx="14">
                  <c:v>64</c:v>
                </c:pt>
                <c:pt idx="15">
                  <c:v>65</c:v>
                </c:pt>
                <c:pt idx="16">
                  <c:v>66</c:v>
                </c:pt>
                <c:pt idx="17">
                  <c:v>67</c:v>
                </c:pt>
                <c:pt idx="18">
                  <c:v>68</c:v>
                </c:pt>
                <c:pt idx="19">
                  <c:v>69</c:v>
                </c:pt>
                <c:pt idx="20">
                  <c:v>70</c:v>
                </c:pt>
                <c:pt idx="21">
                  <c:v>71</c:v>
                </c:pt>
                <c:pt idx="22">
                  <c:v>72</c:v>
                </c:pt>
                <c:pt idx="23">
                  <c:v>73</c:v>
                </c:pt>
                <c:pt idx="24">
                  <c:v>74</c:v>
                </c:pt>
                <c:pt idx="25">
                  <c:v>75</c:v>
                </c:pt>
                <c:pt idx="26">
                  <c:v>76</c:v>
                </c:pt>
                <c:pt idx="27">
                  <c:v>77</c:v>
                </c:pt>
                <c:pt idx="28">
                  <c:v>78</c:v>
                </c:pt>
                <c:pt idx="29">
                  <c:v>79</c:v>
                </c:pt>
                <c:pt idx="30">
                  <c:v>80</c:v>
                </c:pt>
                <c:pt idx="31">
                  <c:v>81</c:v>
                </c:pt>
                <c:pt idx="32">
                  <c:v>82</c:v>
                </c:pt>
                <c:pt idx="33">
                  <c:v>83</c:v>
                </c:pt>
                <c:pt idx="34">
                  <c:v>84</c:v>
                </c:pt>
                <c:pt idx="35">
                  <c:v>85</c:v>
                </c:pt>
                <c:pt idx="36">
                  <c:v>86</c:v>
                </c:pt>
                <c:pt idx="37">
                  <c:v>87</c:v>
                </c:pt>
                <c:pt idx="38">
                  <c:v>88</c:v>
                </c:pt>
                <c:pt idx="39">
                  <c:v>89</c:v>
                </c:pt>
                <c:pt idx="40">
                  <c:v>90</c:v>
                </c:pt>
                <c:pt idx="41">
                  <c:v>91</c:v>
                </c:pt>
                <c:pt idx="42">
                  <c:v>92</c:v>
                </c:pt>
                <c:pt idx="43">
                  <c:v>93</c:v>
                </c:pt>
                <c:pt idx="44">
                  <c:v>94</c:v>
                </c:pt>
                <c:pt idx="45">
                  <c:v>95</c:v>
                </c:pt>
                <c:pt idx="46">
                  <c:v>96</c:v>
                </c:pt>
                <c:pt idx="47">
                  <c:v>97</c:v>
                </c:pt>
                <c:pt idx="48">
                  <c:v>98</c:v>
                </c:pt>
                <c:pt idx="49">
                  <c:v>99</c:v>
                </c:pt>
                <c:pt idx="50">
                  <c:v>100</c:v>
                </c:pt>
                <c:pt idx="51">
                  <c:v>101</c:v>
                </c:pt>
                <c:pt idx="52">
                  <c:v>102</c:v>
                </c:pt>
                <c:pt idx="53">
                  <c:v>103</c:v>
                </c:pt>
                <c:pt idx="54">
                  <c:v>104</c:v>
                </c:pt>
                <c:pt idx="55">
                  <c:v>105</c:v>
                </c:pt>
                <c:pt idx="56">
                  <c:v>106</c:v>
                </c:pt>
                <c:pt idx="57">
                  <c:v>107</c:v>
                </c:pt>
                <c:pt idx="58">
                  <c:v>108</c:v>
                </c:pt>
                <c:pt idx="59">
                  <c:v>109</c:v>
                </c:pt>
                <c:pt idx="60">
                  <c:v>110</c:v>
                </c:pt>
                <c:pt idx="61">
                  <c:v>111</c:v>
                </c:pt>
                <c:pt idx="62">
                  <c:v>112</c:v>
                </c:pt>
                <c:pt idx="63">
                  <c:v>113</c:v>
                </c:pt>
                <c:pt idx="64">
                  <c:v>114</c:v>
                </c:pt>
                <c:pt idx="65">
                  <c:v>115</c:v>
                </c:pt>
                <c:pt idx="66">
                  <c:v>116</c:v>
                </c:pt>
                <c:pt idx="67">
                  <c:v>117</c:v>
                </c:pt>
                <c:pt idx="68">
                  <c:v>118</c:v>
                </c:pt>
                <c:pt idx="69">
                  <c:v>119</c:v>
                </c:pt>
                <c:pt idx="70">
                  <c:v>120</c:v>
                </c:pt>
                <c:pt idx="71">
                  <c:v>121</c:v>
                </c:pt>
                <c:pt idx="72">
                  <c:v>122</c:v>
                </c:pt>
                <c:pt idx="73">
                  <c:v>123</c:v>
                </c:pt>
                <c:pt idx="74">
                  <c:v>124</c:v>
                </c:pt>
                <c:pt idx="75">
                  <c:v>125</c:v>
                </c:pt>
                <c:pt idx="76">
                  <c:v>126</c:v>
                </c:pt>
                <c:pt idx="77">
                  <c:v>127</c:v>
                </c:pt>
                <c:pt idx="78">
                  <c:v>128</c:v>
                </c:pt>
                <c:pt idx="79">
                  <c:v>129</c:v>
                </c:pt>
                <c:pt idx="80">
                  <c:v>130</c:v>
                </c:pt>
                <c:pt idx="81">
                  <c:v>131</c:v>
                </c:pt>
                <c:pt idx="82">
                  <c:v>132</c:v>
                </c:pt>
                <c:pt idx="83">
                  <c:v>133</c:v>
                </c:pt>
                <c:pt idx="84">
                  <c:v>134</c:v>
                </c:pt>
                <c:pt idx="85">
                  <c:v>135</c:v>
                </c:pt>
                <c:pt idx="86">
                  <c:v>136</c:v>
                </c:pt>
                <c:pt idx="87">
                  <c:v>137</c:v>
                </c:pt>
                <c:pt idx="88">
                  <c:v>138</c:v>
                </c:pt>
                <c:pt idx="89">
                  <c:v>139</c:v>
                </c:pt>
                <c:pt idx="90">
                  <c:v>140</c:v>
                </c:pt>
                <c:pt idx="91">
                  <c:v>141</c:v>
                </c:pt>
                <c:pt idx="92">
                  <c:v>142</c:v>
                </c:pt>
                <c:pt idx="93">
                  <c:v>143</c:v>
                </c:pt>
                <c:pt idx="94">
                  <c:v>144</c:v>
                </c:pt>
                <c:pt idx="95">
                  <c:v>145</c:v>
                </c:pt>
                <c:pt idx="96">
                  <c:v>146</c:v>
                </c:pt>
                <c:pt idx="97">
                  <c:v>147</c:v>
                </c:pt>
                <c:pt idx="98">
                  <c:v>148</c:v>
                </c:pt>
                <c:pt idx="99">
                  <c:v>149</c:v>
                </c:pt>
                <c:pt idx="100">
                  <c:v>150</c:v>
                </c:pt>
                <c:pt idx="101">
                  <c:v>151</c:v>
                </c:pt>
                <c:pt idx="102">
                  <c:v>152</c:v>
                </c:pt>
                <c:pt idx="103">
                  <c:v>153</c:v>
                </c:pt>
                <c:pt idx="104">
                  <c:v>154</c:v>
                </c:pt>
                <c:pt idx="105">
                  <c:v>155</c:v>
                </c:pt>
                <c:pt idx="106">
                  <c:v>156</c:v>
                </c:pt>
                <c:pt idx="107">
                  <c:v>157</c:v>
                </c:pt>
                <c:pt idx="108">
                  <c:v>158</c:v>
                </c:pt>
                <c:pt idx="109">
                  <c:v>159</c:v>
                </c:pt>
                <c:pt idx="110">
                  <c:v>160</c:v>
                </c:pt>
                <c:pt idx="111">
                  <c:v>161</c:v>
                </c:pt>
                <c:pt idx="112">
                  <c:v>162</c:v>
                </c:pt>
                <c:pt idx="113">
                  <c:v>163</c:v>
                </c:pt>
                <c:pt idx="114">
                  <c:v>164</c:v>
                </c:pt>
                <c:pt idx="115">
                  <c:v>165</c:v>
                </c:pt>
                <c:pt idx="116">
                  <c:v>166</c:v>
                </c:pt>
                <c:pt idx="117">
                  <c:v>167</c:v>
                </c:pt>
                <c:pt idx="118">
                  <c:v>168</c:v>
                </c:pt>
                <c:pt idx="119">
                  <c:v>169</c:v>
                </c:pt>
                <c:pt idx="120">
                  <c:v>170</c:v>
                </c:pt>
                <c:pt idx="121">
                  <c:v>171</c:v>
                </c:pt>
                <c:pt idx="122">
                  <c:v>172</c:v>
                </c:pt>
                <c:pt idx="123">
                  <c:v>173</c:v>
                </c:pt>
                <c:pt idx="124">
                  <c:v>174</c:v>
                </c:pt>
                <c:pt idx="125">
                  <c:v>175</c:v>
                </c:pt>
                <c:pt idx="126">
                  <c:v>176</c:v>
                </c:pt>
                <c:pt idx="127">
                  <c:v>177</c:v>
                </c:pt>
                <c:pt idx="128">
                  <c:v>178</c:v>
                </c:pt>
                <c:pt idx="129">
                  <c:v>179</c:v>
                </c:pt>
                <c:pt idx="130">
                  <c:v>180</c:v>
                </c:pt>
                <c:pt idx="131">
                  <c:v>181</c:v>
                </c:pt>
                <c:pt idx="132">
                  <c:v>182</c:v>
                </c:pt>
                <c:pt idx="133">
                  <c:v>183</c:v>
                </c:pt>
                <c:pt idx="134">
                  <c:v>184</c:v>
                </c:pt>
                <c:pt idx="135">
                  <c:v>185</c:v>
                </c:pt>
                <c:pt idx="136">
                  <c:v>186</c:v>
                </c:pt>
                <c:pt idx="137">
                  <c:v>187</c:v>
                </c:pt>
                <c:pt idx="138">
                  <c:v>188</c:v>
                </c:pt>
                <c:pt idx="139">
                  <c:v>189</c:v>
                </c:pt>
                <c:pt idx="140">
                  <c:v>190</c:v>
                </c:pt>
                <c:pt idx="141">
                  <c:v>191</c:v>
                </c:pt>
                <c:pt idx="142">
                  <c:v>192</c:v>
                </c:pt>
                <c:pt idx="143">
                  <c:v>193</c:v>
                </c:pt>
                <c:pt idx="144">
                  <c:v>194</c:v>
                </c:pt>
                <c:pt idx="145">
                  <c:v>195</c:v>
                </c:pt>
                <c:pt idx="146">
                  <c:v>196</c:v>
                </c:pt>
                <c:pt idx="147">
                  <c:v>197</c:v>
                </c:pt>
                <c:pt idx="148">
                  <c:v>198</c:v>
                </c:pt>
                <c:pt idx="149">
                  <c:v>199</c:v>
                </c:pt>
                <c:pt idx="150">
                  <c:v>200</c:v>
                </c:pt>
                <c:pt idx="151">
                  <c:v>201</c:v>
                </c:pt>
                <c:pt idx="152">
                  <c:v>202</c:v>
                </c:pt>
                <c:pt idx="153">
                  <c:v>203</c:v>
                </c:pt>
                <c:pt idx="154">
                  <c:v>204</c:v>
                </c:pt>
                <c:pt idx="155">
                  <c:v>205</c:v>
                </c:pt>
                <c:pt idx="156">
                  <c:v>206</c:v>
                </c:pt>
                <c:pt idx="157">
                  <c:v>207</c:v>
                </c:pt>
                <c:pt idx="158">
                  <c:v>208</c:v>
                </c:pt>
                <c:pt idx="159">
                  <c:v>209</c:v>
                </c:pt>
                <c:pt idx="160">
                  <c:v>210</c:v>
                </c:pt>
                <c:pt idx="161">
                  <c:v>211</c:v>
                </c:pt>
                <c:pt idx="162">
                  <c:v>212</c:v>
                </c:pt>
                <c:pt idx="163">
                  <c:v>213</c:v>
                </c:pt>
                <c:pt idx="164">
                  <c:v>214</c:v>
                </c:pt>
                <c:pt idx="165">
                  <c:v>215</c:v>
                </c:pt>
                <c:pt idx="166">
                  <c:v>216</c:v>
                </c:pt>
                <c:pt idx="167">
                  <c:v>217</c:v>
                </c:pt>
                <c:pt idx="168">
                  <c:v>218</c:v>
                </c:pt>
                <c:pt idx="169">
                  <c:v>219</c:v>
                </c:pt>
                <c:pt idx="170">
                  <c:v>220</c:v>
                </c:pt>
                <c:pt idx="171">
                  <c:v>221</c:v>
                </c:pt>
                <c:pt idx="172">
                  <c:v>222</c:v>
                </c:pt>
                <c:pt idx="173">
                  <c:v>223</c:v>
                </c:pt>
                <c:pt idx="174">
                  <c:v>224</c:v>
                </c:pt>
                <c:pt idx="175">
                  <c:v>225</c:v>
                </c:pt>
                <c:pt idx="176">
                  <c:v>226</c:v>
                </c:pt>
                <c:pt idx="177">
                  <c:v>227</c:v>
                </c:pt>
                <c:pt idx="178">
                  <c:v>228</c:v>
                </c:pt>
                <c:pt idx="179">
                  <c:v>229</c:v>
                </c:pt>
                <c:pt idx="180">
                  <c:v>230</c:v>
                </c:pt>
                <c:pt idx="181">
                  <c:v>231</c:v>
                </c:pt>
                <c:pt idx="182">
                  <c:v>232</c:v>
                </c:pt>
                <c:pt idx="183">
                  <c:v>233</c:v>
                </c:pt>
                <c:pt idx="184">
                  <c:v>234</c:v>
                </c:pt>
                <c:pt idx="185">
                  <c:v>235</c:v>
                </c:pt>
                <c:pt idx="186">
                  <c:v>236</c:v>
                </c:pt>
                <c:pt idx="187">
                  <c:v>237</c:v>
                </c:pt>
                <c:pt idx="188">
                  <c:v>238</c:v>
                </c:pt>
                <c:pt idx="189">
                  <c:v>239</c:v>
                </c:pt>
                <c:pt idx="190">
                  <c:v>240</c:v>
                </c:pt>
                <c:pt idx="191">
                  <c:v>241</c:v>
                </c:pt>
                <c:pt idx="192">
                  <c:v>242</c:v>
                </c:pt>
                <c:pt idx="193">
                  <c:v>243</c:v>
                </c:pt>
                <c:pt idx="194">
                  <c:v>244</c:v>
                </c:pt>
                <c:pt idx="195">
                  <c:v>245</c:v>
                </c:pt>
                <c:pt idx="196">
                  <c:v>246</c:v>
                </c:pt>
                <c:pt idx="197">
                  <c:v>247</c:v>
                </c:pt>
                <c:pt idx="198">
                  <c:v>248</c:v>
                </c:pt>
                <c:pt idx="199">
                  <c:v>249</c:v>
                </c:pt>
                <c:pt idx="200">
                  <c:v>250</c:v>
                </c:pt>
                <c:pt idx="201">
                  <c:v>251</c:v>
                </c:pt>
                <c:pt idx="202">
                  <c:v>252</c:v>
                </c:pt>
                <c:pt idx="203">
                  <c:v>253</c:v>
                </c:pt>
                <c:pt idx="204">
                  <c:v>254</c:v>
                </c:pt>
                <c:pt idx="205">
                  <c:v>255</c:v>
                </c:pt>
                <c:pt idx="206">
                  <c:v>256</c:v>
                </c:pt>
                <c:pt idx="207">
                  <c:v>257</c:v>
                </c:pt>
                <c:pt idx="208">
                  <c:v>258</c:v>
                </c:pt>
                <c:pt idx="209">
                  <c:v>259</c:v>
                </c:pt>
                <c:pt idx="210">
                  <c:v>260</c:v>
                </c:pt>
                <c:pt idx="211">
                  <c:v>261</c:v>
                </c:pt>
                <c:pt idx="212">
                  <c:v>262</c:v>
                </c:pt>
                <c:pt idx="213">
                  <c:v>263</c:v>
                </c:pt>
                <c:pt idx="214">
                  <c:v>264</c:v>
                </c:pt>
                <c:pt idx="215">
                  <c:v>265</c:v>
                </c:pt>
                <c:pt idx="216">
                  <c:v>266</c:v>
                </c:pt>
                <c:pt idx="217">
                  <c:v>267</c:v>
                </c:pt>
                <c:pt idx="218">
                  <c:v>268</c:v>
                </c:pt>
                <c:pt idx="219">
                  <c:v>269</c:v>
                </c:pt>
                <c:pt idx="220">
                  <c:v>270</c:v>
                </c:pt>
                <c:pt idx="221">
                  <c:v>271</c:v>
                </c:pt>
                <c:pt idx="222">
                  <c:v>272</c:v>
                </c:pt>
                <c:pt idx="223">
                  <c:v>273</c:v>
                </c:pt>
                <c:pt idx="224">
                  <c:v>274</c:v>
                </c:pt>
                <c:pt idx="225">
                  <c:v>275</c:v>
                </c:pt>
                <c:pt idx="226">
                  <c:v>276</c:v>
                </c:pt>
                <c:pt idx="227">
                  <c:v>277</c:v>
                </c:pt>
                <c:pt idx="228">
                  <c:v>278</c:v>
                </c:pt>
                <c:pt idx="229">
                  <c:v>279</c:v>
                </c:pt>
                <c:pt idx="230">
                  <c:v>280</c:v>
                </c:pt>
                <c:pt idx="231">
                  <c:v>281</c:v>
                </c:pt>
                <c:pt idx="232">
                  <c:v>282</c:v>
                </c:pt>
                <c:pt idx="233">
                  <c:v>283</c:v>
                </c:pt>
                <c:pt idx="234">
                  <c:v>284</c:v>
                </c:pt>
                <c:pt idx="235">
                  <c:v>285</c:v>
                </c:pt>
                <c:pt idx="236">
                  <c:v>286</c:v>
                </c:pt>
                <c:pt idx="237">
                  <c:v>287</c:v>
                </c:pt>
                <c:pt idx="238">
                  <c:v>288</c:v>
                </c:pt>
                <c:pt idx="239">
                  <c:v>289</c:v>
                </c:pt>
                <c:pt idx="240">
                  <c:v>290</c:v>
                </c:pt>
                <c:pt idx="241">
                  <c:v>291</c:v>
                </c:pt>
                <c:pt idx="242">
                  <c:v>292</c:v>
                </c:pt>
                <c:pt idx="243">
                  <c:v>293</c:v>
                </c:pt>
                <c:pt idx="244">
                  <c:v>294</c:v>
                </c:pt>
                <c:pt idx="245">
                  <c:v>295</c:v>
                </c:pt>
                <c:pt idx="246">
                  <c:v>296</c:v>
                </c:pt>
                <c:pt idx="247">
                  <c:v>297</c:v>
                </c:pt>
                <c:pt idx="248">
                  <c:v>298</c:v>
                </c:pt>
                <c:pt idx="249">
                  <c:v>299</c:v>
                </c:pt>
                <c:pt idx="250">
                  <c:v>300</c:v>
                </c:pt>
                <c:pt idx="251">
                  <c:v>301</c:v>
                </c:pt>
                <c:pt idx="252">
                  <c:v>302</c:v>
                </c:pt>
                <c:pt idx="253">
                  <c:v>303</c:v>
                </c:pt>
                <c:pt idx="254">
                  <c:v>304</c:v>
                </c:pt>
                <c:pt idx="255">
                  <c:v>305</c:v>
                </c:pt>
                <c:pt idx="256">
                  <c:v>306</c:v>
                </c:pt>
                <c:pt idx="257">
                  <c:v>307</c:v>
                </c:pt>
                <c:pt idx="258">
                  <c:v>308</c:v>
                </c:pt>
                <c:pt idx="259">
                  <c:v>309</c:v>
                </c:pt>
                <c:pt idx="260">
                  <c:v>310</c:v>
                </c:pt>
                <c:pt idx="261">
                  <c:v>311</c:v>
                </c:pt>
                <c:pt idx="262">
                  <c:v>312</c:v>
                </c:pt>
                <c:pt idx="263">
                  <c:v>313</c:v>
                </c:pt>
                <c:pt idx="264">
                  <c:v>314</c:v>
                </c:pt>
                <c:pt idx="265">
                  <c:v>315</c:v>
                </c:pt>
                <c:pt idx="266">
                  <c:v>316</c:v>
                </c:pt>
                <c:pt idx="267">
                  <c:v>317</c:v>
                </c:pt>
                <c:pt idx="268">
                  <c:v>318</c:v>
                </c:pt>
                <c:pt idx="269">
                  <c:v>319</c:v>
                </c:pt>
                <c:pt idx="270">
                  <c:v>320</c:v>
                </c:pt>
                <c:pt idx="271">
                  <c:v>321</c:v>
                </c:pt>
                <c:pt idx="272">
                  <c:v>322</c:v>
                </c:pt>
                <c:pt idx="273">
                  <c:v>323</c:v>
                </c:pt>
                <c:pt idx="274">
                  <c:v>324</c:v>
                </c:pt>
                <c:pt idx="275">
                  <c:v>325</c:v>
                </c:pt>
                <c:pt idx="276">
                  <c:v>326</c:v>
                </c:pt>
                <c:pt idx="277">
                  <c:v>327</c:v>
                </c:pt>
                <c:pt idx="278">
                  <c:v>328</c:v>
                </c:pt>
                <c:pt idx="279">
                  <c:v>329</c:v>
                </c:pt>
                <c:pt idx="280">
                  <c:v>330</c:v>
                </c:pt>
                <c:pt idx="281">
                  <c:v>331</c:v>
                </c:pt>
                <c:pt idx="282">
                  <c:v>332</c:v>
                </c:pt>
                <c:pt idx="283">
                  <c:v>333</c:v>
                </c:pt>
                <c:pt idx="284">
                  <c:v>334</c:v>
                </c:pt>
                <c:pt idx="285">
                  <c:v>335</c:v>
                </c:pt>
                <c:pt idx="286">
                  <c:v>336</c:v>
                </c:pt>
                <c:pt idx="287">
                  <c:v>337</c:v>
                </c:pt>
                <c:pt idx="288">
                  <c:v>338</c:v>
                </c:pt>
                <c:pt idx="289">
                  <c:v>339</c:v>
                </c:pt>
                <c:pt idx="290">
                  <c:v>340</c:v>
                </c:pt>
                <c:pt idx="291">
                  <c:v>341</c:v>
                </c:pt>
                <c:pt idx="292">
                  <c:v>342</c:v>
                </c:pt>
                <c:pt idx="293">
                  <c:v>343</c:v>
                </c:pt>
                <c:pt idx="294">
                  <c:v>344</c:v>
                </c:pt>
                <c:pt idx="295">
                  <c:v>345</c:v>
                </c:pt>
                <c:pt idx="296">
                  <c:v>346</c:v>
                </c:pt>
                <c:pt idx="297">
                  <c:v>347</c:v>
                </c:pt>
                <c:pt idx="298">
                  <c:v>348</c:v>
                </c:pt>
                <c:pt idx="299">
                  <c:v>349</c:v>
                </c:pt>
                <c:pt idx="300">
                  <c:v>350</c:v>
                </c:pt>
                <c:pt idx="301">
                  <c:v>351</c:v>
                </c:pt>
                <c:pt idx="302">
                  <c:v>352</c:v>
                </c:pt>
                <c:pt idx="303">
                  <c:v>353</c:v>
                </c:pt>
                <c:pt idx="304">
                  <c:v>354</c:v>
                </c:pt>
                <c:pt idx="305">
                  <c:v>355</c:v>
                </c:pt>
                <c:pt idx="306">
                  <c:v>356</c:v>
                </c:pt>
                <c:pt idx="307">
                  <c:v>357</c:v>
                </c:pt>
                <c:pt idx="308">
                  <c:v>358</c:v>
                </c:pt>
                <c:pt idx="309">
                  <c:v>359</c:v>
                </c:pt>
                <c:pt idx="310">
                  <c:v>360</c:v>
                </c:pt>
                <c:pt idx="311">
                  <c:v>361</c:v>
                </c:pt>
                <c:pt idx="312">
                  <c:v>362</c:v>
                </c:pt>
                <c:pt idx="313">
                  <c:v>363</c:v>
                </c:pt>
                <c:pt idx="314">
                  <c:v>364</c:v>
                </c:pt>
                <c:pt idx="315">
                  <c:v>365</c:v>
                </c:pt>
                <c:pt idx="316">
                  <c:v>366</c:v>
                </c:pt>
                <c:pt idx="317">
                  <c:v>367</c:v>
                </c:pt>
                <c:pt idx="318">
                  <c:v>368</c:v>
                </c:pt>
                <c:pt idx="319">
                  <c:v>369</c:v>
                </c:pt>
                <c:pt idx="320">
                  <c:v>370</c:v>
                </c:pt>
                <c:pt idx="321">
                  <c:v>371</c:v>
                </c:pt>
                <c:pt idx="322">
                  <c:v>372</c:v>
                </c:pt>
                <c:pt idx="323">
                  <c:v>373</c:v>
                </c:pt>
                <c:pt idx="324">
                  <c:v>374</c:v>
                </c:pt>
                <c:pt idx="325">
                  <c:v>375</c:v>
                </c:pt>
                <c:pt idx="326">
                  <c:v>376</c:v>
                </c:pt>
                <c:pt idx="327">
                  <c:v>377</c:v>
                </c:pt>
                <c:pt idx="328">
                  <c:v>378</c:v>
                </c:pt>
                <c:pt idx="329">
                  <c:v>379</c:v>
                </c:pt>
                <c:pt idx="330">
                  <c:v>380</c:v>
                </c:pt>
                <c:pt idx="331">
                  <c:v>381</c:v>
                </c:pt>
                <c:pt idx="332">
                  <c:v>382</c:v>
                </c:pt>
                <c:pt idx="333">
                  <c:v>383</c:v>
                </c:pt>
                <c:pt idx="334">
                  <c:v>384</c:v>
                </c:pt>
                <c:pt idx="335">
                  <c:v>385</c:v>
                </c:pt>
                <c:pt idx="336">
                  <c:v>386</c:v>
                </c:pt>
                <c:pt idx="337">
                  <c:v>387</c:v>
                </c:pt>
                <c:pt idx="338">
                  <c:v>388</c:v>
                </c:pt>
                <c:pt idx="339">
                  <c:v>389</c:v>
                </c:pt>
                <c:pt idx="340">
                  <c:v>390</c:v>
                </c:pt>
                <c:pt idx="341">
                  <c:v>391</c:v>
                </c:pt>
                <c:pt idx="342">
                  <c:v>392</c:v>
                </c:pt>
                <c:pt idx="343">
                  <c:v>393</c:v>
                </c:pt>
                <c:pt idx="344">
                  <c:v>394</c:v>
                </c:pt>
                <c:pt idx="345">
                  <c:v>395</c:v>
                </c:pt>
                <c:pt idx="346">
                  <c:v>396</c:v>
                </c:pt>
                <c:pt idx="347">
                  <c:v>397</c:v>
                </c:pt>
                <c:pt idx="348">
                  <c:v>398</c:v>
                </c:pt>
                <c:pt idx="349">
                  <c:v>399</c:v>
                </c:pt>
                <c:pt idx="350">
                  <c:v>400</c:v>
                </c:pt>
                <c:pt idx="351">
                  <c:v>401</c:v>
                </c:pt>
                <c:pt idx="352">
                  <c:v>402</c:v>
                </c:pt>
                <c:pt idx="353">
                  <c:v>403</c:v>
                </c:pt>
                <c:pt idx="354">
                  <c:v>404</c:v>
                </c:pt>
                <c:pt idx="355">
                  <c:v>405</c:v>
                </c:pt>
                <c:pt idx="356">
                  <c:v>406</c:v>
                </c:pt>
                <c:pt idx="357">
                  <c:v>407</c:v>
                </c:pt>
                <c:pt idx="358">
                  <c:v>408</c:v>
                </c:pt>
                <c:pt idx="359">
                  <c:v>409</c:v>
                </c:pt>
                <c:pt idx="360">
                  <c:v>410</c:v>
                </c:pt>
                <c:pt idx="361">
                  <c:v>411</c:v>
                </c:pt>
                <c:pt idx="362">
                  <c:v>412</c:v>
                </c:pt>
                <c:pt idx="363">
                  <c:v>413</c:v>
                </c:pt>
                <c:pt idx="364">
                  <c:v>414</c:v>
                </c:pt>
                <c:pt idx="365">
                  <c:v>415</c:v>
                </c:pt>
                <c:pt idx="366">
                  <c:v>416</c:v>
                </c:pt>
                <c:pt idx="367">
                  <c:v>417</c:v>
                </c:pt>
                <c:pt idx="368">
                  <c:v>418</c:v>
                </c:pt>
                <c:pt idx="369">
                  <c:v>419</c:v>
                </c:pt>
                <c:pt idx="370">
                  <c:v>420</c:v>
                </c:pt>
                <c:pt idx="371">
                  <c:v>421</c:v>
                </c:pt>
                <c:pt idx="372">
                  <c:v>422</c:v>
                </c:pt>
                <c:pt idx="373">
                  <c:v>423</c:v>
                </c:pt>
                <c:pt idx="374">
                  <c:v>424</c:v>
                </c:pt>
                <c:pt idx="375">
                  <c:v>425</c:v>
                </c:pt>
                <c:pt idx="376">
                  <c:v>426</c:v>
                </c:pt>
                <c:pt idx="377">
                  <c:v>427</c:v>
                </c:pt>
                <c:pt idx="378">
                  <c:v>428</c:v>
                </c:pt>
                <c:pt idx="379">
                  <c:v>429</c:v>
                </c:pt>
                <c:pt idx="380">
                  <c:v>430</c:v>
                </c:pt>
                <c:pt idx="381">
                  <c:v>431</c:v>
                </c:pt>
                <c:pt idx="382">
                  <c:v>432</c:v>
                </c:pt>
                <c:pt idx="383">
                  <c:v>433</c:v>
                </c:pt>
                <c:pt idx="384">
                  <c:v>434</c:v>
                </c:pt>
                <c:pt idx="385">
                  <c:v>435</c:v>
                </c:pt>
                <c:pt idx="386">
                  <c:v>436</c:v>
                </c:pt>
                <c:pt idx="387">
                  <c:v>437</c:v>
                </c:pt>
                <c:pt idx="388">
                  <c:v>438</c:v>
                </c:pt>
                <c:pt idx="389">
                  <c:v>439</c:v>
                </c:pt>
                <c:pt idx="390">
                  <c:v>440</c:v>
                </c:pt>
                <c:pt idx="391">
                  <c:v>441</c:v>
                </c:pt>
                <c:pt idx="392">
                  <c:v>442</c:v>
                </c:pt>
                <c:pt idx="393">
                  <c:v>443</c:v>
                </c:pt>
                <c:pt idx="394">
                  <c:v>444</c:v>
                </c:pt>
                <c:pt idx="395">
                  <c:v>445</c:v>
                </c:pt>
                <c:pt idx="396">
                  <c:v>446</c:v>
                </c:pt>
                <c:pt idx="397">
                  <c:v>447</c:v>
                </c:pt>
                <c:pt idx="398">
                  <c:v>448</c:v>
                </c:pt>
                <c:pt idx="399">
                  <c:v>449</c:v>
                </c:pt>
                <c:pt idx="400">
                  <c:v>450</c:v>
                </c:pt>
                <c:pt idx="401">
                  <c:v>451</c:v>
                </c:pt>
                <c:pt idx="402">
                  <c:v>452</c:v>
                </c:pt>
                <c:pt idx="403">
                  <c:v>453</c:v>
                </c:pt>
                <c:pt idx="404">
                  <c:v>454</c:v>
                </c:pt>
                <c:pt idx="405">
                  <c:v>455</c:v>
                </c:pt>
                <c:pt idx="406">
                  <c:v>456</c:v>
                </c:pt>
                <c:pt idx="407">
                  <c:v>457</c:v>
                </c:pt>
                <c:pt idx="408">
                  <c:v>458</c:v>
                </c:pt>
                <c:pt idx="409">
                  <c:v>459</c:v>
                </c:pt>
                <c:pt idx="410">
                  <c:v>460</c:v>
                </c:pt>
                <c:pt idx="411">
                  <c:v>461</c:v>
                </c:pt>
                <c:pt idx="412">
                  <c:v>462</c:v>
                </c:pt>
                <c:pt idx="413">
                  <c:v>463</c:v>
                </c:pt>
                <c:pt idx="414">
                  <c:v>464</c:v>
                </c:pt>
                <c:pt idx="415">
                  <c:v>465</c:v>
                </c:pt>
                <c:pt idx="416">
                  <c:v>466</c:v>
                </c:pt>
                <c:pt idx="417">
                  <c:v>467</c:v>
                </c:pt>
                <c:pt idx="418">
                  <c:v>468</c:v>
                </c:pt>
                <c:pt idx="419">
                  <c:v>469</c:v>
                </c:pt>
                <c:pt idx="420">
                  <c:v>470</c:v>
                </c:pt>
                <c:pt idx="421">
                  <c:v>471</c:v>
                </c:pt>
                <c:pt idx="422">
                  <c:v>472</c:v>
                </c:pt>
                <c:pt idx="423">
                  <c:v>473</c:v>
                </c:pt>
                <c:pt idx="424">
                  <c:v>474</c:v>
                </c:pt>
                <c:pt idx="425">
                  <c:v>475</c:v>
                </c:pt>
                <c:pt idx="426">
                  <c:v>476</c:v>
                </c:pt>
                <c:pt idx="427">
                  <c:v>477</c:v>
                </c:pt>
                <c:pt idx="428">
                  <c:v>478</c:v>
                </c:pt>
                <c:pt idx="429">
                  <c:v>479</c:v>
                </c:pt>
                <c:pt idx="430">
                  <c:v>480</c:v>
                </c:pt>
                <c:pt idx="431">
                  <c:v>481</c:v>
                </c:pt>
                <c:pt idx="432">
                  <c:v>482</c:v>
                </c:pt>
                <c:pt idx="433">
                  <c:v>483</c:v>
                </c:pt>
                <c:pt idx="434">
                  <c:v>484</c:v>
                </c:pt>
                <c:pt idx="435">
                  <c:v>485</c:v>
                </c:pt>
                <c:pt idx="436">
                  <c:v>486</c:v>
                </c:pt>
                <c:pt idx="437">
                  <c:v>487</c:v>
                </c:pt>
                <c:pt idx="438">
                  <c:v>488</c:v>
                </c:pt>
                <c:pt idx="439">
                  <c:v>489</c:v>
                </c:pt>
                <c:pt idx="440">
                  <c:v>490</c:v>
                </c:pt>
                <c:pt idx="441">
                  <c:v>491</c:v>
                </c:pt>
                <c:pt idx="442">
                  <c:v>492</c:v>
                </c:pt>
                <c:pt idx="443">
                  <c:v>493</c:v>
                </c:pt>
                <c:pt idx="444">
                  <c:v>494</c:v>
                </c:pt>
                <c:pt idx="445">
                  <c:v>495</c:v>
                </c:pt>
                <c:pt idx="446">
                  <c:v>496</c:v>
                </c:pt>
                <c:pt idx="447">
                  <c:v>497</c:v>
                </c:pt>
                <c:pt idx="448">
                  <c:v>498</c:v>
                </c:pt>
                <c:pt idx="449">
                  <c:v>499</c:v>
                </c:pt>
                <c:pt idx="450">
                  <c:v>500</c:v>
                </c:pt>
              </c:numCache>
            </c:numRef>
          </c:cat>
          <c:val>
            <c:numRef>
              <c:f>'American LR'!$F$2:$F$452</c:f>
              <c:numCache>
                <c:formatCode>General</c:formatCode>
                <c:ptCount val="451"/>
                <c:pt idx="0">
                  <c:v>-4.9706420200019252E-2</c:v>
                </c:pt>
                <c:pt idx="1">
                  <c:v>1.2214385770068503E-3</c:v>
                </c:pt>
                <c:pt idx="2">
                  <c:v>-4.784350045193797E-2</c:v>
                </c:pt>
                <c:pt idx="3">
                  <c:v>1.1524846411052891E-3</c:v>
                </c:pt>
                <c:pt idx="4">
                  <c:v>-4.6133063726987444E-2</c:v>
                </c:pt>
                <c:pt idx="5">
                  <c:v>1.100065633748315E-3</c:v>
                </c:pt>
                <c:pt idx="6">
                  <c:v>-4.4534659543831623E-2</c:v>
                </c:pt>
                <c:pt idx="7">
                  <c:v>1.0893801201632414E-3</c:v>
                </c:pt>
                <c:pt idx="8">
                  <c:v>-4.3022965016778159E-2</c:v>
                </c:pt>
                <c:pt idx="9">
                  <c:v>1.0621406752076012E-3</c:v>
                </c:pt>
                <c:pt idx="10">
                  <c:v>-4.1609059853078278E-2</c:v>
                </c:pt>
                <c:pt idx="11">
                  <c:v>1.0385277887312583E-3</c:v>
                </c:pt>
                <c:pt idx="12">
                  <c:v>-4.0283856239961224E-2</c:v>
                </c:pt>
                <c:pt idx="13">
                  <c:v>1.0083110101373194E-3</c:v>
                </c:pt>
                <c:pt idx="14">
                  <c:v>-3.9047216246306249E-2</c:v>
                </c:pt>
                <c:pt idx="15">
                  <c:v>9.8179877970849816E-4</c:v>
                </c:pt>
                <c:pt idx="16">
                  <c:v>-3.7886897523854657E-2</c:v>
                </c:pt>
                <c:pt idx="17">
                  <c:v>9.5260403927710513E-4</c:v>
                </c:pt>
                <c:pt idx="18">
                  <c:v>-3.6793657514893496E-2</c:v>
                </c:pt>
                <c:pt idx="19">
                  <c:v>9.264801047397242E-4</c:v>
                </c:pt>
                <c:pt idx="20">
                  <c:v>-3.5762646327581749E-2</c:v>
                </c:pt>
                <c:pt idx="21">
                  <c:v>9.030931561415656E-4</c:v>
                </c:pt>
                <c:pt idx="22">
                  <c:v>-3.478536133022736E-2</c:v>
                </c:pt>
                <c:pt idx="23">
                  <c:v>8.729722621918512E-4</c:v>
                </c:pt>
                <c:pt idx="24">
                  <c:v>-3.3867160702984123E-2</c:v>
                </c:pt>
                <c:pt idx="25">
                  <c:v>8.3598305286969321E-4</c:v>
                </c:pt>
                <c:pt idx="26">
                  <c:v>-3.3005083190657203E-2</c:v>
                </c:pt>
                <c:pt idx="27">
                  <c:v>7.9873108298045281E-4</c:v>
                </c:pt>
                <c:pt idx="28">
                  <c:v>-3.2189880314154706E-2</c:v>
                </c:pt>
                <c:pt idx="29">
                  <c:v>7.8034953435413001E-4</c:v>
                </c:pt>
                <c:pt idx="30">
                  <c:v>-3.1405020756876567E-2</c:v>
                </c:pt>
                <c:pt idx="31">
                  <c:v>7.5979080682309075E-4</c:v>
                </c:pt>
                <c:pt idx="32">
                  <c:v>-3.0656095263873695E-2</c:v>
                </c:pt>
                <c:pt idx="33">
                  <c:v>7.4382186311439114E-4</c:v>
                </c:pt>
                <c:pt idx="34">
                  <c:v>-2.9937222431017929E-2</c:v>
                </c:pt>
                <c:pt idx="35">
                  <c:v>7.2814556870248737E-4</c:v>
                </c:pt>
                <c:pt idx="36">
                  <c:v>-2.9252120751039001E-2</c:v>
                </c:pt>
                <c:pt idx="37">
                  <c:v>7.1143849947219451E-4</c:v>
                </c:pt>
                <c:pt idx="38">
                  <c:v>-2.8597784405564042E-2</c:v>
                </c:pt>
                <c:pt idx="39">
                  <c:v>6.940380375013433E-4</c:v>
                </c:pt>
                <c:pt idx="40">
                  <c:v>-2.7974370199741472E-2</c:v>
                </c:pt>
                <c:pt idx="41">
                  <c:v>6.7328021897772317E-4</c:v>
                </c:pt>
                <c:pt idx="42">
                  <c:v>-2.7381035131993414E-2</c:v>
                </c:pt>
                <c:pt idx="43">
                  <c:v>6.5179851175045656E-4</c:v>
                </c:pt>
                <c:pt idx="44">
                  <c:v>-2.6814901180250317E-2</c:v>
                </c:pt>
                <c:pt idx="45">
                  <c:v>6.314935383215925E-4</c:v>
                </c:pt>
                <c:pt idx="46">
                  <c:v>-2.6272981665472983E-2</c:v>
                </c:pt>
                <c:pt idx="47">
                  <c:v>6.1403717627328547E-4</c:v>
                </c:pt>
                <c:pt idx="48">
                  <c:v>-2.5751883856450775E-2</c:v>
                </c:pt>
                <c:pt idx="49">
                  <c:v>6.0349365373824071E-4</c:v>
                </c:pt>
                <c:pt idx="50">
                  <c:v>-2.524281271237605E-2</c:v>
                </c:pt>
                <c:pt idx="51">
                  <c:v>5.8945344198768623E-4</c:v>
                </c:pt>
                <c:pt idx="52">
                  <c:v>-2.4756969650438165E-2</c:v>
                </c:pt>
                <c:pt idx="53">
                  <c:v>5.6950494202467894E-4</c:v>
                </c:pt>
                <c:pt idx="54">
                  <c:v>-2.4295958290069919E-2</c:v>
                </c:pt>
                <c:pt idx="55">
                  <c:v>5.5061274666634574E-4</c:v>
                </c:pt>
                <c:pt idx="56">
                  <c:v>-2.3852463223047238E-2</c:v>
                </c:pt>
                <c:pt idx="57">
                  <c:v>5.3244186224787882E-4</c:v>
                </c:pt>
                <c:pt idx="58">
                  <c:v>-2.3425710073512462E-2</c:v>
                </c:pt>
                <c:pt idx="59">
                  <c:v>5.1638496674044632E-4</c:v>
                </c:pt>
                <c:pt idx="60">
                  <c:v>-2.3014432724032474E-2</c:v>
                </c:pt>
                <c:pt idx="61">
                  <c:v>5.0340797004544413E-4</c:v>
                </c:pt>
                <c:pt idx="62">
                  <c:v>-2.2616333304958047E-2</c:v>
                </c:pt>
                <c:pt idx="63">
                  <c:v>4.939973859556801E-4</c:v>
                </c:pt>
                <c:pt idx="64">
                  <c:v>-2.2227741074562601E-2</c:v>
                </c:pt>
                <c:pt idx="65">
                  <c:v>4.8352940542706335E-4</c:v>
                </c:pt>
                <c:pt idx="66">
                  <c:v>-2.1851297627902611E-2</c:v>
                </c:pt>
                <c:pt idx="67">
                  <c:v>4.7395940718963914E-4</c:v>
                </c:pt>
                <c:pt idx="68">
                  <c:v>-2.1487827299459639E-2</c:v>
                </c:pt>
                <c:pt idx="69">
                  <c:v>4.6486806134637959E-4</c:v>
                </c:pt>
                <c:pt idx="70">
                  <c:v>-2.1138065012531015E-2</c:v>
                </c:pt>
                <c:pt idx="71">
                  <c:v>4.5916242452470613E-4</c:v>
                </c:pt>
                <c:pt idx="72">
                  <c:v>-2.0797482066386763E-2</c:v>
                </c:pt>
                <c:pt idx="73">
                  <c:v>4.539167867587679E-4</c:v>
                </c:pt>
                <c:pt idx="74">
                  <c:v>-2.0465823056005306E-2</c:v>
                </c:pt>
                <c:pt idx="75">
                  <c:v>4.5034701158996882E-4</c:v>
                </c:pt>
                <c:pt idx="76">
                  <c:v>-2.0141346318219178E-2</c:v>
                </c:pt>
                <c:pt idx="77">
                  <c:v>4.4427104615252233E-4</c:v>
                </c:pt>
                <c:pt idx="78">
                  <c:v>-1.9829401296316718E-2</c:v>
                </c:pt>
                <c:pt idx="79">
                  <c:v>4.3585883880759013E-4</c:v>
                </c:pt>
                <c:pt idx="80">
                  <c:v>-1.9529704377671209E-2</c:v>
                </c:pt>
                <c:pt idx="81">
                  <c:v>4.273741172475809E-4</c:v>
                </c:pt>
                <c:pt idx="82">
                  <c:v>-1.924188824079387E-2</c:v>
                </c:pt>
                <c:pt idx="83">
                  <c:v>4.2130322002087439E-4</c:v>
                </c:pt>
                <c:pt idx="84">
                  <c:v>-1.8957951110506244E-2</c:v>
                </c:pt>
                <c:pt idx="85">
                  <c:v>4.1541979660664197E-4</c:v>
                </c:pt>
                <c:pt idx="86">
                  <c:v>-1.8683837813604498E-2</c:v>
                </c:pt>
                <c:pt idx="87">
                  <c:v>4.102600185280636E-4</c:v>
                </c:pt>
                <c:pt idx="88">
                  <c:v>-1.8416336497111274E-2</c:v>
                </c:pt>
                <c:pt idx="89">
                  <c:v>4.0806277600502483E-4</c:v>
                </c:pt>
                <c:pt idx="90">
                  <c:v>-1.8153221719741097E-2</c:v>
                </c:pt>
                <c:pt idx="91">
                  <c:v>4.033327804648934E-4</c:v>
                </c:pt>
                <c:pt idx="92">
                  <c:v>-1.7899587655179516E-2</c:v>
                </c:pt>
                <c:pt idx="93">
                  <c:v>3.9914122829287635E-4</c:v>
                </c:pt>
                <c:pt idx="94">
                  <c:v>-1.7652661930473101E-2</c:v>
                </c:pt>
                <c:pt idx="95">
                  <c:v>3.9384277357257247E-4</c:v>
                </c:pt>
                <c:pt idx="96">
                  <c:v>-1.7413599544418901E-2</c:v>
                </c:pt>
                <c:pt idx="97">
                  <c:v>3.8769621223444517E-4</c:v>
                </c:pt>
                <c:pt idx="98">
                  <c:v>-1.718158239171963E-2</c:v>
                </c:pt>
                <c:pt idx="99">
                  <c:v>3.8145017449764396E-4</c:v>
                </c:pt>
                <c:pt idx="100">
                  <c:v>-1.6956413642859047E-2</c:v>
                </c:pt>
                <c:pt idx="101">
                  <c:v>3.7545007436001754E-4</c:v>
                </c:pt>
                <c:pt idx="102">
                  <c:v>-1.6737075458173933E-2</c:v>
                </c:pt>
                <c:pt idx="103">
                  <c:v>3.682300482932277E-4</c:v>
                </c:pt>
                <c:pt idx="104">
                  <c:v>-1.6524475422091456E-2</c:v>
                </c:pt>
                <c:pt idx="105">
                  <c:v>3.6262678576193252E-4</c:v>
                </c:pt>
                <c:pt idx="106">
                  <c:v>-1.6316667929595852E-2</c:v>
                </c:pt>
                <c:pt idx="107">
                  <c:v>3.5819298826567092E-4</c:v>
                </c:pt>
                <c:pt idx="108">
                  <c:v>-1.6112776687403851E-2</c:v>
                </c:pt>
                <c:pt idx="109">
                  <c:v>3.5359803421286529E-4</c:v>
                </c:pt>
                <c:pt idx="110">
                  <c:v>-1.591413387268048E-2</c:v>
                </c:pt>
                <c:pt idx="111">
                  <c:v>3.4765313777995743E-4</c:v>
                </c:pt>
                <c:pt idx="112">
                  <c:v>-1.5721967314892282E-2</c:v>
                </c:pt>
                <c:pt idx="113">
                  <c:v>3.4173980155749462E-4</c:v>
                </c:pt>
                <c:pt idx="114">
                  <c:v>-1.5534229114660292E-2</c:v>
                </c:pt>
                <c:pt idx="115">
                  <c:v>3.3664443185976722E-4</c:v>
                </c:pt>
                <c:pt idx="116">
                  <c:v>-1.5350265527022344E-2</c:v>
                </c:pt>
                <c:pt idx="117">
                  <c:v>3.3140047233892744E-4</c:v>
                </c:pt>
                <c:pt idx="118">
                  <c:v>-1.5170497427678953E-2</c:v>
                </c:pt>
                <c:pt idx="119">
                  <c:v>3.2715133870020452E-4</c:v>
                </c:pt>
                <c:pt idx="120">
                  <c:v>-1.4996363351988506E-2</c:v>
                </c:pt>
                <c:pt idx="121">
                  <c:v>3.2616825160047824E-4</c:v>
                </c:pt>
                <c:pt idx="122">
                  <c:v>-1.4822533866068355E-2</c:v>
                </c:pt>
                <c:pt idx="123">
                  <c:v>3.2470919658322828E-4</c:v>
                </c:pt>
                <c:pt idx="124">
                  <c:v>-1.4651742592818096E-2</c:v>
                </c:pt>
                <c:pt idx="125">
                  <c:v>3.2168957493716732E-4</c:v>
                </c:pt>
                <c:pt idx="126">
                  <c:v>-1.4486152749693559E-2</c:v>
                </c:pt>
                <c:pt idx="127">
                  <c:v>3.1882399751204105E-4</c:v>
                </c:pt>
                <c:pt idx="128">
                  <c:v>-1.4324458181230071E-2</c:v>
                </c:pt>
                <c:pt idx="129">
                  <c:v>3.1574689537983147E-4</c:v>
                </c:pt>
                <c:pt idx="130">
                  <c:v>-1.4166532237279483E-2</c:v>
                </c:pt>
                <c:pt idx="131">
                  <c:v>3.1192987803585481E-4</c:v>
                </c:pt>
                <c:pt idx="132">
                  <c:v>-1.4012666905554028E-2</c:v>
                </c:pt>
                <c:pt idx="133">
                  <c:v>3.0828585239639494E-4</c:v>
                </c:pt>
                <c:pt idx="134">
                  <c:v>-1.386224324423857E-2</c:v>
                </c:pt>
                <c:pt idx="135">
                  <c:v>3.0431128409169617E-4</c:v>
                </c:pt>
                <c:pt idx="136">
                  <c:v>-1.3715363509598788E-2</c:v>
                </c:pt>
                <c:pt idx="137">
                  <c:v>3.0108490298097479E-4</c:v>
                </c:pt>
                <c:pt idx="138">
                  <c:v>-1.3571344469744062E-2</c:v>
                </c:pt>
                <c:pt idx="139">
                  <c:v>2.9679752808142723E-4</c:v>
                </c:pt>
                <c:pt idx="140">
                  <c:v>-1.3430832249710534E-2</c:v>
                </c:pt>
                <c:pt idx="141">
                  <c:v>2.9181271220046767E-4</c:v>
                </c:pt>
                <c:pt idx="142">
                  <c:v>-1.3294015301708484E-2</c:v>
                </c:pt>
                <c:pt idx="143">
                  <c:v>2.8735538869106847E-4</c:v>
                </c:pt>
                <c:pt idx="144">
                  <c:v>-1.3160731532179781E-2</c:v>
                </c:pt>
                <c:pt idx="145">
                  <c:v>2.8603765393597769E-4</c:v>
                </c:pt>
                <c:pt idx="146">
                  <c:v>-1.3027226032374273E-2</c:v>
                </c:pt>
                <c:pt idx="147">
                  <c:v>2.8411153861540583E-4</c:v>
                </c:pt>
                <c:pt idx="148">
                  <c:v>-1.2895849542124083E-2</c:v>
                </c:pt>
                <c:pt idx="149">
                  <c:v>2.8083512622778528E-4</c:v>
                </c:pt>
                <c:pt idx="150">
                  <c:v>-1.2768386063079618E-2</c:v>
                </c:pt>
                <c:pt idx="151">
                  <c:v>2.774320921439255E-4</c:v>
                </c:pt>
                <c:pt idx="152">
                  <c:v>-1.2643817785697564E-2</c:v>
                </c:pt>
                <c:pt idx="153">
                  <c:v>2.7416456703832637E-4</c:v>
                </c:pt>
                <c:pt idx="154">
                  <c:v>-1.2521644998365389E-2</c:v>
                </c:pt>
                <c:pt idx="155">
                  <c:v>2.7028252884164772E-4</c:v>
                </c:pt>
                <c:pt idx="156">
                  <c:v>-1.2402271888703353E-2</c:v>
                </c:pt>
                <c:pt idx="157">
                  <c:v>2.6620617873795993E-4</c:v>
                </c:pt>
                <c:pt idx="158">
                  <c:v>-1.2285845931616635E-2</c:v>
                </c:pt>
                <c:pt idx="159">
                  <c:v>2.631597309648015E-4</c:v>
                </c:pt>
                <c:pt idx="160">
                  <c:v>-1.2170884731693477E-2</c:v>
                </c:pt>
                <c:pt idx="161">
                  <c:v>2.603812443240372E-4</c:v>
                </c:pt>
                <c:pt idx="162">
                  <c:v>-1.2057700877589284E-2</c:v>
                </c:pt>
                <c:pt idx="163">
                  <c:v>2.5713675286276327E-4</c:v>
                </c:pt>
                <c:pt idx="164">
                  <c:v>-1.194683516268924E-2</c:v>
                </c:pt>
                <c:pt idx="165">
                  <c:v>2.5452909414447333E-4</c:v>
                </c:pt>
                <c:pt idx="166">
                  <c:v>-1.1837524224667106E-2</c:v>
                </c:pt>
                <c:pt idx="167">
                  <c:v>2.5074308741501738E-4</c:v>
                </c:pt>
                <c:pt idx="168">
                  <c:v>-1.1731292523638359E-2</c:v>
                </c:pt>
                <c:pt idx="169">
                  <c:v>2.4745988371677186E-4</c:v>
                </c:pt>
                <c:pt idx="170">
                  <c:v>-1.1626578659413411E-2</c:v>
                </c:pt>
                <c:pt idx="171">
                  <c:v>2.4364127017939552E-4</c:v>
                </c:pt>
                <c:pt idx="172">
                  <c:v>-1.1524322868108783E-2</c:v>
                </c:pt>
                <c:pt idx="173">
                  <c:v>2.3995631376116933E-4</c:v>
                </c:pt>
                <c:pt idx="174">
                  <c:v>-1.1424092691635579E-2</c:v>
                </c:pt>
                <c:pt idx="175">
                  <c:v>2.365716416488084E-4</c:v>
                </c:pt>
                <c:pt idx="176">
                  <c:v>-1.1325566738868531E-2</c:v>
                </c:pt>
                <c:pt idx="177">
                  <c:v>2.3273243803245691E-4</c:v>
                </c:pt>
                <c:pt idx="178">
                  <c:v>-1.1229084114889432E-2</c:v>
                </c:pt>
                <c:pt idx="179">
                  <c:v>2.2998573755828033E-4</c:v>
                </c:pt>
                <c:pt idx="180">
                  <c:v>-1.1133280371387499E-2</c:v>
                </c:pt>
                <c:pt idx="181">
                  <c:v>2.2800934708833154E-4</c:v>
                </c:pt>
                <c:pt idx="182">
                  <c:v>-1.1038894707757763E-2</c:v>
                </c:pt>
                <c:pt idx="183">
                  <c:v>2.2594149092114435E-4</c:v>
                </c:pt>
                <c:pt idx="184">
                  <c:v>-1.0945926424865249E-2</c:v>
                </c:pt>
                <c:pt idx="185">
                  <c:v>2.2300509236039545E-4</c:v>
                </c:pt>
                <c:pt idx="186">
                  <c:v>-1.0854847148051405E-2</c:v>
                </c:pt>
                <c:pt idx="187">
                  <c:v>2.1992277931026649E-4</c:v>
                </c:pt>
                <c:pt idx="188">
                  <c:v>-1.0765689270920475E-2</c:v>
                </c:pt>
                <c:pt idx="189">
                  <c:v>2.179975651177557E-4</c:v>
                </c:pt>
                <c:pt idx="190">
                  <c:v>-1.0677318002695557E-2</c:v>
                </c:pt>
                <c:pt idx="191">
                  <c:v>2.1626990775658328E-4</c:v>
                </c:pt>
                <c:pt idx="192">
                  <c:v>-1.0590164979634054E-2</c:v>
                </c:pt>
                <c:pt idx="193">
                  <c:v>2.1469450394029366E-4</c:v>
                </c:pt>
                <c:pt idx="194">
                  <c:v>-1.050416847929192E-2</c:v>
                </c:pt>
                <c:pt idx="195">
                  <c:v>2.1334057802313566E-4</c:v>
                </c:pt>
                <c:pt idx="196">
                  <c:v>-1.0419229992212564E-2</c:v>
                </c:pt>
                <c:pt idx="197">
                  <c:v>2.1186683269469597E-4</c:v>
                </c:pt>
                <c:pt idx="198">
                  <c:v>-1.0335669165957739E-2</c:v>
                </c:pt>
                <c:pt idx="199">
                  <c:v>2.0955008946366149E-4</c:v>
                </c:pt>
                <c:pt idx="200">
                  <c:v>-1.0254206893998585E-2</c:v>
                </c:pt>
                <c:pt idx="201">
                  <c:v>2.0748197371034394E-4</c:v>
                </c:pt>
                <c:pt idx="202">
                  <c:v>-1.0174064626363943E-2</c:v>
                </c:pt>
                <c:pt idx="203">
                  <c:v>2.0538526399960233E-4</c:v>
                </c:pt>
                <c:pt idx="204">
                  <c:v>-1.0094959329395081E-2</c:v>
                </c:pt>
                <c:pt idx="205">
                  <c:v>2.0260463475807455E-4</c:v>
                </c:pt>
                <c:pt idx="206">
                  <c:v>-1.0017828244302862E-2</c:v>
                </c:pt>
                <c:pt idx="207">
                  <c:v>2.0018505965957445E-4</c:v>
                </c:pt>
                <c:pt idx="208">
                  <c:v>-9.9417862784108024E-3</c:v>
                </c:pt>
                <c:pt idx="209">
                  <c:v>1.9807197633348039E-4</c:v>
                </c:pt>
                <c:pt idx="210">
                  <c:v>-9.8668492182465428E-3</c:v>
                </c:pt>
                <c:pt idx="211">
                  <c:v>1.9606777219571825E-4</c:v>
                </c:pt>
                <c:pt idx="212">
                  <c:v>-9.7926353335733296E-3</c:v>
                </c:pt>
                <c:pt idx="213">
                  <c:v>1.9435815185353533E-4</c:v>
                </c:pt>
                <c:pt idx="214">
                  <c:v>-9.7194893042988895E-3</c:v>
                </c:pt>
                <c:pt idx="215">
                  <c:v>1.9205986612114145E-4</c:v>
                </c:pt>
                <c:pt idx="216">
                  <c:v>-9.6478370594592633E-3</c:v>
                </c:pt>
                <c:pt idx="217">
                  <c:v>1.9006314360758836E-4</c:v>
                </c:pt>
                <c:pt idx="218">
                  <c:v>-9.5769577646436232E-3</c:v>
                </c:pt>
                <c:pt idx="219">
                  <c:v>1.8790192534012817E-4</c:v>
                </c:pt>
                <c:pt idx="220">
                  <c:v>-9.5074694426884321E-3</c:v>
                </c:pt>
                <c:pt idx="221">
                  <c:v>1.8599513187211869E-4</c:v>
                </c:pt>
                <c:pt idx="222">
                  <c:v>-9.4386077383070699E-3</c:v>
                </c:pt>
                <c:pt idx="223">
                  <c:v>1.8388919127332315E-4</c:v>
                </c:pt>
                <c:pt idx="224">
                  <c:v>-9.3709265065715641E-3</c:v>
                </c:pt>
                <c:pt idx="225">
                  <c:v>1.8105165404413981E-4</c:v>
                </c:pt>
                <c:pt idx="226">
                  <c:v>-9.3049574089292264E-3</c:v>
                </c:pt>
                <c:pt idx="227">
                  <c:v>1.7843759558644479E-4</c:v>
                </c:pt>
                <c:pt idx="228">
                  <c:v>-9.2403191928536188E-3</c:v>
                </c:pt>
                <c:pt idx="229">
                  <c:v>1.7657187588326906E-4</c:v>
                </c:pt>
                <c:pt idx="230">
                  <c:v>-9.1758609859926565E-3</c:v>
                </c:pt>
                <c:pt idx="231">
                  <c:v>1.7510466283354731E-4</c:v>
                </c:pt>
                <c:pt idx="232">
                  <c:v>-9.1116675855875684E-3</c:v>
                </c:pt>
                <c:pt idx="233">
                  <c:v>1.7349629520246879E-4</c:v>
                </c:pt>
                <c:pt idx="234">
                  <c:v>-9.0483340100089293E-3</c:v>
                </c:pt>
                <c:pt idx="235">
                  <c:v>1.7150811563304558E-4</c:v>
                </c:pt>
                <c:pt idx="236">
                  <c:v>-8.9862854450473151E-3</c:v>
                </c:pt>
                <c:pt idx="237">
                  <c:v>1.6971843779600704E-4</c:v>
                </c:pt>
                <c:pt idx="238">
                  <c:v>-8.9249319639499447E-3</c:v>
                </c:pt>
                <c:pt idx="239">
                  <c:v>1.6772552807431396E-4</c:v>
                </c:pt>
                <c:pt idx="240">
                  <c:v>-8.8648039150918123E-3</c:v>
                </c:pt>
                <c:pt idx="241">
                  <c:v>1.6570284838657301E-4</c:v>
                </c:pt>
                <c:pt idx="242">
                  <c:v>-8.8054575138531987E-3</c:v>
                </c:pt>
                <c:pt idx="243">
                  <c:v>1.6406348698794204E-4</c:v>
                </c:pt>
                <c:pt idx="244">
                  <c:v>-8.7467739026738656E-3</c:v>
                </c:pt>
                <c:pt idx="245">
                  <c:v>1.6239788644156761E-4</c:v>
                </c:pt>
                <c:pt idx="246">
                  <c:v>-8.6889881638025912E-3</c:v>
                </c:pt>
                <c:pt idx="247">
                  <c:v>1.6071731875300088E-4</c:v>
                </c:pt>
                <c:pt idx="248">
                  <c:v>-8.6318751188141363E-3</c:v>
                </c:pt>
                <c:pt idx="249">
                  <c:v>1.5909246080347828E-4</c:v>
                </c:pt>
                <c:pt idx="250">
                  <c:v>-8.5754602683429937E-3</c:v>
                </c:pt>
                <c:pt idx="251">
                  <c:v>1.5780025669975828E-4</c:v>
                </c:pt>
                <c:pt idx="252">
                  <c:v>-8.519506984303149E-3</c:v>
                </c:pt>
                <c:pt idx="253">
                  <c:v>1.5640774963188164E-4</c:v>
                </c:pt>
                <c:pt idx="254">
                  <c:v>-8.464291599306506E-3</c:v>
                </c:pt>
                <c:pt idx="255">
                  <c:v>1.5495094670470166E-4</c:v>
                </c:pt>
                <c:pt idx="256">
                  <c:v>-8.4097744801301388E-3</c:v>
                </c:pt>
                <c:pt idx="257">
                  <c:v>1.5325337003169182E-4</c:v>
                </c:pt>
                <c:pt idx="258">
                  <c:v>-8.3561911694847169E-3</c:v>
                </c:pt>
                <c:pt idx="259">
                  <c:v>1.5155125565513572E-4</c:v>
                </c:pt>
                <c:pt idx="260">
                  <c:v>-8.3033708022490771E-3</c:v>
                </c:pt>
                <c:pt idx="261">
                  <c:v>1.4984411972740475E-4</c:v>
                </c:pt>
                <c:pt idx="262">
                  <c:v>-8.2513537059689668E-3</c:v>
                </c:pt>
                <c:pt idx="263">
                  <c:v>1.4777855199987755E-4</c:v>
                </c:pt>
                <c:pt idx="264">
                  <c:v>-8.2002147606186071E-3</c:v>
                </c:pt>
                <c:pt idx="265">
                  <c:v>1.4566564605367205E-4</c:v>
                </c:pt>
                <c:pt idx="266">
                  <c:v>-8.1498734268592443E-3</c:v>
                </c:pt>
                <c:pt idx="267">
                  <c:v>1.437582776429025E-4</c:v>
                </c:pt>
                <c:pt idx="268">
                  <c:v>-8.1000977312939426E-3</c:v>
                </c:pt>
                <c:pt idx="269">
                  <c:v>1.4198631848394427E-4</c:v>
                </c:pt>
                <c:pt idx="270">
                  <c:v>-8.0506626453811236E-3</c:v>
                </c:pt>
                <c:pt idx="271">
                  <c:v>1.410121143248233E-4</c:v>
                </c:pt>
                <c:pt idx="272">
                  <c:v>-8.0019940226492281E-3</c:v>
                </c:pt>
                <c:pt idx="273">
                  <c:v>1.3965320307640638E-4</c:v>
                </c:pt>
                <c:pt idx="274">
                  <c:v>-7.9538099230749282E-3</c:v>
                </c:pt>
                <c:pt idx="275">
                  <c:v>1.381021052608844E-4</c:v>
                </c:pt>
                <c:pt idx="276">
                  <c:v>-7.9060787203921734E-3</c:v>
                </c:pt>
                <c:pt idx="277">
                  <c:v>1.3703716373036912E-4</c:v>
                </c:pt>
                <c:pt idx="278">
                  <c:v>-7.858714035496206E-3</c:v>
                </c:pt>
                <c:pt idx="279">
                  <c:v>1.3636043998310754E-4</c:v>
                </c:pt>
                <c:pt idx="280">
                  <c:v>-7.8115478391342918E-3</c:v>
                </c:pt>
                <c:pt idx="281">
                  <c:v>1.3556975899575718E-4</c:v>
                </c:pt>
                <c:pt idx="282">
                  <c:v>-7.7648158067855633E-3</c:v>
                </c:pt>
                <c:pt idx="283">
                  <c:v>1.3481723613573138E-4</c:v>
                </c:pt>
                <c:pt idx="284">
                  <c:v>-7.7185965328414596E-3</c:v>
                </c:pt>
                <c:pt idx="285">
                  <c:v>1.3398638143335972E-4</c:v>
                </c:pt>
                <c:pt idx="286">
                  <c:v>-7.6730271385248017E-3</c:v>
                </c:pt>
                <c:pt idx="287">
                  <c:v>1.3307377749605109E-4</c:v>
                </c:pt>
                <c:pt idx="288">
                  <c:v>-7.6281582001165305E-3</c:v>
                </c:pt>
                <c:pt idx="289">
                  <c:v>1.320080645168531E-4</c:v>
                </c:pt>
                <c:pt idx="290">
                  <c:v>-7.583843282734648E-3</c:v>
                </c:pt>
                <c:pt idx="291">
                  <c:v>1.3087184149540576E-4</c:v>
                </c:pt>
                <c:pt idx="292">
                  <c:v>-7.5402260566530543E-3</c:v>
                </c:pt>
                <c:pt idx="293">
                  <c:v>1.2974768762141764E-4</c:v>
                </c:pt>
                <c:pt idx="294">
                  <c:v>-7.4969688868034012E-3</c:v>
                </c:pt>
                <c:pt idx="295">
                  <c:v>1.2839830142929998E-4</c:v>
                </c:pt>
                <c:pt idx="296">
                  <c:v>-7.454613513273145E-3</c:v>
                </c:pt>
                <c:pt idx="297">
                  <c:v>1.2757164812526867E-4</c:v>
                </c:pt>
                <c:pt idx="298">
                  <c:v>-7.4122910712706158E-3</c:v>
                </c:pt>
                <c:pt idx="299">
                  <c:v>1.2666080380618894E-4</c:v>
                </c:pt>
                <c:pt idx="300">
                  <c:v>-7.3705946940769707E-3</c:v>
                </c:pt>
                <c:pt idx="301">
                  <c:v>1.25939071562442E-4</c:v>
                </c:pt>
                <c:pt idx="302">
                  <c:v>-7.3291228220782045E-3</c:v>
                </c:pt>
                <c:pt idx="303">
                  <c:v>1.2500651888203151E-4</c:v>
                </c:pt>
                <c:pt idx="304">
                  <c:v>-7.2881744058452824E-3</c:v>
                </c:pt>
                <c:pt idx="305">
                  <c:v>1.24001513022165E-4</c:v>
                </c:pt>
                <c:pt idx="306">
                  <c:v>-7.2478277203966712E-3</c:v>
                </c:pt>
                <c:pt idx="307">
                  <c:v>1.2293805745855479E-4</c:v>
                </c:pt>
                <c:pt idx="308">
                  <c:v>-7.207926863879166E-3</c:v>
                </c:pt>
                <c:pt idx="309">
                  <c:v>1.2202113872383791E-4</c:v>
                </c:pt>
                <c:pt idx="310">
                  <c:v>-7.1685961103469253E-3</c:v>
                </c:pt>
                <c:pt idx="311">
                  <c:v>1.211751307703679E-4</c:v>
                </c:pt>
                <c:pt idx="312">
                  <c:v>-7.1295779897724287E-3</c:v>
                </c:pt>
                <c:pt idx="313">
                  <c:v>1.2043854298759982E-4</c:v>
                </c:pt>
                <c:pt idx="314">
                  <c:v>-7.0906867876541213E-3</c:v>
                </c:pt>
                <c:pt idx="315">
                  <c:v>1.1957845519994237E-4</c:v>
                </c:pt>
                <c:pt idx="316">
                  <c:v>-7.0524259509134879E-3</c:v>
                </c:pt>
                <c:pt idx="317">
                  <c:v>1.1855149257300468E-4</c:v>
                </c:pt>
                <c:pt idx="318">
                  <c:v>-7.0146703242475184E-3</c:v>
                </c:pt>
                <c:pt idx="319">
                  <c:v>1.1714493938974613E-4</c:v>
                </c:pt>
                <c:pt idx="320">
                  <c:v>-6.9776905398288847E-3</c:v>
                </c:pt>
                <c:pt idx="321">
                  <c:v>1.1618010521274869E-4</c:v>
                </c:pt>
                <c:pt idx="322">
                  <c:v>-6.9409734426670866E-3</c:v>
                </c:pt>
                <c:pt idx="323">
                  <c:v>1.1574722916485314E-4</c:v>
                </c:pt>
                <c:pt idx="324">
                  <c:v>-6.9041122312931691E-3</c:v>
                </c:pt>
                <c:pt idx="325">
                  <c:v>1.1498062173664891E-4</c:v>
                </c:pt>
                <c:pt idx="326">
                  <c:v>-6.8677118657518577E-3</c:v>
                </c:pt>
                <c:pt idx="327">
                  <c:v>1.1395115808277012E-4</c:v>
                </c:pt>
                <c:pt idx="328">
                  <c:v>-6.8319788349029409E-3</c:v>
                </c:pt>
                <c:pt idx="329">
                  <c:v>1.1299320501123589E-4</c:v>
                </c:pt>
                <c:pt idx="330">
                  <c:v>-6.7966156481418238E-3</c:v>
                </c:pt>
                <c:pt idx="331">
                  <c:v>1.1188376527293542E-4</c:v>
                </c:pt>
                <c:pt idx="332">
                  <c:v>-6.7617282819636415E-3</c:v>
                </c:pt>
                <c:pt idx="333">
                  <c:v>1.1067450501123233E-4</c:v>
                </c:pt>
                <c:pt idx="334">
                  <c:v>-6.7273395182869677E-3</c:v>
                </c:pt>
                <c:pt idx="335">
                  <c:v>1.0950780160534634E-4</c:v>
                </c:pt>
                <c:pt idx="336">
                  <c:v>-6.6934521019152982E-3</c:v>
                </c:pt>
                <c:pt idx="337">
                  <c:v>1.0861146278884348E-4</c:v>
                </c:pt>
                <c:pt idx="338">
                  <c:v>-6.6595281064856238E-3</c:v>
                </c:pt>
                <c:pt idx="339">
                  <c:v>1.0759519804892648E-4</c:v>
                </c:pt>
                <c:pt idx="340">
                  <c:v>-6.6260347645812345E-3</c:v>
                </c:pt>
                <c:pt idx="341">
                  <c:v>1.0653803215809887E-4</c:v>
                </c:pt>
                <c:pt idx="342">
                  <c:v>-6.5930224374355362E-3</c:v>
                </c:pt>
                <c:pt idx="343">
                  <c:v>1.0555564242054061E-4</c:v>
                </c:pt>
                <c:pt idx="344">
                  <c:v>-6.5604006121215974E-3</c:v>
                </c:pt>
                <c:pt idx="345">
                  <c:v>1.0463688231787671E-4</c:v>
                </c:pt>
                <c:pt idx="346">
                  <c:v>-6.5279595746421393E-3</c:v>
                </c:pt>
                <c:pt idx="347">
                  <c:v>1.0368840817243097E-4</c:v>
                </c:pt>
                <c:pt idx="348">
                  <c:v>-6.4960294634985871E-3</c:v>
                </c:pt>
                <c:pt idx="349">
                  <c:v>1.0311315862487902E-4</c:v>
                </c:pt>
                <c:pt idx="350">
                  <c:v>-6.4641731093768584E-3</c:v>
                </c:pt>
                <c:pt idx="351">
                  <c:v>1.024779504454898E-4</c:v>
                </c:pt>
                <c:pt idx="352">
                  <c:v>-6.432446910894285E-3</c:v>
                </c:pt>
                <c:pt idx="353">
                  <c:v>1.0177640455566461E-4</c:v>
                </c:pt>
                <c:pt idx="354">
                  <c:v>-6.4010620386536488E-3</c:v>
                </c:pt>
                <c:pt idx="355">
                  <c:v>1.0103512154557848E-4</c:v>
                </c:pt>
                <c:pt idx="356">
                  <c:v>-6.3699965664021363E-3</c:v>
                </c:pt>
                <c:pt idx="357">
                  <c:v>1.0056246903111798E-4</c:v>
                </c:pt>
                <c:pt idx="358">
                  <c:v>-6.3391624996302909E-3</c:v>
                </c:pt>
                <c:pt idx="359">
                  <c:v>1.0015537812790853E-4</c:v>
                </c:pt>
                <c:pt idx="360">
                  <c:v>-6.3084320567146079E-3</c:v>
                </c:pt>
                <c:pt idx="361">
                  <c:v>9.9793235760259336E-5</c:v>
                </c:pt>
                <c:pt idx="362">
                  <c:v>-6.2779163802240134E-3</c:v>
                </c:pt>
                <c:pt idx="363">
                  <c:v>9.9327972174378942E-5</c:v>
                </c:pt>
                <c:pt idx="364">
                  <c:v>-6.2477282362713993E-3</c:v>
                </c:pt>
                <c:pt idx="365">
                  <c:v>9.875776352963328E-5</c:v>
                </c:pt>
                <c:pt idx="366">
                  <c:v>-6.2179226575551638E-3</c:v>
                </c:pt>
                <c:pt idx="367">
                  <c:v>9.8150326829582468E-5</c:v>
                </c:pt>
                <c:pt idx="368">
                  <c:v>-6.1884964885461358E-3</c:v>
                </c:pt>
                <c:pt idx="369">
                  <c:v>9.7264891223858285E-5</c:v>
                </c:pt>
                <c:pt idx="370">
                  <c:v>-6.1595714000475255E-3</c:v>
                </c:pt>
                <c:pt idx="371">
                  <c:v>9.6629743140397295E-5</c:v>
                </c:pt>
                <c:pt idx="372">
                  <c:v>-6.130845780567995E-3</c:v>
                </c:pt>
                <c:pt idx="373">
                  <c:v>9.6060294922040157E-5</c:v>
                </c:pt>
                <c:pt idx="374">
                  <c:v>-6.1021709642279376E-3</c:v>
                </c:pt>
                <c:pt idx="375">
                  <c:v>9.533879551959501E-5</c:v>
                </c:pt>
                <c:pt idx="376">
                  <c:v>-6.0739181491467065E-3</c:v>
                </c:pt>
                <c:pt idx="377">
                  <c:v>9.4481573691851395E-5</c:v>
                </c:pt>
                <c:pt idx="378">
                  <c:v>-6.0461361389361201E-3</c:v>
                </c:pt>
                <c:pt idx="379">
                  <c:v>9.3652087221229863E-5</c:v>
                </c:pt>
                <c:pt idx="380">
                  <c:v>-6.0186618463031749E-3</c:v>
                </c:pt>
                <c:pt idx="381">
                  <c:v>9.2924134285965465E-5</c:v>
                </c:pt>
                <c:pt idx="382">
                  <c:v>-5.9912501443779576E-3</c:v>
                </c:pt>
                <c:pt idx="383">
                  <c:v>9.2165164526036847E-5</c:v>
                </c:pt>
                <c:pt idx="384">
                  <c:v>-5.9642176615497533E-3</c:v>
                </c:pt>
                <c:pt idx="385">
                  <c:v>9.1522514427566648E-5</c:v>
                </c:pt>
                <c:pt idx="386">
                  <c:v>-5.9373088508891669E-3</c:v>
                </c:pt>
                <c:pt idx="387">
                  <c:v>9.0935978168005249E-5</c:v>
                </c:pt>
                <c:pt idx="388">
                  <c:v>-5.9105148146567643E-3</c:v>
                </c:pt>
                <c:pt idx="389">
                  <c:v>9.0305796163647756E-5</c:v>
                </c:pt>
                <c:pt idx="390">
                  <c:v>-5.8839929963578896E-3</c:v>
                </c:pt>
                <c:pt idx="391">
                  <c:v>8.9439758621523424E-5</c:v>
                </c:pt>
                <c:pt idx="392">
                  <c:v>-5.8579618758045626E-3</c:v>
                </c:pt>
                <c:pt idx="393">
                  <c:v>8.8613622018840488E-5</c:v>
                </c:pt>
                <c:pt idx="394">
                  <c:v>-5.8322038550464583E-3</c:v>
                </c:pt>
                <c:pt idx="395">
                  <c:v>8.7925542640476806E-5</c:v>
                </c:pt>
                <c:pt idx="396">
                  <c:v>-5.8065926248129784E-3</c:v>
                </c:pt>
                <c:pt idx="397">
                  <c:v>8.7157064525555938E-5</c:v>
                </c:pt>
                <c:pt idx="398">
                  <c:v>-5.7812353896729007E-3</c:v>
                </c:pt>
                <c:pt idx="399">
                  <c:v>8.6510821237339997E-5</c:v>
                </c:pt>
                <c:pt idx="400">
                  <c:v>-5.7560771182298964E-3</c:v>
                </c:pt>
                <c:pt idx="401">
                  <c:v>8.5849437763130254E-5</c:v>
                </c:pt>
                <c:pt idx="402">
                  <c:v>-5.7311264180235355E-3</c:v>
                </c:pt>
                <c:pt idx="403">
                  <c:v>8.5280805715015617E-5</c:v>
                </c:pt>
                <c:pt idx="404">
                  <c:v>-5.7062495224062815E-3</c:v>
                </c:pt>
                <c:pt idx="405">
                  <c:v>8.4662939412893934E-5</c:v>
                </c:pt>
                <c:pt idx="406">
                  <c:v>-5.6816094642453407E-3</c:v>
                </c:pt>
                <c:pt idx="407">
                  <c:v>8.4134275635250333E-5</c:v>
                </c:pt>
                <c:pt idx="408">
                  <c:v>-5.6571458276906128E-3</c:v>
                </c:pt>
                <c:pt idx="409">
                  <c:v>8.3440316863914177E-5</c:v>
                </c:pt>
                <c:pt idx="410">
                  <c:v>-5.6330792400220986E-3</c:v>
                </c:pt>
                <c:pt idx="411">
                  <c:v>8.2857966685168094E-5</c:v>
                </c:pt>
                <c:pt idx="412">
                  <c:v>-5.6091318555555603E-3</c:v>
                </c:pt>
                <c:pt idx="413">
                  <c:v>8.2333953905333601E-5</c:v>
                </c:pt>
                <c:pt idx="414">
                  <c:v>-5.5853116324300345E-3</c:v>
                </c:pt>
                <c:pt idx="415">
                  <c:v>8.1725125555820455E-5</c:v>
                </c:pt>
                <c:pt idx="416">
                  <c:v>-5.5617624611610239E-3</c:v>
                </c:pt>
                <c:pt idx="417">
                  <c:v>8.1204793644928941E-5</c:v>
                </c:pt>
                <c:pt idx="418">
                  <c:v>-5.5383857041455542E-3</c:v>
                </c:pt>
                <c:pt idx="419">
                  <c:v>8.0726763343363928E-5</c:v>
                </c:pt>
                <c:pt idx="420">
                  <c:v>-5.5151250104525928E-3</c:v>
                </c:pt>
                <c:pt idx="421">
                  <c:v>8.0215829708407682E-5</c:v>
                </c:pt>
                <c:pt idx="422">
                  <c:v>-5.4920351254388322E-3</c:v>
                </c:pt>
                <c:pt idx="423">
                  <c:v>7.9664848072980021E-5</c:v>
                </c:pt>
                <c:pt idx="424">
                  <c:v>-5.4692601818402409E-3</c:v>
                </c:pt>
                <c:pt idx="425">
                  <c:v>7.9126057579870235E-5</c:v>
                </c:pt>
                <c:pt idx="426">
                  <c:v>-5.4467309335226588E-3</c:v>
                </c:pt>
                <c:pt idx="427">
                  <c:v>7.8620525659545137E-5</c:v>
                </c:pt>
                <c:pt idx="428">
                  <c:v>-5.4243034422629677E-3</c:v>
                </c:pt>
                <c:pt idx="429">
                  <c:v>7.8413286502154733E-5</c:v>
                </c:pt>
                <c:pt idx="430">
                  <c:v>-5.4017118813849407E-3</c:v>
                </c:pt>
                <c:pt idx="431">
                  <c:v>7.7973307680778703E-5</c:v>
                </c:pt>
                <c:pt idx="432">
                  <c:v>-5.3794884346487493E-3</c:v>
                </c:pt>
                <c:pt idx="433">
                  <c:v>7.7436338228764612E-5</c:v>
                </c:pt>
                <c:pt idx="434">
                  <c:v>-5.357558385936656E-3</c:v>
                </c:pt>
                <c:pt idx="435">
                  <c:v>7.6690552061720041E-5</c:v>
                </c:pt>
                <c:pt idx="436">
                  <c:v>-5.3360432121554169E-3</c:v>
                </c:pt>
                <c:pt idx="437">
                  <c:v>7.603204514872175E-5</c:v>
                </c:pt>
                <c:pt idx="438">
                  <c:v>-5.3146504796171001E-3</c:v>
                </c:pt>
                <c:pt idx="439">
                  <c:v>7.543167871482126E-5</c:v>
                </c:pt>
                <c:pt idx="440">
                  <c:v>-5.2933831101089623E-3</c:v>
                </c:pt>
                <c:pt idx="441">
                  <c:v>7.4770062564510908E-5</c:v>
                </c:pt>
                <c:pt idx="442">
                  <c:v>-5.2724047320111822E-3</c:v>
                </c:pt>
                <c:pt idx="443">
                  <c:v>7.4264561078507541E-5</c:v>
                </c:pt>
                <c:pt idx="444">
                  <c:v>-5.2514564763512794E-3</c:v>
                </c:pt>
                <c:pt idx="445">
                  <c:v>7.3813741773065544E-5</c:v>
                </c:pt>
                <c:pt idx="446">
                  <c:v>-5.2305545065607362E-3</c:v>
                </c:pt>
                <c:pt idx="447">
                  <c:v>7.3242633471082286E-5</c:v>
                </c:pt>
                <c:pt idx="448">
                  <c:v>-5.2099217692127553E-3</c:v>
                </c:pt>
                <c:pt idx="449">
                  <c:v>7.2678722466079648E-5</c:v>
                </c:pt>
                <c:pt idx="450">
                  <c:v>-5.1895417562501933E-3</c:v>
                </c:pt>
              </c:numCache>
            </c:numRef>
          </c:val>
          <c:smooth val="0"/>
          <c:extLst>
            <c:ext xmlns:c16="http://schemas.microsoft.com/office/drawing/2014/chart" uri="{C3380CC4-5D6E-409C-BE32-E72D297353CC}">
              <c16:uniqueId val="{00000000-77A3-AC44-B0B4-9CEF4A96E08A}"/>
            </c:ext>
          </c:extLst>
        </c:ser>
        <c:dLbls>
          <c:showLegendKey val="0"/>
          <c:showVal val="0"/>
          <c:showCatName val="0"/>
          <c:showSerName val="0"/>
          <c:showPercent val="0"/>
          <c:showBubbleSize val="0"/>
        </c:dLbls>
        <c:smooth val="0"/>
        <c:axId val="1906762015"/>
        <c:axId val="1"/>
      </c:lineChart>
      <c:catAx>
        <c:axId val="1906762015"/>
        <c:scaling>
          <c:orientation val="minMax"/>
        </c:scaling>
        <c:delete val="0"/>
        <c:axPos val="b"/>
        <c:numFmt formatCode="General" sourceLinked="1"/>
        <c:majorTickMark val="none"/>
        <c:minorTickMark val="none"/>
        <c:tickLblPos val="nextTo"/>
        <c:spPr>
          <a:ln w="3175">
            <a:solidFill>
              <a:srgbClr val="C0C0C0"/>
            </a:solidFill>
            <a:prstDash val="solid"/>
          </a:ln>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906762015"/>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American Put Option Boundary</a:t>
            </a:r>
          </a:p>
        </c:rich>
      </c:tx>
      <c:overlay val="0"/>
      <c:spPr>
        <a:noFill/>
        <a:ln w="25400">
          <a:noFill/>
        </a:ln>
      </c:spPr>
    </c:title>
    <c:autoTitleDeleted val="0"/>
    <c:plotArea>
      <c:layout/>
      <c:lineChart>
        <c:grouping val="standard"/>
        <c:varyColors val="0"/>
        <c:ser>
          <c:idx val="0"/>
          <c:order val="0"/>
          <c:spPr>
            <a:ln w="25400">
              <a:solidFill>
                <a:srgbClr val="666699"/>
              </a:solidFill>
              <a:prstDash val="solid"/>
            </a:ln>
          </c:spPr>
          <c:marker>
            <c:symbol val="none"/>
          </c:marker>
          <c:val>
            <c:numRef>
              <c:f>'American Put Exercise Boundary'!$P$1:$CV$1</c:f>
              <c:numCache>
                <c:formatCode>General</c:formatCode>
                <c:ptCount val="85"/>
                <c:pt idx="0">
                  <c:v>31.881407581088656</c:v>
                </c:pt>
                <c:pt idx="1">
                  <c:v>30.939169590307031</c:v>
                </c:pt>
                <c:pt idx="2">
                  <c:v>31.881407581088656</c:v>
                </c:pt>
                <c:pt idx="3">
                  <c:v>30.939169590307031</c:v>
                </c:pt>
                <c:pt idx="4">
                  <c:v>31.881407581088656</c:v>
                </c:pt>
                <c:pt idx="5">
                  <c:v>30.939169590307035</c:v>
                </c:pt>
                <c:pt idx="6">
                  <c:v>31.881407581088659</c:v>
                </c:pt>
                <c:pt idx="7">
                  <c:v>30.939169590307039</c:v>
                </c:pt>
                <c:pt idx="8">
                  <c:v>31.881407581088659</c:v>
                </c:pt>
                <c:pt idx="9">
                  <c:v>32.852340990752836</c:v>
                </c:pt>
                <c:pt idx="10">
                  <c:v>31.881407581088659</c:v>
                </c:pt>
                <c:pt idx="11">
                  <c:v>32.852340990752843</c:v>
                </c:pt>
                <c:pt idx="12">
                  <c:v>31.881407581088666</c:v>
                </c:pt>
                <c:pt idx="13">
                  <c:v>32.852340990752843</c:v>
                </c:pt>
                <c:pt idx="14">
                  <c:v>31.881407581088663</c:v>
                </c:pt>
                <c:pt idx="15">
                  <c:v>32.852340990752836</c:v>
                </c:pt>
                <c:pt idx="16">
                  <c:v>31.881407581088663</c:v>
                </c:pt>
                <c:pt idx="17">
                  <c:v>32.85234099075285</c:v>
                </c:pt>
                <c:pt idx="18">
                  <c:v>31.881407581088677</c:v>
                </c:pt>
                <c:pt idx="19">
                  <c:v>32.852340990752843</c:v>
                </c:pt>
                <c:pt idx="20">
                  <c:v>33.852843724908247</c:v>
                </c:pt>
                <c:pt idx="21">
                  <c:v>32.85234099075285</c:v>
                </c:pt>
                <c:pt idx="22">
                  <c:v>33.852843724908247</c:v>
                </c:pt>
                <c:pt idx="23">
                  <c:v>32.852340990752857</c:v>
                </c:pt>
                <c:pt idx="24">
                  <c:v>33.852843724908247</c:v>
                </c:pt>
                <c:pt idx="25">
                  <c:v>32.85234099075285</c:v>
                </c:pt>
                <c:pt idx="26">
                  <c:v>33.852843724908254</c:v>
                </c:pt>
                <c:pt idx="27">
                  <c:v>32.85234099075285</c:v>
                </c:pt>
                <c:pt idx="28">
                  <c:v>33.852843724908254</c:v>
                </c:pt>
                <c:pt idx="29">
                  <c:v>34.883816303551576</c:v>
                </c:pt>
                <c:pt idx="30">
                  <c:v>33.852843724908254</c:v>
                </c:pt>
                <c:pt idx="31">
                  <c:v>34.883816303551576</c:v>
                </c:pt>
                <c:pt idx="32">
                  <c:v>33.852843724908254</c:v>
                </c:pt>
                <c:pt idx="33">
                  <c:v>34.883816303551576</c:v>
                </c:pt>
                <c:pt idx="34">
                  <c:v>33.852843724908261</c:v>
                </c:pt>
                <c:pt idx="35">
                  <c:v>34.883816303551583</c:v>
                </c:pt>
                <c:pt idx="36">
                  <c:v>33.852843724908261</c:v>
                </c:pt>
                <c:pt idx="37">
                  <c:v>34.883816303551583</c:v>
                </c:pt>
                <c:pt idx="38">
                  <c:v>35.946186671596344</c:v>
                </c:pt>
                <c:pt idx="39">
                  <c:v>34.88381630355159</c:v>
                </c:pt>
                <c:pt idx="40">
                  <c:v>35.946186671596351</c:v>
                </c:pt>
                <c:pt idx="41">
                  <c:v>34.88381630355159</c:v>
                </c:pt>
                <c:pt idx="42">
                  <c:v>35.946186671596344</c:v>
                </c:pt>
                <c:pt idx="43">
                  <c:v>34.883816303551583</c:v>
                </c:pt>
                <c:pt idx="44">
                  <c:v>35.946186671596344</c:v>
                </c:pt>
                <c:pt idx="45">
                  <c:v>34.88381630355159</c:v>
                </c:pt>
                <c:pt idx="46">
                  <c:v>35.946186671596351</c:v>
                </c:pt>
                <c:pt idx="47">
                  <c:v>37.040911034085937</c:v>
                </c:pt>
                <c:pt idx="48">
                  <c:v>35.946186671596351</c:v>
                </c:pt>
                <c:pt idx="49">
                  <c:v>37.040911034085937</c:v>
                </c:pt>
                <c:pt idx="50">
                  <c:v>35.946186671596351</c:v>
                </c:pt>
                <c:pt idx="51">
                  <c:v>37.040911034085944</c:v>
                </c:pt>
                <c:pt idx="52">
                  <c:v>35.946186671596358</c:v>
                </c:pt>
                <c:pt idx="53">
                  <c:v>37.040911034085951</c:v>
                </c:pt>
                <c:pt idx="54">
                  <c:v>38.168974716842719</c:v>
                </c:pt>
                <c:pt idx="55">
                  <c:v>37.040911034085944</c:v>
                </c:pt>
                <c:pt idx="56">
                  <c:v>38.168974716842719</c:v>
                </c:pt>
                <c:pt idx="57">
                  <c:v>37.040911034085951</c:v>
                </c:pt>
                <c:pt idx="58">
                  <c:v>38.168974716842719</c:v>
                </c:pt>
                <c:pt idx="59">
                  <c:v>39.331393053327744</c:v>
                </c:pt>
                <c:pt idx="60">
                  <c:v>38.168974716842733</c:v>
                </c:pt>
                <c:pt idx="61">
                  <c:v>39.331393053327744</c:v>
                </c:pt>
                <c:pt idx="62">
                  <c:v>38.168974716842726</c:v>
                </c:pt>
                <c:pt idx="63">
                  <c:v>39.331393053327737</c:v>
                </c:pt>
                <c:pt idx="64">
                  <c:v>40.529212298509428</c:v>
                </c:pt>
                <c:pt idx="65">
                  <c:v>39.331393053327744</c:v>
                </c:pt>
                <c:pt idx="66">
                  <c:v>40.529212298509435</c:v>
                </c:pt>
                <c:pt idx="67">
                  <c:v>39.331393053327744</c:v>
                </c:pt>
                <c:pt idx="68">
                  <c:v>40.529212298509428</c:v>
                </c:pt>
                <c:pt idx="69">
                  <c:v>41.763510570563689</c:v>
                </c:pt>
                <c:pt idx="70">
                  <c:v>40.529212298509435</c:v>
                </c:pt>
                <c:pt idx="71">
                  <c:v>41.763510570563689</c:v>
                </c:pt>
                <c:pt idx="72">
                  <c:v>43.03539882125299</c:v>
                </c:pt>
                <c:pt idx="73">
                  <c:v>41.763510570563696</c:v>
                </c:pt>
                <c:pt idx="74">
                  <c:v>43.035398821252983</c:v>
                </c:pt>
                <c:pt idx="75">
                  <c:v>41.763510570563689</c:v>
                </c:pt>
                <c:pt idx="76">
                  <c:v>43.035398821252983</c:v>
                </c:pt>
                <c:pt idx="77">
                  <c:v>44.346021835857982</c:v>
                </c:pt>
                <c:pt idx="78">
                  <c:v>45.696559263561525</c:v>
                </c:pt>
                <c:pt idx="79">
                  <c:v>44.346021835857982</c:v>
                </c:pt>
                <c:pt idx="80">
                  <c:v>45.696559263561525</c:v>
                </c:pt>
                <c:pt idx="81">
                  <c:v>47.088226679212561</c:v>
                </c:pt>
                <c:pt idx="82">
                  <c:v>48.522276677425538</c:v>
                </c:pt>
                <c:pt idx="83">
                  <c:v>50.000000000000142</c:v>
                </c:pt>
                <c:pt idx="84">
                  <c:v>51.522726697675985</c:v>
                </c:pt>
              </c:numCache>
            </c:numRef>
          </c:val>
          <c:smooth val="0"/>
          <c:extLst>
            <c:ext xmlns:c16="http://schemas.microsoft.com/office/drawing/2014/chart" uri="{C3380CC4-5D6E-409C-BE32-E72D297353CC}">
              <c16:uniqueId val="{00000000-B5D8-654E-80BF-9AFC17D01644}"/>
            </c:ext>
          </c:extLst>
        </c:ser>
        <c:dLbls>
          <c:showLegendKey val="0"/>
          <c:showVal val="0"/>
          <c:showCatName val="0"/>
          <c:showSerName val="0"/>
          <c:showPercent val="0"/>
          <c:showBubbleSize val="0"/>
        </c:dLbls>
        <c:smooth val="0"/>
        <c:axId val="1905981935"/>
        <c:axId val="1"/>
      </c:lineChart>
      <c:catAx>
        <c:axId val="1905981935"/>
        <c:scaling>
          <c:orientation val="minMax"/>
        </c:scaling>
        <c:delete val="0"/>
        <c:axPos val="b"/>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905981935"/>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scatterChart>
        <c:scatterStyle val="lineMarker"/>
        <c:varyColors val="0"/>
        <c:ser>
          <c:idx val="0"/>
          <c:order val="0"/>
          <c:tx>
            <c:strRef>
              <c:f>'American CRR Extrapolation'!$F$1</c:f>
              <c:strCache>
                <c:ptCount val="1"/>
                <c:pt idx="0">
                  <c:v>Error CRR</c:v>
                </c:pt>
              </c:strCache>
            </c:strRef>
          </c:tx>
          <c:spPr>
            <a:ln w="12700">
              <a:solidFill>
                <a:srgbClr val="666699"/>
              </a:solidFill>
              <a:prstDash val="solid"/>
            </a:ln>
          </c:spPr>
          <c:marker>
            <c:symbol val="circle"/>
            <c:size val="5"/>
            <c:spPr>
              <a:solidFill>
                <a:srgbClr val="4F81BD"/>
              </a:solidFill>
              <a:ln>
                <a:solidFill>
                  <a:srgbClr val="666699"/>
                </a:solidFill>
                <a:prstDash val="solid"/>
              </a:ln>
            </c:spPr>
          </c:marker>
          <c:xVal>
            <c:numRef>
              <c:f>'American CRR Extrapolation'!$D$2:$D$42</c:f>
              <c:numCache>
                <c:formatCode>General</c:formatCode>
                <c:ptCount val="41"/>
                <c:pt idx="0">
                  <c:v>50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2400</c:v>
                </c:pt>
                <c:pt idx="25">
                  <c:v>2500</c:v>
                </c:pt>
                <c:pt idx="26">
                  <c:v>2600</c:v>
                </c:pt>
                <c:pt idx="27">
                  <c:v>2700</c:v>
                </c:pt>
                <c:pt idx="28">
                  <c:v>2800</c:v>
                </c:pt>
                <c:pt idx="29">
                  <c:v>2900</c:v>
                </c:pt>
                <c:pt idx="30">
                  <c:v>3000</c:v>
                </c:pt>
                <c:pt idx="31">
                  <c:v>3100</c:v>
                </c:pt>
                <c:pt idx="32">
                  <c:v>3200</c:v>
                </c:pt>
                <c:pt idx="33">
                  <c:v>3300</c:v>
                </c:pt>
                <c:pt idx="34">
                  <c:v>3400</c:v>
                </c:pt>
                <c:pt idx="35">
                  <c:v>3500</c:v>
                </c:pt>
                <c:pt idx="36">
                  <c:v>3600</c:v>
                </c:pt>
                <c:pt idx="37">
                  <c:v>3700</c:v>
                </c:pt>
                <c:pt idx="38">
                  <c:v>3800</c:v>
                </c:pt>
                <c:pt idx="39">
                  <c:v>3900</c:v>
                </c:pt>
                <c:pt idx="40">
                  <c:v>4000</c:v>
                </c:pt>
              </c:numCache>
            </c:numRef>
          </c:xVal>
          <c:yVal>
            <c:numRef>
              <c:f>'American CRR Extrapolation'!$F$2:$F$42</c:f>
              <c:numCache>
                <c:formatCode>General</c:formatCode>
                <c:ptCount val="41"/>
                <c:pt idx="0">
                  <c:v>5.9187132266735887E-4</c:v>
                </c:pt>
                <c:pt idx="1">
                  <c:v>1.4238035421515249E-2</c:v>
                </c:pt>
                <c:pt idx="2">
                  <c:v>4.2929373322238007E-3</c:v>
                </c:pt>
                <c:pt idx="3">
                  <c:v>2.6371619450493711E-3</c:v>
                </c:pt>
                <c:pt idx="4">
                  <c:v>1.0376227534099058E-3</c:v>
                </c:pt>
                <c:pt idx="5">
                  <c:v>2.938658315301268E-3</c:v>
                </c:pt>
                <c:pt idx="6">
                  <c:v>-3.227929637041882E-4</c:v>
                </c:pt>
                <c:pt idx="7">
                  <c:v>8.1177092051376576E-4</c:v>
                </c:pt>
                <c:pt idx="8">
                  <c:v>1.8591813303459048E-3</c:v>
                </c:pt>
                <c:pt idx="9">
                  <c:v>7.6648494018627389E-4</c:v>
                </c:pt>
                <c:pt idx="10">
                  <c:v>-9.4631594143734787E-4</c:v>
                </c:pt>
                <c:pt idx="11">
                  <c:v>8.2881366004450285E-4</c:v>
                </c:pt>
                <c:pt idx="12">
                  <c:v>1.2183248427888316E-3</c:v>
                </c:pt>
                <c:pt idx="13">
                  <c:v>6.7270982015621428E-4</c:v>
                </c:pt>
                <c:pt idx="14">
                  <c:v>-4.9771414432164818E-4</c:v>
                </c:pt>
                <c:pt idx="15">
                  <c:v>1.1108624578071158E-4</c:v>
                </c:pt>
                <c:pt idx="16">
                  <c:v>7.6305968287648795E-4</c:v>
                </c:pt>
                <c:pt idx="17">
                  <c:v>8.2346233907237831E-4</c:v>
                </c:pt>
                <c:pt idx="18">
                  <c:v>4.3566008846340765E-4</c:v>
                </c:pt>
                <c:pt idx="19">
                  <c:v>-2.8581885405998264E-4</c:v>
                </c:pt>
                <c:pt idx="20">
                  <c:v>-1.2531369793400415E-4</c:v>
                </c:pt>
                <c:pt idx="21">
                  <c:v>4.2865933179569993E-4</c:v>
                </c:pt>
                <c:pt idx="22">
                  <c:v>6.2633427616987092E-4</c:v>
                </c:pt>
                <c:pt idx="23">
                  <c:v>5.3581645169309411E-4</c:v>
                </c:pt>
                <c:pt idx="24">
                  <c:v>2.1158651799524364E-4</c:v>
                </c:pt>
                <c:pt idx="25">
                  <c:v>-2.9834014904572825E-4</c:v>
                </c:pt>
                <c:pt idx="26">
                  <c:v>-1.2510771380469521E-4</c:v>
                </c:pt>
                <c:pt idx="27">
                  <c:v>2.7258896093229623E-4</c:v>
                </c:pt>
                <c:pt idx="28">
                  <c:v>4.5500928592367984E-4</c:v>
                </c:pt>
                <c:pt idx="29">
                  <c:v>4.5483650916366969E-4</c:v>
                </c:pt>
                <c:pt idx="30">
                  <c:v>3.0014589294857785E-4</c:v>
                </c:pt>
                <c:pt idx="31">
                  <c:v>1.4240332644632758E-5</c:v>
                </c:pt>
                <c:pt idx="32">
                  <c:v>-3.7749766384820305E-4</c:v>
                </c:pt>
                <c:pt idx="33">
                  <c:v>-4.7815700765951874E-5</c:v>
                </c:pt>
                <c:pt idx="34">
                  <c:v>2.158516257892984E-4</c:v>
                </c:pt>
                <c:pt idx="35">
                  <c:v>3.4673852273314765E-4</c:v>
                </c:pt>
                <c:pt idx="36">
                  <c:v>3.6086857085670943E-4</c:v>
                </c:pt>
                <c:pt idx="37">
                  <c:v>2.7258870476210006E-4</c:v>
                </c:pt>
                <c:pt idx="38">
                  <c:v>9.5194223836969627E-5</c:v>
                </c:pt>
                <c:pt idx="39">
                  <c:v>-1.599790597115458E-4</c:v>
                </c:pt>
                <c:pt idx="40">
                  <c:v>-2.2539027971646419E-4</c:v>
                </c:pt>
              </c:numCache>
            </c:numRef>
          </c:yVal>
          <c:smooth val="0"/>
          <c:extLst>
            <c:ext xmlns:c16="http://schemas.microsoft.com/office/drawing/2014/chart" uri="{C3380CC4-5D6E-409C-BE32-E72D297353CC}">
              <c16:uniqueId val="{00000000-6410-494B-9D91-E4ECA36B0754}"/>
            </c:ext>
          </c:extLst>
        </c:ser>
        <c:dLbls>
          <c:showLegendKey val="0"/>
          <c:showVal val="0"/>
          <c:showCatName val="0"/>
          <c:showSerName val="0"/>
          <c:showPercent val="0"/>
          <c:showBubbleSize val="0"/>
        </c:dLbls>
        <c:axId val="1906726735"/>
        <c:axId val="1"/>
      </c:scatterChart>
      <c:valAx>
        <c:axId val="1906726735"/>
        <c:scaling>
          <c:orientation val="minMax"/>
        </c:scaling>
        <c:delete val="0"/>
        <c:axPos val="b"/>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宋体"/>
                <a:ea typeface="宋体"/>
                <a:cs typeface="宋体"/>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1906726735"/>
        <c:crosses val="autoZero"/>
        <c:crossBetween val="midCat"/>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scatterChart>
        <c:scatterStyle val="lineMarker"/>
        <c:varyColors val="0"/>
        <c:ser>
          <c:idx val="0"/>
          <c:order val="0"/>
          <c:tx>
            <c:strRef>
              <c:f>'American LR Extrapolation'!$F$1</c:f>
              <c:strCache>
                <c:ptCount val="1"/>
                <c:pt idx="0">
                  <c:v>Error LR</c:v>
                </c:pt>
              </c:strCache>
            </c:strRef>
          </c:tx>
          <c:spPr>
            <a:ln w="12700">
              <a:solidFill>
                <a:srgbClr val="666699"/>
              </a:solidFill>
              <a:prstDash val="solid"/>
            </a:ln>
          </c:spPr>
          <c:marker>
            <c:symbol val="circle"/>
            <c:size val="5"/>
            <c:spPr>
              <a:solidFill>
                <a:srgbClr val="4F81BD"/>
              </a:solidFill>
              <a:ln>
                <a:solidFill>
                  <a:srgbClr val="666699"/>
                </a:solidFill>
                <a:prstDash val="solid"/>
              </a:ln>
            </c:spPr>
          </c:marker>
          <c:xVal>
            <c:numRef>
              <c:f>'American LR Extrapolation'!$D$2:$D$42</c:f>
              <c:numCache>
                <c:formatCode>General</c:formatCode>
                <c:ptCount val="41"/>
                <c:pt idx="0">
                  <c:v>51</c:v>
                </c:pt>
                <c:pt idx="1">
                  <c:v>101</c:v>
                </c:pt>
                <c:pt idx="2">
                  <c:v>201</c:v>
                </c:pt>
                <c:pt idx="3">
                  <c:v>301</c:v>
                </c:pt>
                <c:pt idx="4">
                  <c:v>401</c:v>
                </c:pt>
                <c:pt idx="5">
                  <c:v>501</c:v>
                </c:pt>
                <c:pt idx="6">
                  <c:v>601</c:v>
                </c:pt>
                <c:pt idx="7">
                  <c:v>701</c:v>
                </c:pt>
                <c:pt idx="8">
                  <c:v>801</c:v>
                </c:pt>
                <c:pt idx="9">
                  <c:v>901</c:v>
                </c:pt>
                <c:pt idx="10">
                  <c:v>1001</c:v>
                </c:pt>
                <c:pt idx="11">
                  <c:v>1101</c:v>
                </c:pt>
                <c:pt idx="12">
                  <c:v>1201</c:v>
                </c:pt>
                <c:pt idx="13">
                  <c:v>1301</c:v>
                </c:pt>
                <c:pt idx="14">
                  <c:v>1401</c:v>
                </c:pt>
                <c:pt idx="15">
                  <c:v>1501</c:v>
                </c:pt>
                <c:pt idx="16">
                  <c:v>1601</c:v>
                </c:pt>
                <c:pt idx="17">
                  <c:v>1701</c:v>
                </c:pt>
                <c:pt idx="18">
                  <c:v>1801</c:v>
                </c:pt>
                <c:pt idx="19">
                  <c:v>1901</c:v>
                </c:pt>
                <c:pt idx="20">
                  <c:v>2001</c:v>
                </c:pt>
                <c:pt idx="21">
                  <c:v>2101</c:v>
                </c:pt>
                <c:pt idx="22">
                  <c:v>2201</c:v>
                </c:pt>
                <c:pt idx="23">
                  <c:v>2301</c:v>
                </c:pt>
                <c:pt idx="24">
                  <c:v>2401</c:v>
                </c:pt>
                <c:pt idx="25">
                  <c:v>2501</c:v>
                </c:pt>
                <c:pt idx="26">
                  <c:v>2601</c:v>
                </c:pt>
                <c:pt idx="27">
                  <c:v>2701</c:v>
                </c:pt>
                <c:pt idx="28">
                  <c:v>2801</c:v>
                </c:pt>
                <c:pt idx="29">
                  <c:v>2901</c:v>
                </c:pt>
                <c:pt idx="30">
                  <c:v>3001</c:v>
                </c:pt>
                <c:pt idx="31">
                  <c:v>3101</c:v>
                </c:pt>
                <c:pt idx="32">
                  <c:v>3201</c:v>
                </c:pt>
                <c:pt idx="33">
                  <c:v>3301</c:v>
                </c:pt>
                <c:pt idx="34">
                  <c:v>3401</c:v>
                </c:pt>
                <c:pt idx="35">
                  <c:v>3501</c:v>
                </c:pt>
                <c:pt idx="36">
                  <c:v>3601</c:v>
                </c:pt>
                <c:pt idx="37">
                  <c:v>3701</c:v>
                </c:pt>
                <c:pt idx="38">
                  <c:v>3801</c:v>
                </c:pt>
                <c:pt idx="39">
                  <c:v>3901</c:v>
                </c:pt>
                <c:pt idx="40">
                  <c:v>4001</c:v>
                </c:pt>
              </c:numCache>
            </c:numRef>
          </c:xVal>
          <c:yVal>
            <c:numRef>
              <c:f>'American LR Extrapolation'!$F$2:$F$42</c:f>
              <c:numCache>
                <c:formatCode>General</c:formatCode>
                <c:ptCount val="41"/>
                <c:pt idx="0">
                  <c:v>1.2214385770068503E-3</c:v>
                </c:pt>
                <c:pt idx="1">
                  <c:v>5.8945344198768623E-4</c:v>
                </c:pt>
                <c:pt idx="2">
                  <c:v>2.774320921439255E-4</c:v>
                </c:pt>
                <c:pt idx="3">
                  <c:v>1.5780025669975828E-4</c:v>
                </c:pt>
                <c:pt idx="4">
                  <c:v>1.024779504454898E-4</c:v>
                </c:pt>
                <c:pt idx="5">
                  <c:v>7.2210724839649743E-5</c:v>
                </c:pt>
                <c:pt idx="6">
                  <c:v>5.1656997428040086E-5</c:v>
                </c:pt>
                <c:pt idx="7">
                  <c:v>3.463105094070329E-5</c:v>
                </c:pt>
                <c:pt idx="8">
                  <c:v>2.209930833707574E-5</c:v>
                </c:pt>
                <c:pt idx="9">
                  <c:v>1.2254776045494964E-5</c:v>
                </c:pt>
                <c:pt idx="10">
                  <c:v>5.0431541751549958E-6</c:v>
                </c:pt>
                <c:pt idx="11">
                  <c:v>-7.2423861574577586E-7</c:v>
                </c:pt>
                <c:pt idx="12">
                  <c:v>-5.8828717062198166E-6</c:v>
                </c:pt>
                <c:pt idx="13">
                  <c:v>-1.0391095804251904E-5</c:v>
                </c:pt>
                <c:pt idx="14">
                  <c:v>-1.3993647801413545E-5</c:v>
                </c:pt>
                <c:pt idx="15">
                  <c:v>-1.6952910179668379E-5</c:v>
                </c:pt>
                <c:pt idx="16">
                  <c:v>-1.9864503586930482E-5</c:v>
                </c:pt>
                <c:pt idx="17">
                  <c:v>-2.2271748456148543E-5</c:v>
                </c:pt>
                <c:pt idx="18">
                  <c:v>-2.4611749678271622E-5</c:v>
                </c:pt>
                <c:pt idx="19">
                  <c:v>-2.6696002420223408E-5</c:v>
                </c:pt>
                <c:pt idx="20">
                  <c:v>-2.8432250205767673E-5</c:v>
                </c:pt>
                <c:pt idx="21">
                  <c:v>-3.0084323125123547E-5</c:v>
                </c:pt>
                <c:pt idx="22">
                  <c:v>-3.163652938553696E-5</c:v>
                </c:pt>
                <c:pt idx="23">
                  <c:v>-3.3019594210870196E-5</c:v>
                </c:pt>
                <c:pt idx="24">
                  <c:v>-3.4329621930950793E-5</c:v>
                </c:pt>
                <c:pt idx="25">
                  <c:v>-3.5482517866114449E-5</c:v>
                </c:pt>
                <c:pt idx="26">
                  <c:v>-3.6562849009769138E-5</c:v>
                </c:pt>
                <c:pt idx="27">
                  <c:v>-3.7591794624702857E-5</c:v>
                </c:pt>
                <c:pt idx="28">
                  <c:v>-3.8423248787111675E-5</c:v>
                </c:pt>
                <c:pt idx="29">
                  <c:v>-3.9201530611876478E-5</c:v>
                </c:pt>
                <c:pt idx="30">
                  <c:v>-3.993962398851636E-5</c:v>
                </c:pt>
                <c:pt idx="31">
                  <c:v>-4.0639356619465161E-5</c:v>
                </c:pt>
                <c:pt idx="32">
                  <c:v>-4.1309449638760043E-5</c:v>
                </c:pt>
                <c:pt idx="33">
                  <c:v>-4.1979305349215679E-5</c:v>
                </c:pt>
                <c:pt idx="34">
                  <c:v>-4.2553852846793916E-5</c:v>
                </c:pt>
                <c:pt idx="35">
                  <c:v>-4.3124754313339508E-5</c:v>
                </c:pt>
                <c:pt idx="36">
                  <c:v>-4.3715164276036944E-5</c:v>
                </c:pt>
                <c:pt idx="37">
                  <c:v>-4.42415391717077E-5</c:v>
                </c:pt>
                <c:pt idx="38">
                  <c:v>-4.4735614126878431E-5</c:v>
                </c:pt>
                <c:pt idx="39">
                  <c:v>-4.5193647460806119E-5</c:v>
                </c:pt>
                <c:pt idx="40">
                  <c:v>-4.5619608256330935E-5</c:v>
                </c:pt>
              </c:numCache>
            </c:numRef>
          </c:yVal>
          <c:smooth val="0"/>
          <c:extLst>
            <c:ext xmlns:c16="http://schemas.microsoft.com/office/drawing/2014/chart" uri="{C3380CC4-5D6E-409C-BE32-E72D297353CC}">
              <c16:uniqueId val="{00000000-0B1C-B24C-B9EE-71B47E12ABB9}"/>
            </c:ext>
          </c:extLst>
        </c:ser>
        <c:dLbls>
          <c:showLegendKey val="0"/>
          <c:showVal val="0"/>
          <c:showCatName val="0"/>
          <c:showSerName val="0"/>
          <c:showPercent val="0"/>
          <c:showBubbleSize val="0"/>
        </c:dLbls>
        <c:axId val="1905960655"/>
        <c:axId val="1"/>
      </c:scatterChart>
      <c:valAx>
        <c:axId val="1905960655"/>
        <c:scaling>
          <c:orientation val="minMax"/>
        </c:scaling>
        <c:delete val="0"/>
        <c:axPos val="b"/>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宋体"/>
                <a:ea typeface="宋体"/>
                <a:cs typeface="宋体"/>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1905960655"/>
        <c:crosses val="autoZero"/>
        <c:crossBetween val="midCat"/>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scatterChart>
        <c:scatterStyle val="lineMarker"/>
        <c:varyColors val="0"/>
        <c:ser>
          <c:idx val="0"/>
          <c:order val="0"/>
          <c:tx>
            <c:strRef>
              <c:f>'American BD Extrapolation'!$F$1</c:f>
              <c:strCache>
                <c:ptCount val="1"/>
                <c:pt idx="0">
                  <c:v>Error BD</c:v>
                </c:pt>
              </c:strCache>
            </c:strRef>
          </c:tx>
          <c:spPr>
            <a:ln w="12700">
              <a:solidFill>
                <a:srgbClr val="666699"/>
              </a:solidFill>
              <a:prstDash val="solid"/>
            </a:ln>
          </c:spPr>
          <c:marker>
            <c:symbol val="circle"/>
            <c:size val="5"/>
            <c:spPr>
              <a:solidFill>
                <a:srgbClr val="4F81BD"/>
              </a:solidFill>
              <a:ln>
                <a:solidFill>
                  <a:srgbClr val="666699"/>
                </a:solidFill>
                <a:prstDash val="solid"/>
              </a:ln>
            </c:spPr>
          </c:marker>
          <c:xVal>
            <c:numRef>
              <c:f>'American BD Extrapolation'!$D$2:$D$42</c:f>
              <c:numCache>
                <c:formatCode>General</c:formatCode>
                <c:ptCount val="41"/>
                <c:pt idx="0">
                  <c:v>50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2400</c:v>
                </c:pt>
                <c:pt idx="25">
                  <c:v>2500</c:v>
                </c:pt>
                <c:pt idx="26">
                  <c:v>2600</c:v>
                </c:pt>
                <c:pt idx="27">
                  <c:v>2700</c:v>
                </c:pt>
                <c:pt idx="28">
                  <c:v>2800</c:v>
                </c:pt>
                <c:pt idx="29">
                  <c:v>2900</c:v>
                </c:pt>
                <c:pt idx="30">
                  <c:v>3000</c:v>
                </c:pt>
                <c:pt idx="31">
                  <c:v>3100</c:v>
                </c:pt>
                <c:pt idx="32">
                  <c:v>3200</c:v>
                </c:pt>
                <c:pt idx="33">
                  <c:v>3300</c:v>
                </c:pt>
                <c:pt idx="34">
                  <c:v>3400</c:v>
                </c:pt>
                <c:pt idx="35">
                  <c:v>3500</c:v>
                </c:pt>
                <c:pt idx="36">
                  <c:v>3600</c:v>
                </c:pt>
                <c:pt idx="37">
                  <c:v>3700</c:v>
                </c:pt>
                <c:pt idx="38">
                  <c:v>3800</c:v>
                </c:pt>
                <c:pt idx="39">
                  <c:v>3900</c:v>
                </c:pt>
                <c:pt idx="40">
                  <c:v>4000</c:v>
                </c:pt>
              </c:numCache>
            </c:numRef>
          </c:xVal>
          <c:yVal>
            <c:numRef>
              <c:f>'American BD Extrapolation'!$F$2:$F$42</c:f>
              <c:numCache>
                <c:formatCode>General</c:formatCode>
                <c:ptCount val="41"/>
                <c:pt idx="0">
                  <c:v>1.0219820875462915E-2</c:v>
                </c:pt>
                <c:pt idx="1">
                  <c:v>5.287113899433038E-3</c:v>
                </c:pt>
                <c:pt idx="2">
                  <c:v>2.7365967313262018E-3</c:v>
                </c:pt>
                <c:pt idx="3">
                  <c:v>1.8551254756058455E-3</c:v>
                </c:pt>
                <c:pt idx="4">
                  <c:v>1.3944309571822799E-3</c:v>
                </c:pt>
                <c:pt idx="5">
                  <c:v>1.0916706047279234E-3</c:v>
                </c:pt>
                <c:pt idx="6">
                  <c:v>9.3758161277079921E-4</c:v>
                </c:pt>
                <c:pt idx="7">
                  <c:v>7.8712925012602852E-4</c:v>
                </c:pt>
                <c:pt idx="8">
                  <c:v>6.6756454334537807E-4</c:v>
                </c:pt>
                <c:pt idx="9">
                  <c:v>6.0377351733720275E-4</c:v>
                </c:pt>
                <c:pt idx="10">
                  <c:v>5.4706174278607023E-4</c:v>
                </c:pt>
                <c:pt idx="11">
                  <c:v>4.8142828599750942E-4</c:v>
                </c:pt>
                <c:pt idx="12">
                  <c:v>4.3134449136950082E-4</c:v>
                </c:pt>
                <c:pt idx="13">
                  <c:v>4.0169999657990729E-4</c:v>
                </c:pt>
                <c:pt idx="14">
                  <c:v>3.7594568250298721E-4</c:v>
                </c:pt>
                <c:pt idx="15">
                  <c:v>3.4506612952434068E-4</c:v>
                </c:pt>
                <c:pt idx="16">
                  <c:v>3.1252692716421393E-4</c:v>
                </c:pt>
                <c:pt idx="17">
                  <c:v>2.8962847311753137E-4</c:v>
                </c:pt>
                <c:pt idx="18">
                  <c:v>2.7477430025868443E-4</c:v>
                </c:pt>
                <c:pt idx="19">
                  <c:v>2.6266203800240362E-4</c:v>
                </c:pt>
                <c:pt idx="20">
                  <c:v>2.4591299255227739E-4</c:v>
                </c:pt>
                <c:pt idx="21">
                  <c:v>2.2700402555564381E-4</c:v>
                </c:pt>
                <c:pt idx="22">
                  <c:v>2.1069219206459877E-4</c:v>
                </c:pt>
                <c:pt idx="23">
                  <c:v>2.006157864524738E-4</c:v>
                </c:pt>
                <c:pt idx="24">
                  <c:v>1.9318280432401025E-4</c:v>
                </c:pt>
                <c:pt idx="25">
                  <c:v>1.8607481258214875E-4</c:v>
                </c:pt>
                <c:pt idx="26">
                  <c:v>1.7612926279397811E-4</c:v>
                </c:pt>
                <c:pt idx="27">
                  <c:v>1.6456535422015861E-4</c:v>
                </c:pt>
                <c:pt idx="28">
                  <c:v>1.5391405587905638E-4</c:v>
                </c:pt>
                <c:pt idx="29">
                  <c:v>1.4615529003236816E-4</c:v>
                </c:pt>
                <c:pt idx="30">
                  <c:v>1.4166431554407666E-4</c:v>
                </c:pt>
                <c:pt idx="31">
                  <c:v>1.3744691107575591E-4</c:v>
                </c:pt>
                <c:pt idx="32">
                  <c:v>1.3273182030637543E-4</c:v>
                </c:pt>
                <c:pt idx="33">
                  <c:v>1.260039521806533E-4</c:v>
                </c:pt>
                <c:pt idx="34">
                  <c:v>1.1825456465963669E-4</c:v>
                </c:pt>
                <c:pt idx="35">
                  <c:v>1.1146984962628892E-4</c:v>
                </c:pt>
                <c:pt idx="36">
                  <c:v>1.0614932255492704E-4</c:v>
                </c:pt>
                <c:pt idx="37">
                  <c:v>1.028623669441231E-4</c:v>
                </c:pt>
                <c:pt idx="38">
                  <c:v>1.0044138305609351E-4</c:v>
                </c:pt>
                <c:pt idx="39">
                  <c:v>9.7697209543667896E-5</c:v>
                </c:pt>
                <c:pt idx="40">
                  <c:v>9.4038313370958804E-5</c:v>
                </c:pt>
              </c:numCache>
            </c:numRef>
          </c:yVal>
          <c:smooth val="0"/>
          <c:extLst>
            <c:ext xmlns:c16="http://schemas.microsoft.com/office/drawing/2014/chart" uri="{C3380CC4-5D6E-409C-BE32-E72D297353CC}">
              <c16:uniqueId val="{00000000-DE0B-0C4E-AEF8-8C0FCF90E06B}"/>
            </c:ext>
          </c:extLst>
        </c:ser>
        <c:dLbls>
          <c:showLegendKey val="0"/>
          <c:showVal val="0"/>
          <c:showCatName val="0"/>
          <c:showSerName val="0"/>
          <c:showPercent val="0"/>
          <c:showBubbleSize val="0"/>
        </c:dLbls>
        <c:axId val="1906680847"/>
        <c:axId val="1"/>
      </c:scatterChart>
      <c:valAx>
        <c:axId val="1906680847"/>
        <c:scaling>
          <c:orientation val="minMax"/>
        </c:scaling>
        <c:delete val="0"/>
        <c:axPos val="b"/>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宋体"/>
                <a:ea typeface="宋体"/>
                <a:cs typeface="宋体"/>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1906680847"/>
        <c:crosses val="autoZero"/>
        <c:crossBetween val="midCat"/>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Barrier Option: Error and Lambda</a:t>
            </a:r>
          </a:p>
        </c:rich>
      </c:tx>
      <c:overlay val="0"/>
      <c:spPr>
        <a:noFill/>
        <a:ln w="25400">
          <a:noFill/>
        </a:ln>
      </c:spPr>
    </c:title>
    <c:autoTitleDeleted val="0"/>
    <c:plotArea>
      <c:layout/>
      <c:scatterChart>
        <c:scatterStyle val="lineMarker"/>
        <c:varyColors val="0"/>
        <c:ser>
          <c:idx val="0"/>
          <c:order val="0"/>
          <c:tx>
            <c:strRef>
              <c:f>'Q3-a,b&amp;c'!$F$1</c:f>
              <c:strCache>
                <c:ptCount val="1"/>
                <c:pt idx="0">
                  <c:v>Error CRR</c:v>
                </c:pt>
              </c:strCache>
            </c:strRef>
          </c:tx>
          <c:spPr>
            <a:ln w="28575">
              <a:noFill/>
            </a:ln>
          </c:spPr>
          <c:marker>
            <c:symbol val="circle"/>
            <c:size val="5"/>
            <c:spPr>
              <a:solidFill>
                <a:srgbClr val="4F81BD"/>
              </a:solidFill>
              <a:ln>
                <a:solidFill>
                  <a:srgbClr val="666699"/>
                </a:solidFill>
                <a:prstDash val="solid"/>
              </a:ln>
            </c:spPr>
          </c:marker>
          <c:xVal>
            <c:numRef>
              <c:f>'Q3-a,b&amp;c'!$D$2:$D$452</c:f>
              <c:numCache>
                <c:formatCode>General</c:formatCode>
                <c:ptCount val="451"/>
                <c:pt idx="0">
                  <c:v>50</c:v>
                </c:pt>
                <c:pt idx="1">
                  <c:v>51</c:v>
                </c:pt>
                <c:pt idx="2">
                  <c:v>52</c:v>
                </c:pt>
                <c:pt idx="3">
                  <c:v>53</c:v>
                </c:pt>
                <c:pt idx="4">
                  <c:v>54</c:v>
                </c:pt>
                <c:pt idx="5">
                  <c:v>55</c:v>
                </c:pt>
                <c:pt idx="6">
                  <c:v>56</c:v>
                </c:pt>
                <c:pt idx="7">
                  <c:v>57</c:v>
                </c:pt>
                <c:pt idx="8">
                  <c:v>58</c:v>
                </c:pt>
                <c:pt idx="9">
                  <c:v>59</c:v>
                </c:pt>
                <c:pt idx="10">
                  <c:v>60</c:v>
                </c:pt>
                <c:pt idx="11">
                  <c:v>61</c:v>
                </c:pt>
                <c:pt idx="12">
                  <c:v>62</c:v>
                </c:pt>
                <c:pt idx="13">
                  <c:v>63</c:v>
                </c:pt>
                <c:pt idx="14">
                  <c:v>64</c:v>
                </c:pt>
                <c:pt idx="15">
                  <c:v>65</c:v>
                </c:pt>
                <c:pt idx="16">
                  <c:v>66</c:v>
                </c:pt>
                <c:pt idx="17">
                  <c:v>67</c:v>
                </c:pt>
                <c:pt idx="18">
                  <c:v>68</c:v>
                </c:pt>
                <c:pt idx="19">
                  <c:v>69</c:v>
                </c:pt>
                <c:pt idx="20">
                  <c:v>70</c:v>
                </c:pt>
                <c:pt idx="21">
                  <c:v>71</c:v>
                </c:pt>
                <c:pt idx="22">
                  <c:v>72</c:v>
                </c:pt>
                <c:pt idx="23">
                  <c:v>73</c:v>
                </c:pt>
                <c:pt idx="24">
                  <c:v>74</c:v>
                </c:pt>
                <c:pt idx="25">
                  <c:v>75</c:v>
                </c:pt>
                <c:pt idx="26">
                  <c:v>76</c:v>
                </c:pt>
                <c:pt idx="27">
                  <c:v>77</c:v>
                </c:pt>
                <c:pt idx="28">
                  <c:v>78</c:v>
                </c:pt>
                <c:pt idx="29">
                  <c:v>79</c:v>
                </c:pt>
                <c:pt idx="30">
                  <c:v>80</c:v>
                </c:pt>
                <c:pt idx="31">
                  <c:v>81</c:v>
                </c:pt>
                <c:pt idx="32">
                  <c:v>82</c:v>
                </c:pt>
                <c:pt idx="33">
                  <c:v>83</c:v>
                </c:pt>
                <c:pt idx="34">
                  <c:v>84</c:v>
                </c:pt>
                <c:pt idx="35">
                  <c:v>85</c:v>
                </c:pt>
                <c:pt idx="36">
                  <c:v>86</c:v>
                </c:pt>
                <c:pt idx="37">
                  <c:v>87</c:v>
                </c:pt>
                <c:pt idx="38">
                  <c:v>88</c:v>
                </c:pt>
                <c:pt idx="39">
                  <c:v>89</c:v>
                </c:pt>
                <c:pt idx="40">
                  <c:v>90</c:v>
                </c:pt>
                <c:pt idx="41">
                  <c:v>91</c:v>
                </c:pt>
                <c:pt idx="42">
                  <c:v>92</c:v>
                </c:pt>
                <c:pt idx="43">
                  <c:v>93</c:v>
                </c:pt>
                <c:pt idx="44">
                  <c:v>94</c:v>
                </c:pt>
                <c:pt idx="45">
                  <c:v>95</c:v>
                </c:pt>
                <c:pt idx="46">
                  <c:v>96</c:v>
                </c:pt>
                <c:pt idx="47">
                  <c:v>97</c:v>
                </c:pt>
                <c:pt idx="48">
                  <c:v>98</c:v>
                </c:pt>
                <c:pt idx="49">
                  <c:v>99</c:v>
                </c:pt>
                <c:pt idx="50">
                  <c:v>100</c:v>
                </c:pt>
                <c:pt idx="51">
                  <c:v>101</c:v>
                </c:pt>
                <c:pt idx="52">
                  <c:v>102</c:v>
                </c:pt>
                <c:pt idx="53">
                  <c:v>103</c:v>
                </c:pt>
                <c:pt idx="54">
                  <c:v>104</c:v>
                </c:pt>
                <c:pt idx="55">
                  <c:v>105</c:v>
                </c:pt>
                <c:pt idx="56">
                  <c:v>106</c:v>
                </c:pt>
                <c:pt idx="57">
                  <c:v>107</c:v>
                </c:pt>
                <c:pt idx="58">
                  <c:v>108</c:v>
                </c:pt>
                <c:pt idx="59">
                  <c:v>109</c:v>
                </c:pt>
                <c:pt idx="60">
                  <c:v>110</c:v>
                </c:pt>
                <c:pt idx="61">
                  <c:v>111</c:v>
                </c:pt>
                <c:pt idx="62">
                  <c:v>112</c:v>
                </c:pt>
                <c:pt idx="63">
                  <c:v>113</c:v>
                </c:pt>
                <c:pt idx="64">
                  <c:v>114</c:v>
                </c:pt>
                <c:pt idx="65">
                  <c:v>115</c:v>
                </c:pt>
                <c:pt idx="66">
                  <c:v>116</c:v>
                </c:pt>
                <c:pt idx="67">
                  <c:v>117</c:v>
                </c:pt>
                <c:pt idx="68">
                  <c:v>118</c:v>
                </c:pt>
                <c:pt idx="69">
                  <c:v>119</c:v>
                </c:pt>
                <c:pt idx="70">
                  <c:v>120</c:v>
                </c:pt>
                <c:pt idx="71">
                  <c:v>121</c:v>
                </c:pt>
                <c:pt idx="72">
                  <c:v>122</c:v>
                </c:pt>
                <c:pt idx="73">
                  <c:v>123</c:v>
                </c:pt>
                <c:pt idx="74">
                  <c:v>124</c:v>
                </c:pt>
                <c:pt idx="75">
                  <c:v>125</c:v>
                </c:pt>
                <c:pt idx="76">
                  <c:v>126</c:v>
                </c:pt>
                <c:pt idx="77">
                  <c:v>127</c:v>
                </c:pt>
                <c:pt idx="78">
                  <c:v>128</c:v>
                </c:pt>
                <c:pt idx="79">
                  <c:v>129</c:v>
                </c:pt>
                <c:pt idx="80">
                  <c:v>130</c:v>
                </c:pt>
                <c:pt idx="81">
                  <c:v>131</c:v>
                </c:pt>
                <c:pt idx="82">
                  <c:v>132</c:v>
                </c:pt>
                <c:pt idx="83">
                  <c:v>133</c:v>
                </c:pt>
                <c:pt idx="84">
                  <c:v>134</c:v>
                </c:pt>
                <c:pt idx="85">
                  <c:v>135</c:v>
                </c:pt>
                <c:pt idx="86">
                  <c:v>136</c:v>
                </c:pt>
                <c:pt idx="87">
                  <c:v>137</c:v>
                </c:pt>
                <c:pt idx="88">
                  <c:v>138</c:v>
                </c:pt>
                <c:pt idx="89">
                  <c:v>139</c:v>
                </c:pt>
                <c:pt idx="90">
                  <c:v>140</c:v>
                </c:pt>
                <c:pt idx="91">
                  <c:v>141</c:v>
                </c:pt>
                <c:pt idx="92">
                  <c:v>142</c:v>
                </c:pt>
                <c:pt idx="93">
                  <c:v>143</c:v>
                </c:pt>
                <c:pt idx="94">
                  <c:v>144</c:v>
                </c:pt>
                <c:pt idx="95">
                  <c:v>145</c:v>
                </c:pt>
                <c:pt idx="96">
                  <c:v>146</c:v>
                </c:pt>
                <c:pt idx="97">
                  <c:v>147</c:v>
                </c:pt>
                <c:pt idx="98">
                  <c:v>148</c:v>
                </c:pt>
                <c:pt idx="99">
                  <c:v>149</c:v>
                </c:pt>
                <c:pt idx="100">
                  <c:v>150</c:v>
                </c:pt>
                <c:pt idx="101">
                  <c:v>151</c:v>
                </c:pt>
                <c:pt idx="102">
                  <c:v>152</c:v>
                </c:pt>
                <c:pt idx="103">
                  <c:v>153</c:v>
                </c:pt>
                <c:pt idx="104">
                  <c:v>154</c:v>
                </c:pt>
                <c:pt idx="105">
                  <c:v>155</c:v>
                </c:pt>
                <c:pt idx="106">
                  <c:v>156</c:v>
                </c:pt>
                <c:pt idx="107">
                  <c:v>157</c:v>
                </c:pt>
                <c:pt idx="108">
                  <c:v>158</c:v>
                </c:pt>
                <c:pt idx="109">
                  <c:v>159</c:v>
                </c:pt>
                <c:pt idx="110">
                  <c:v>160</c:v>
                </c:pt>
                <c:pt idx="111">
                  <c:v>161</c:v>
                </c:pt>
                <c:pt idx="112">
                  <c:v>162</c:v>
                </c:pt>
                <c:pt idx="113">
                  <c:v>163</c:v>
                </c:pt>
                <c:pt idx="114">
                  <c:v>164</c:v>
                </c:pt>
                <c:pt idx="115">
                  <c:v>165</c:v>
                </c:pt>
                <c:pt idx="116">
                  <c:v>166</c:v>
                </c:pt>
                <c:pt idx="117">
                  <c:v>167</c:v>
                </c:pt>
                <c:pt idx="118">
                  <c:v>168</c:v>
                </c:pt>
                <c:pt idx="119">
                  <c:v>169</c:v>
                </c:pt>
                <c:pt idx="120">
                  <c:v>170</c:v>
                </c:pt>
                <c:pt idx="121">
                  <c:v>171</c:v>
                </c:pt>
                <c:pt idx="122">
                  <c:v>172</c:v>
                </c:pt>
                <c:pt idx="123">
                  <c:v>173</c:v>
                </c:pt>
                <c:pt idx="124">
                  <c:v>174</c:v>
                </c:pt>
                <c:pt idx="125">
                  <c:v>175</c:v>
                </c:pt>
                <c:pt idx="126">
                  <c:v>176</c:v>
                </c:pt>
                <c:pt idx="127">
                  <c:v>177</c:v>
                </c:pt>
                <c:pt idx="128">
                  <c:v>178</c:v>
                </c:pt>
                <c:pt idx="129">
                  <c:v>179</c:v>
                </c:pt>
                <c:pt idx="130">
                  <c:v>180</c:v>
                </c:pt>
                <c:pt idx="131">
                  <c:v>181</c:v>
                </c:pt>
                <c:pt idx="132">
                  <c:v>182</c:v>
                </c:pt>
                <c:pt idx="133">
                  <c:v>183</c:v>
                </c:pt>
                <c:pt idx="134">
                  <c:v>184</c:v>
                </c:pt>
                <c:pt idx="135">
                  <c:v>185</c:v>
                </c:pt>
                <c:pt idx="136">
                  <c:v>186</c:v>
                </c:pt>
                <c:pt idx="137">
                  <c:v>187</c:v>
                </c:pt>
                <c:pt idx="138">
                  <c:v>188</c:v>
                </c:pt>
                <c:pt idx="139">
                  <c:v>189</c:v>
                </c:pt>
                <c:pt idx="140">
                  <c:v>190</c:v>
                </c:pt>
                <c:pt idx="141">
                  <c:v>191</c:v>
                </c:pt>
                <c:pt idx="142">
                  <c:v>192</c:v>
                </c:pt>
                <c:pt idx="143">
                  <c:v>193</c:v>
                </c:pt>
                <c:pt idx="144">
                  <c:v>194</c:v>
                </c:pt>
                <c:pt idx="145">
                  <c:v>195</c:v>
                </c:pt>
                <c:pt idx="146">
                  <c:v>196</c:v>
                </c:pt>
                <c:pt idx="147">
                  <c:v>197</c:v>
                </c:pt>
                <c:pt idx="148">
                  <c:v>198</c:v>
                </c:pt>
                <c:pt idx="149">
                  <c:v>199</c:v>
                </c:pt>
                <c:pt idx="150">
                  <c:v>200</c:v>
                </c:pt>
                <c:pt idx="151">
                  <c:v>201</c:v>
                </c:pt>
                <c:pt idx="152">
                  <c:v>202</c:v>
                </c:pt>
                <c:pt idx="153">
                  <c:v>203</c:v>
                </c:pt>
                <c:pt idx="154">
                  <c:v>204</c:v>
                </c:pt>
                <c:pt idx="155">
                  <c:v>205</c:v>
                </c:pt>
                <c:pt idx="156">
                  <c:v>206</c:v>
                </c:pt>
                <c:pt idx="157">
                  <c:v>207</c:v>
                </c:pt>
                <c:pt idx="158">
                  <c:v>208</c:v>
                </c:pt>
                <c:pt idx="159">
                  <c:v>209</c:v>
                </c:pt>
                <c:pt idx="160">
                  <c:v>210</c:v>
                </c:pt>
                <c:pt idx="161">
                  <c:v>211</c:v>
                </c:pt>
                <c:pt idx="162">
                  <c:v>212</c:v>
                </c:pt>
                <c:pt idx="163">
                  <c:v>213</c:v>
                </c:pt>
                <c:pt idx="164">
                  <c:v>214</c:v>
                </c:pt>
                <c:pt idx="165">
                  <c:v>215</c:v>
                </c:pt>
                <c:pt idx="166">
                  <c:v>216</c:v>
                </c:pt>
                <c:pt idx="167">
                  <c:v>217</c:v>
                </c:pt>
                <c:pt idx="168">
                  <c:v>218</c:v>
                </c:pt>
                <c:pt idx="169">
                  <c:v>219</c:v>
                </c:pt>
                <c:pt idx="170">
                  <c:v>220</c:v>
                </c:pt>
                <c:pt idx="171">
                  <c:v>221</c:v>
                </c:pt>
                <c:pt idx="172">
                  <c:v>222</c:v>
                </c:pt>
                <c:pt idx="173">
                  <c:v>223</c:v>
                </c:pt>
                <c:pt idx="174">
                  <c:v>224</c:v>
                </c:pt>
                <c:pt idx="175">
                  <c:v>225</c:v>
                </c:pt>
                <c:pt idx="176">
                  <c:v>226</c:v>
                </c:pt>
                <c:pt idx="177">
                  <c:v>227</c:v>
                </c:pt>
                <c:pt idx="178">
                  <c:v>228</c:v>
                </c:pt>
                <c:pt idx="179">
                  <c:v>229</c:v>
                </c:pt>
                <c:pt idx="180">
                  <c:v>230</c:v>
                </c:pt>
                <c:pt idx="181">
                  <c:v>231</c:v>
                </c:pt>
                <c:pt idx="182">
                  <c:v>232</c:v>
                </c:pt>
                <c:pt idx="183">
                  <c:v>233</c:v>
                </c:pt>
                <c:pt idx="184">
                  <c:v>234</c:v>
                </c:pt>
                <c:pt idx="185">
                  <c:v>235</c:v>
                </c:pt>
                <c:pt idx="186">
                  <c:v>236</c:v>
                </c:pt>
                <c:pt idx="187">
                  <c:v>237</c:v>
                </c:pt>
                <c:pt idx="188">
                  <c:v>238</c:v>
                </c:pt>
                <c:pt idx="189">
                  <c:v>239</c:v>
                </c:pt>
                <c:pt idx="190">
                  <c:v>240</c:v>
                </c:pt>
                <c:pt idx="191">
                  <c:v>241</c:v>
                </c:pt>
                <c:pt idx="192">
                  <c:v>242</c:v>
                </c:pt>
                <c:pt idx="193">
                  <c:v>243</c:v>
                </c:pt>
                <c:pt idx="194">
                  <c:v>244</c:v>
                </c:pt>
                <c:pt idx="195">
                  <c:v>245</c:v>
                </c:pt>
                <c:pt idx="196">
                  <c:v>246</c:v>
                </c:pt>
                <c:pt idx="197">
                  <c:v>247</c:v>
                </c:pt>
                <c:pt idx="198">
                  <c:v>248</c:v>
                </c:pt>
                <c:pt idx="199">
                  <c:v>249</c:v>
                </c:pt>
                <c:pt idx="200">
                  <c:v>250</c:v>
                </c:pt>
                <c:pt idx="201">
                  <c:v>251</c:v>
                </c:pt>
                <c:pt idx="202">
                  <c:v>252</c:v>
                </c:pt>
                <c:pt idx="203">
                  <c:v>253</c:v>
                </c:pt>
                <c:pt idx="204">
                  <c:v>254</c:v>
                </c:pt>
                <c:pt idx="205">
                  <c:v>255</c:v>
                </c:pt>
                <c:pt idx="206">
                  <c:v>256</c:v>
                </c:pt>
                <c:pt idx="207">
                  <c:v>257</c:v>
                </c:pt>
                <c:pt idx="208">
                  <c:v>258</c:v>
                </c:pt>
                <c:pt idx="209">
                  <c:v>259</c:v>
                </c:pt>
                <c:pt idx="210">
                  <c:v>260</c:v>
                </c:pt>
                <c:pt idx="211">
                  <c:v>261</c:v>
                </c:pt>
                <c:pt idx="212">
                  <c:v>262</c:v>
                </c:pt>
                <c:pt idx="213">
                  <c:v>263</c:v>
                </c:pt>
                <c:pt idx="214">
                  <c:v>264</c:v>
                </c:pt>
                <c:pt idx="215">
                  <c:v>265</c:v>
                </c:pt>
                <c:pt idx="216">
                  <c:v>266</c:v>
                </c:pt>
                <c:pt idx="217">
                  <c:v>267</c:v>
                </c:pt>
                <c:pt idx="218">
                  <c:v>268</c:v>
                </c:pt>
                <c:pt idx="219">
                  <c:v>269</c:v>
                </c:pt>
                <c:pt idx="220">
                  <c:v>270</c:v>
                </c:pt>
                <c:pt idx="221">
                  <c:v>271</c:v>
                </c:pt>
                <c:pt idx="222">
                  <c:v>272</c:v>
                </c:pt>
                <c:pt idx="223">
                  <c:v>273</c:v>
                </c:pt>
                <c:pt idx="224">
                  <c:v>274</c:v>
                </c:pt>
                <c:pt idx="225">
                  <c:v>275</c:v>
                </c:pt>
                <c:pt idx="226">
                  <c:v>276</c:v>
                </c:pt>
                <c:pt idx="227">
                  <c:v>277</c:v>
                </c:pt>
                <c:pt idx="228">
                  <c:v>278</c:v>
                </c:pt>
                <c:pt idx="229">
                  <c:v>279</c:v>
                </c:pt>
                <c:pt idx="230">
                  <c:v>280</c:v>
                </c:pt>
                <c:pt idx="231">
                  <c:v>281</c:v>
                </c:pt>
                <c:pt idx="232">
                  <c:v>282</c:v>
                </c:pt>
                <c:pt idx="233">
                  <c:v>283</c:v>
                </c:pt>
                <c:pt idx="234">
                  <c:v>284</c:v>
                </c:pt>
                <c:pt idx="235">
                  <c:v>285</c:v>
                </c:pt>
                <c:pt idx="236">
                  <c:v>286</c:v>
                </c:pt>
                <c:pt idx="237">
                  <c:v>287</c:v>
                </c:pt>
                <c:pt idx="238">
                  <c:v>288</c:v>
                </c:pt>
                <c:pt idx="239">
                  <c:v>289</c:v>
                </c:pt>
                <c:pt idx="240">
                  <c:v>290</c:v>
                </c:pt>
                <c:pt idx="241">
                  <c:v>291</c:v>
                </c:pt>
                <c:pt idx="242">
                  <c:v>292</c:v>
                </c:pt>
                <c:pt idx="243">
                  <c:v>293</c:v>
                </c:pt>
                <c:pt idx="244">
                  <c:v>294</c:v>
                </c:pt>
                <c:pt idx="245">
                  <c:v>295</c:v>
                </c:pt>
                <c:pt idx="246">
                  <c:v>296</c:v>
                </c:pt>
                <c:pt idx="247">
                  <c:v>297</c:v>
                </c:pt>
                <c:pt idx="248">
                  <c:v>298</c:v>
                </c:pt>
                <c:pt idx="249">
                  <c:v>299</c:v>
                </c:pt>
                <c:pt idx="250">
                  <c:v>300</c:v>
                </c:pt>
                <c:pt idx="251">
                  <c:v>301</c:v>
                </c:pt>
                <c:pt idx="252">
                  <c:v>302</c:v>
                </c:pt>
                <c:pt idx="253">
                  <c:v>303</c:v>
                </c:pt>
                <c:pt idx="254">
                  <c:v>304</c:v>
                </c:pt>
                <c:pt idx="255">
                  <c:v>305</c:v>
                </c:pt>
                <c:pt idx="256">
                  <c:v>306</c:v>
                </c:pt>
                <c:pt idx="257">
                  <c:v>307</c:v>
                </c:pt>
                <c:pt idx="258">
                  <c:v>308</c:v>
                </c:pt>
                <c:pt idx="259">
                  <c:v>309</c:v>
                </c:pt>
                <c:pt idx="260">
                  <c:v>310</c:v>
                </c:pt>
                <c:pt idx="261">
                  <c:v>311</c:v>
                </c:pt>
                <c:pt idx="262">
                  <c:v>312</c:v>
                </c:pt>
                <c:pt idx="263">
                  <c:v>313</c:v>
                </c:pt>
                <c:pt idx="264">
                  <c:v>314</c:v>
                </c:pt>
                <c:pt idx="265">
                  <c:v>315</c:v>
                </c:pt>
                <c:pt idx="266">
                  <c:v>316</c:v>
                </c:pt>
                <c:pt idx="267">
                  <c:v>317</c:v>
                </c:pt>
                <c:pt idx="268">
                  <c:v>318</c:v>
                </c:pt>
                <c:pt idx="269">
                  <c:v>319</c:v>
                </c:pt>
                <c:pt idx="270">
                  <c:v>320</c:v>
                </c:pt>
                <c:pt idx="271">
                  <c:v>321</c:v>
                </c:pt>
                <c:pt idx="272">
                  <c:v>322</c:v>
                </c:pt>
                <c:pt idx="273">
                  <c:v>323</c:v>
                </c:pt>
                <c:pt idx="274">
                  <c:v>324</c:v>
                </c:pt>
                <c:pt idx="275">
                  <c:v>325</c:v>
                </c:pt>
                <c:pt idx="276">
                  <c:v>326</c:v>
                </c:pt>
                <c:pt idx="277">
                  <c:v>327</c:v>
                </c:pt>
                <c:pt idx="278">
                  <c:v>328</c:v>
                </c:pt>
                <c:pt idx="279">
                  <c:v>329</c:v>
                </c:pt>
                <c:pt idx="280">
                  <c:v>330</c:v>
                </c:pt>
                <c:pt idx="281">
                  <c:v>331</c:v>
                </c:pt>
                <c:pt idx="282">
                  <c:v>332</c:v>
                </c:pt>
                <c:pt idx="283">
                  <c:v>333</c:v>
                </c:pt>
                <c:pt idx="284">
                  <c:v>334</c:v>
                </c:pt>
                <c:pt idx="285">
                  <c:v>335</c:v>
                </c:pt>
                <c:pt idx="286">
                  <c:v>336</c:v>
                </c:pt>
                <c:pt idx="287">
                  <c:v>337</c:v>
                </c:pt>
                <c:pt idx="288">
                  <c:v>338</c:v>
                </c:pt>
                <c:pt idx="289">
                  <c:v>339</c:v>
                </c:pt>
                <c:pt idx="290">
                  <c:v>340</c:v>
                </c:pt>
                <c:pt idx="291">
                  <c:v>341</c:v>
                </c:pt>
                <c:pt idx="292">
                  <c:v>342</c:v>
                </c:pt>
                <c:pt idx="293">
                  <c:v>343</c:v>
                </c:pt>
                <c:pt idx="294">
                  <c:v>344</c:v>
                </c:pt>
                <c:pt idx="295">
                  <c:v>345</c:v>
                </c:pt>
                <c:pt idx="296">
                  <c:v>346</c:v>
                </c:pt>
                <c:pt idx="297">
                  <c:v>347</c:v>
                </c:pt>
                <c:pt idx="298">
                  <c:v>348</c:v>
                </c:pt>
                <c:pt idx="299">
                  <c:v>349</c:v>
                </c:pt>
                <c:pt idx="300">
                  <c:v>350</c:v>
                </c:pt>
                <c:pt idx="301">
                  <c:v>351</c:v>
                </c:pt>
                <c:pt idx="302">
                  <c:v>352</c:v>
                </c:pt>
                <c:pt idx="303">
                  <c:v>353</c:v>
                </c:pt>
                <c:pt idx="304">
                  <c:v>354</c:v>
                </c:pt>
                <c:pt idx="305">
                  <c:v>355</c:v>
                </c:pt>
                <c:pt idx="306">
                  <c:v>356</c:v>
                </c:pt>
                <c:pt idx="307">
                  <c:v>357</c:v>
                </c:pt>
                <c:pt idx="308">
                  <c:v>358</c:v>
                </c:pt>
                <c:pt idx="309">
                  <c:v>359</c:v>
                </c:pt>
                <c:pt idx="310">
                  <c:v>360</c:v>
                </c:pt>
                <c:pt idx="311">
                  <c:v>361</c:v>
                </c:pt>
                <c:pt idx="312">
                  <c:v>362</c:v>
                </c:pt>
                <c:pt idx="313">
                  <c:v>363</c:v>
                </c:pt>
                <c:pt idx="314">
                  <c:v>364</c:v>
                </c:pt>
                <c:pt idx="315">
                  <c:v>365</c:v>
                </c:pt>
                <c:pt idx="316">
                  <c:v>366</c:v>
                </c:pt>
                <c:pt idx="317">
                  <c:v>367</c:v>
                </c:pt>
                <c:pt idx="318">
                  <c:v>368</c:v>
                </c:pt>
                <c:pt idx="319">
                  <c:v>369</c:v>
                </c:pt>
                <c:pt idx="320">
                  <c:v>370</c:v>
                </c:pt>
                <c:pt idx="321">
                  <c:v>371</c:v>
                </c:pt>
                <c:pt idx="322">
                  <c:v>372</c:v>
                </c:pt>
                <c:pt idx="323">
                  <c:v>373</c:v>
                </c:pt>
                <c:pt idx="324">
                  <c:v>374</c:v>
                </c:pt>
                <c:pt idx="325">
                  <c:v>375</c:v>
                </c:pt>
                <c:pt idx="326">
                  <c:v>376</c:v>
                </c:pt>
                <c:pt idx="327">
                  <c:v>377</c:v>
                </c:pt>
                <c:pt idx="328">
                  <c:v>378</c:v>
                </c:pt>
                <c:pt idx="329">
                  <c:v>379</c:v>
                </c:pt>
                <c:pt idx="330">
                  <c:v>380</c:v>
                </c:pt>
                <c:pt idx="331">
                  <c:v>381</c:v>
                </c:pt>
                <c:pt idx="332">
                  <c:v>382</c:v>
                </c:pt>
                <c:pt idx="333">
                  <c:v>383</c:v>
                </c:pt>
                <c:pt idx="334">
                  <c:v>384</c:v>
                </c:pt>
                <c:pt idx="335">
                  <c:v>385</c:v>
                </c:pt>
                <c:pt idx="336">
                  <c:v>386</c:v>
                </c:pt>
                <c:pt idx="337">
                  <c:v>387</c:v>
                </c:pt>
                <c:pt idx="338">
                  <c:v>388</c:v>
                </c:pt>
                <c:pt idx="339">
                  <c:v>389</c:v>
                </c:pt>
                <c:pt idx="340">
                  <c:v>390</c:v>
                </c:pt>
                <c:pt idx="341">
                  <c:v>391</c:v>
                </c:pt>
                <c:pt idx="342">
                  <c:v>392</c:v>
                </c:pt>
                <c:pt idx="343">
                  <c:v>393</c:v>
                </c:pt>
                <c:pt idx="344">
                  <c:v>394</c:v>
                </c:pt>
                <c:pt idx="345">
                  <c:v>395</c:v>
                </c:pt>
                <c:pt idx="346">
                  <c:v>396</c:v>
                </c:pt>
                <c:pt idx="347">
                  <c:v>397</c:v>
                </c:pt>
                <c:pt idx="348">
                  <c:v>398</c:v>
                </c:pt>
                <c:pt idx="349">
                  <c:v>399</c:v>
                </c:pt>
                <c:pt idx="350">
                  <c:v>400</c:v>
                </c:pt>
                <c:pt idx="351">
                  <c:v>401</c:v>
                </c:pt>
                <c:pt idx="352">
                  <c:v>402</c:v>
                </c:pt>
                <c:pt idx="353">
                  <c:v>403</c:v>
                </c:pt>
                <c:pt idx="354">
                  <c:v>404</c:v>
                </c:pt>
                <c:pt idx="355">
                  <c:v>405</c:v>
                </c:pt>
                <c:pt idx="356">
                  <c:v>406</c:v>
                </c:pt>
                <c:pt idx="357">
                  <c:v>407</c:v>
                </c:pt>
                <c:pt idx="358">
                  <c:v>408</c:v>
                </c:pt>
                <c:pt idx="359">
                  <c:v>409</c:v>
                </c:pt>
                <c:pt idx="360">
                  <c:v>410</c:v>
                </c:pt>
                <c:pt idx="361">
                  <c:v>411</c:v>
                </c:pt>
                <c:pt idx="362">
                  <c:v>412</c:v>
                </c:pt>
                <c:pt idx="363">
                  <c:v>413</c:v>
                </c:pt>
                <c:pt idx="364">
                  <c:v>414</c:v>
                </c:pt>
                <c:pt idx="365">
                  <c:v>415</c:v>
                </c:pt>
                <c:pt idx="366">
                  <c:v>416</c:v>
                </c:pt>
                <c:pt idx="367">
                  <c:v>417</c:v>
                </c:pt>
                <c:pt idx="368">
                  <c:v>418</c:v>
                </c:pt>
                <c:pt idx="369">
                  <c:v>419</c:v>
                </c:pt>
                <c:pt idx="370">
                  <c:v>420</c:v>
                </c:pt>
                <c:pt idx="371">
                  <c:v>421</c:v>
                </c:pt>
                <c:pt idx="372">
                  <c:v>422</c:v>
                </c:pt>
                <c:pt idx="373">
                  <c:v>423</c:v>
                </c:pt>
                <c:pt idx="374">
                  <c:v>424</c:v>
                </c:pt>
                <c:pt idx="375">
                  <c:v>425</c:v>
                </c:pt>
                <c:pt idx="376">
                  <c:v>426</c:v>
                </c:pt>
                <c:pt idx="377">
                  <c:v>427</c:v>
                </c:pt>
                <c:pt idx="378">
                  <c:v>428</c:v>
                </c:pt>
                <c:pt idx="379">
                  <c:v>429</c:v>
                </c:pt>
                <c:pt idx="380">
                  <c:v>430</c:v>
                </c:pt>
                <c:pt idx="381">
                  <c:v>431</c:v>
                </c:pt>
                <c:pt idx="382">
                  <c:v>432</c:v>
                </c:pt>
                <c:pt idx="383">
                  <c:v>433</c:v>
                </c:pt>
                <c:pt idx="384">
                  <c:v>434</c:v>
                </c:pt>
                <c:pt idx="385">
                  <c:v>435</c:v>
                </c:pt>
                <c:pt idx="386">
                  <c:v>436</c:v>
                </c:pt>
                <c:pt idx="387">
                  <c:v>437</c:v>
                </c:pt>
                <c:pt idx="388">
                  <c:v>438</c:v>
                </c:pt>
                <c:pt idx="389">
                  <c:v>439</c:v>
                </c:pt>
                <c:pt idx="390">
                  <c:v>440</c:v>
                </c:pt>
                <c:pt idx="391">
                  <c:v>441</c:v>
                </c:pt>
                <c:pt idx="392">
                  <c:v>442</c:v>
                </c:pt>
                <c:pt idx="393">
                  <c:v>443</c:v>
                </c:pt>
                <c:pt idx="394">
                  <c:v>444</c:v>
                </c:pt>
                <c:pt idx="395">
                  <c:v>445</c:v>
                </c:pt>
                <c:pt idx="396">
                  <c:v>446</c:v>
                </c:pt>
                <c:pt idx="397">
                  <c:v>447</c:v>
                </c:pt>
                <c:pt idx="398">
                  <c:v>448</c:v>
                </c:pt>
                <c:pt idx="399">
                  <c:v>449</c:v>
                </c:pt>
                <c:pt idx="400">
                  <c:v>450</c:v>
                </c:pt>
                <c:pt idx="401">
                  <c:v>451</c:v>
                </c:pt>
                <c:pt idx="402">
                  <c:v>452</c:v>
                </c:pt>
                <c:pt idx="403">
                  <c:v>453</c:v>
                </c:pt>
                <c:pt idx="404">
                  <c:v>454</c:v>
                </c:pt>
                <c:pt idx="405">
                  <c:v>455</c:v>
                </c:pt>
                <c:pt idx="406">
                  <c:v>456</c:v>
                </c:pt>
                <c:pt idx="407">
                  <c:v>457</c:v>
                </c:pt>
                <c:pt idx="408">
                  <c:v>458</c:v>
                </c:pt>
                <c:pt idx="409">
                  <c:v>459</c:v>
                </c:pt>
                <c:pt idx="410">
                  <c:v>460</c:v>
                </c:pt>
                <c:pt idx="411">
                  <c:v>461</c:v>
                </c:pt>
                <c:pt idx="412">
                  <c:v>462</c:v>
                </c:pt>
                <c:pt idx="413">
                  <c:v>463</c:v>
                </c:pt>
                <c:pt idx="414">
                  <c:v>464</c:v>
                </c:pt>
                <c:pt idx="415">
                  <c:v>465</c:v>
                </c:pt>
                <c:pt idx="416">
                  <c:v>466</c:v>
                </c:pt>
                <c:pt idx="417">
                  <c:v>467</c:v>
                </c:pt>
                <c:pt idx="418">
                  <c:v>468</c:v>
                </c:pt>
                <c:pt idx="419">
                  <c:v>469</c:v>
                </c:pt>
                <c:pt idx="420">
                  <c:v>470</c:v>
                </c:pt>
                <c:pt idx="421">
                  <c:v>471</c:v>
                </c:pt>
                <c:pt idx="422">
                  <c:v>472</c:v>
                </c:pt>
                <c:pt idx="423">
                  <c:v>473</c:v>
                </c:pt>
                <c:pt idx="424">
                  <c:v>474</c:v>
                </c:pt>
                <c:pt idx="425">
                  <c:v>475</c:v>
                </c:pt>
                <c:pt idx="426">
                  <c:v>476</c:v>
                </c:pt>
                <c:pt idx="427">
                  <c:v>477</c:v>
                </c:pt>
                <c:pt idx="428">
                  <c:v>478</c:v>
                </c:pt>
                <c:pt idx="429">
                  <c:v>479</c:v>
                </c:pt>
                <c:pt idx="430">
                  <c:v>480</c:v>
                </c:pt>
                <c:pt idx="431">
                  <c:v>481</c:v>
                </c:pt>
                <c:pt idx="432">
                  <c:v>482</c:v>
                </c:pt>
                <c:pt idx="433">
                  <c:v>483</c:v>
                </c:pt>
                <c:pt idx="434">
                  <c:v>484</c:v>
                </c:pt>
                <c:pt idx="435">
                  <c:v>485</c:v>
                </c:pt>
                <c:pt idx="436">
                  <c:v>486</c:v>
                </c:pt>
                <c:pt idx="437">
                  <c:v>487</c:v>
                </c:pt>
                <c:pt idx="438">
                  <c:v>488</c:v>
                </c:pt>
                <c:pt idx="439">
                  <c:v>489</c:v>
                </c:pt>
                <c:pt idx="440">
                  <c:v>490</c:v>
                </c:pt>
                <c:pt idx="441">
                  <c:v>491</c:v>
                </c:pt>
                <c:pt idx="442">
                  <c:v>492</c:v>
                </c:pt>
                <c:pt idx="443">
                  <c:v>493</c:v>
                </c:pt>
                <c:pt idx="444">
                  <c:v>494</c:v>
                </c:pt>
                <c:pt idx="445">
                  <c:v>495</c:v>
                </c:pt>
                <c:pt idx="446">
                  <c:v>496</c:v>
                </c:pt>
                <c:pt idx="447">
                  <c:v>497</c:v>
                </c:pt>
                <c:pt idx="448">
                  <c:v>498</c:v>
                </c:pt>
                <c:pt idx="449">
                  <c:v>499</c:v>
                </c:pt>
                <c:pt idx="450">
                  <c:v>500</c:v>
                </c:pt>
              </c:numCache>
            </c:numRef>
          </c:xVal>
          <c:yVal>
            <c:numRef>
              <c:f>'Q3-a,b&amp;c'!$F$2:$F$452</c:f>
              <c:numCache>
                <c:formatCode>General</c:formatCode>
                <c:ptCount val="451"/>
                <c:pt idx="0">
                  <c:v>0.67575762171695164</c:v>
                </c:pt>
                <c:pt idx="1">
                  <c:v>0.64336262980410019</c:v>
                </c:pt>
                <c:pt idx="2">
                  <c:v>0.58956801953614058</c:v>
                </c:pt>
                <c:pt idx="3">
                  <c:v>0.55825404670656109</c:v>
                </c:pt>
                <c:pt idx="4">
                  <c:v>0.50705940519563697</c:v>
                </c:pt>
                <c:pt idx="5">
                  <c:v>0.47677526889722799</c:v>
                </c:pt>
                <c:pt idx="6">
                  <c:v>0.42797274377789396</c:v>
                </c:pt>
                <c:pt idx="7">
                  <c:v>0.39866924693242289</c:v>
                </c:pt>
                <c:pt idx="8">
                  <c:v>0.35207383797014735</c:v>
                </c:pt>
                <c:pt idx="9">
                  <c:v>0.32370397456560607</c:v>
                </c:pt>
                <c:pt idx="10">
                  <c:v>0.27915037339101367</c:v>
                </c:pt>
                <c:pt idx="11">
                  <c:v>0.25166942404500858</c:v>
                </c:pt>
                <c:pt idx="12">
                  <c:v>0.2090093755003668</c:v>
                </c:pt>
                <c:pt idx="13">
                  <c:v>0.18237492789786991</c:v>
                </c:pt>
                <c:pt idx="14">
                  <c:v>0.14147501372365667</c:v>
                </c:pt>
                <c:pt idx="15">
                  <c:v>0.11564693245486701</c:v>
                </c:pt>
                <c:pt idx="16">
                  <c:v>7.638669930081754E-2</c:v>
                </c:pt>
                <c:pt idx="17">
                  <c:v>5.132706239681184E-2</c:v>
                </c:pt>
                <c:pt idx="18">
                  <c:v>1.3597432383079422E-2</c:v>
                </c:pt>
                <c:pt idx="19">
                  <c:v>1.7874802251876778</c:v>
                </c:pt>
                <c:pt idx="20">
                  <c:v>1.7417020861943664</c:v>
                </c:pt>
                <c:pt idx="21">
                  <c:v>1.7220018524523244</c:v>
                </c:pt>
                <c:pt idx="22">
                  <c:v>1.6778111473461559</c:v>
                </c:pt>
                <c:pt idx="23">
                  <c:v>1.6583601788646947</c:v>
                </c:pt>
                <c:pt idx="24">
                  <c:v>1.61566421737529</c:v>
                </c:pt>
                <c:pt idx="25">
                  <c:v>1.5964701645485819</c:v>
                </c:pt>
                <c:pt idx="26">
                  <c:v>1.5551838066394073</c:v>
                </c:pt>
                <c:pt idx="27">
                  <c:v>1.5362520858133442</c:v>
                </c:pt>
                <c:pt idx="28">
                  <c:v>1.4962969584513806</c:v>
                </c:pt>
                <c:pt idx="29">
                  <c:v>1.4776311328208518</c:v>
                </c:pt>
                <c:pt idx="30">
                  <c:v>1.4389349447958866</c:v>
                </c:pt>
                <c:pt idx="31">
                  <c:v>1.4205370410055034</c:v>
                </c:pt>
                <c:pt idx="32">
                  <c:v>1.383032981514372</c:v>
                </c:pt>
                <c:pt idx="33">
                  <c:v>1.3649037534745023</c:v>
                </c:pt>
                <c:pt idx="34">
                  <c:v>1.3285299625259741</c:v>
                </c:pt>
                <c:pt idx="35">
                  <c:v>1.3106691117570541</c:v>
                </c:pt>
                <c:pt idx="36">
                  <c:v>1.2753682124037882</c:v>
                </c:pt>
                <c:pt idx="37">
                  <c:v>1.2577745724366363</c:v>
                </c:pt>
                <c:pt idx="38">
                  <c:v>1.2234932564179406</c:v>
                </c:pt>
                <c:pt idx="39">
                  <c:v>1.2061649473926881</c:v>
                </c:pt>
                <c:pt idx="40">
                  <c:v>1.1728536070709801</c:v>
                </c:pt>
                <c:pt idx="41">
                  <c:v>1.1557881655511064</c:v>
                </c:pt>
                <c:pt idx="42">
                  <c:v>1.1234005661086695</c:v>
                </c:pt>
                <c:pt idx="43">
                  <c:v>1.1065950542234511</c:v>
                </c:pt>
                <c:pt idx="44">
                  <c:v>1.0750880409830064</c:v>
                </c:pt>
                <c:pt idx="45">
                  <c:v>1.0585391382831144</c:v>
                </c:pt>
                <c:pt idx="46">
                  <c:v>1.0278723747484921</c:v>
                </c:pt>
                <c:pt idx="47">
                  <c:v>1.011576455570542</c:v>
                </c:pt>
                <c:pt idx="48">
                  <c:v>0.98171218843234698</c:v>
                </c:pt>
                <c:pt idx="49">
                  <c:v>0.96566538709717431</c:v>
                </c:pt>
                <c:pt idx="50">
                  <c:v>0.93656823495542163</c:v>
                </c:pt>
                <c:pt idx="51">
                  <c:v>0.9207665007092789</c:v>
                </c:pt>
                <c:pt idx="52">
                  <c:v>0.89240326371678513</c:v>
                </c:pt>
                <c:pt idx="53">
                  <c:v>0.87684240703616201</c:v>
                </c:pt>
                <c:pt idx="54">
                  <c:v>0.84918189503850083</c:v>
                </c:pt>
                <c:pt idx="55">
                  <c:v>0.83385762662435248</c:v>
                </c:pt>
                <c:pt idx="56">
                  <c:v>0.80687050370472058</c:v>
                </c:pt>
                <c:pt idx="57">
                  <c:v>0.79177846729854906</c:v>
                </c:pt>
                <c:pt idx="58">
                  <c:v>0.76543711088631472</c:v>
                </c:pt>
                <c:pt idx="59">
                  <c:v>0.75057291084210309</c:v>
                </c:pt>
                <c:pt idx="60">
                  <c:v>0.7248512837939165</c:v>
                </c:pt>
                <c:pt idx="61">
                  <c:v>0.7102105082062149</c:v>
                </c:pt>
                <c:pt idx="62">
                  <c:v>0.68508404246158783</c:v>
                </c:pt>
                <c:pt idx="63">
                  <c:v>0.67066228251013804</c:v>
                </c:pt>
                <c:pt idx="64">
                  <c:v>0.64610777309635647</c:v>
                </c:pt>
                <c:pt idx="65">
                  <c:v>0.63190063918199524</c:v>
                </c:pt>
                <c:pt idx="66">
                  <c:v>0.60789614749366194</c:v>
                </c:pt>
                <c:pt idx="67">
                  <c:v>0.59389928263423997</c:v>
                </c:pt>
                <c:pt idx="68">
                  <c:v>0.5704240480308318</c:v>
                </c:pt>
                <c:pt idx="69">
                  <c:v>0.55663313892920652</c:v>
                </c:pt>
                <c:pt idx="70">
                  <c:v>0.53366749781816303</c:v>
                </c:pt>
                <c:pt idx="71">
                  <c:v>0.52007828394454236</c:v>
                </c:pt>
                <c:pt idx="72">
                  <c:v>0.4976035956097542</c:v>
                </c:pt>
                <c:pt idx="73">
                  <c:v>0.48421187659368936</c:v>
                </c:pt>
                <c:pt idx="74">
                  <c:v>0.46221045510227476</c:v>
                </c:pt>
                <c:pt idx="75">
                  <c:v>0.44901209667958319</c:v>
                </c:pt>
                <c:pt idx="76">
                  <c:v>0.42746714829673582</c:v>
                </c:pt>
                <c:pt idx="77">
                  <c:v>0.41445808702819242</c:v>
                </c:pt>
                <c:pt idx="78">
                  <c:v>0.393353652603051</c:v>
                </c:pt>
                <c:pt idx="79">
                  <c:v>0.38052989955375782</c:v>
                </c:pt>
                <c:pt idx="80">
                  <c:v>0.3598508014230779</c:v>
                </c:pt>
                <c:pt idx="81">
                  <c:v>0.34720844493921987</c:v>
                </c:pt>
                <c:pt idx="82">
                  <c:v>0.32694023793655003</c:v>
                </c:pt>
                <c:pt idx="83">
                  <c:v>0.31447544567452823</c:v>
                </c:pt>
                <c:pt idx="84">
                  <c:v>0.29460437185936517</c:v>
                </c:pt>
                <c:pt idx="85">
                  <c:v>0.2823133921697325</c:v>
                </c:pt>
                <c:pt idx="86">
                  <c:v>0.26282633896294261</c:v>
                </c:pt>
                <c:pt idx="87">
                  <c:v>0.25070550172886197</c:v>
                </c:pt>
                <c:pt idx="88">
                  <c:v>0.23158996313760927</c:v>
                </c:pt>
                <c:pt idx="89">
                  <c:v>0.21963568015415991</c:v>
                </c:pt>
                <c:pt idx="90">
                  <c:v>0.20087972083147232</c:v>
                </c:pt>
                <c:pt idx="91">
                  <c:v>0.18908848579594917</c:v>
                </c:pt>
                <c:pt idx="92">
                  <c:v>0.17068070768675447</c:v>
                </c:pt>
                <c:pt idx="93">
                  <c:v>0.15904909586304061</c:v>
                </c:pt>
                <c:pt idx="94">
                  <c:v>0.14097860721411326</c:v>
                </c:pt>
                <c:pt idx="95">
                  <c:v>0.12950327482663226</c:v>
                </c:pt>
                <c:pt idx="96">
                  <c:v>0.11175966137225934</c:v>
                </c:pt>
                <c:pt idx="97">
                  <c:v>0.10043734477417132</c:v>
                </c:pt>
                <c:pt idx="98">
                  <c:v>8.3010642911976795E-2</c:v>
                </c:pt>
                <c:pt idx="99">
                  <c:v>7.1838157558508975E-2</c:v>
                </c:pt>
                <c:pt idx="100">
                  <c:v>5.471882936340311E-2</c:v>
                </c:pt>
                <c:pt idx="101">
                  <c:v>4.3693068641871946E-2</c:v>
                </c:pt>
                <c:pt idx="102">
                  <c:v>2.6871978550272679E-2</c:v>
                </c:pt>
                <c:pt idx="103">
                  <c:v>1.5989912481013668E-2</c:v>
                </c:pt>
                <c:pt idx="104">
                  <c:v>1.2589532370887495</c:v>
                </c:pt>
                <c:pt idx="105">
                  <c:v>1.2491244513698101</c:v>
                </c:pt>
                <c:pt idx="106">
                  <c:v>1.229834028621724</c:v>
                </c:pt>
                <c:pt idx="107">
                  <c:v>1.2200880445599429</c:v>
                </c:pt>
                <c:pt idx="108">
                  <c:v>1.2011080339504092</c:v>
                </c:pt>
                <c:pt idx="109">
                  <c:v>1.1914444836303089</c:v>
                </c:pt>
                <c:pt idx="110">
                  <c:v>1.1727663958356311</c:v>
                </c:pt>
                <c:pt idx="111">
                  <c:v>1.1631848567037268</c:v>
                </c:pt>
                <c:pt idx="112">
                  <c:v>1.1448005297244004</c:v>
                </c:pt>
                <c:pt idx="113">
                  <c:v>1.1353005305360995</c:v>
                </c:pt>
                <c:pt idx="114">
                  <c:v>1.1172021134513797</c:v>
                </c:pt>
                <c:pt idx="115">
                  <c:v>1.1077831396730238</c:v>
                </c:pt>
                <c:pt idx="116">
                  <c:v>1.089963077372385</c:v>
                </c:pt>
                <c:pt idx="117">
                  <c:v>1.0806245760898419</c:v>
                </c:pt>
                <c:pt idx="118">
                  <c:v>1.0630755949255315</c:v>
                </c:pt>
                <c:pt idx="119">
                  <c:v>1.0538169793005903</c:v>
                </c:pt>
                <c:pt idx="120">
                  <c:v>1.036532073582288</c:v>
                </c:pt>
                <c:pt idx="121">
                  <c:v>1.0273527269125973</c:v>
                </c:pt>
                <c:pt idx="122">
                  <c:v>1.0103251461962071</c:v>
                </c:pt>
                <c:pt idx="123">
                  <c:v>1.0012244255969094</c:v>
                </c:pt>
                <c:pt idx="124">
                  <c:v>0.98444766270703621</c:v>
                </c:pt>
                <c:pt idx="125">
                  <c:v>0.97542490245381863</c:v>
                </c:pt>
                <c:pt idx="126">
                  <c:v>0.95889268220325619</c:v>
                </c:pt>
                <c:pt idx="127">
                  <c:v>0.94994719678529549</c:v>
                </c:pt>
                <c:pt idx="128">
                  <c:v>0.93365346531079219</c:v>
                </c:pt>
                <c:pt idx="129">
                  <c:v>0.92478455219069655</c:v>
                </c:pt>
                <c:pt idx="130">
                  <c:v>0.90872346691463601</c:v>
                </c:pt>
                <c:pt idx="131">
                  <c:v>0.89993040904953947</c:v>
                </c:pt>
                <c:pt idx="132">
                  <c:v>0.884096329170597</c:v>
                </c:pt>
                <c:pt idx="133">
                  <c:v>0.87537839729492184</c:v>
                </c:pt>
                <c:pt idx="134">
                  <c:v>0.85976587482102484</c:v>
                </c:pt>
                <c:pt idx="135">
                  <c:v>0.85112232952262712</c:v>
                </c:pt>
                <c:pt idx="136">
                  <c:v>0.83572610078307452</c:v>
                </c:pt>
                <c:pt idx="137">
                  <c:v>0.82715619438734578</c:v>
                </c:pt>
                <c:pt idx="138">
                  <c:v>0.81197117199956192</c:v>
                </c:pt>
                <c:pt idx="139">
                  <c:v>0.80347415028642377</c:v>
                </c:pt>
                <c:pt idx="140">
                  <c:v>0.78849541555281277</c:v>
                </c:pt>
                <c:pt idx="141">
                  <c:v>0.78007051930995708</c:v>
                </c:pt>
                <c:pt idx="142">
                  <c:v>0.76529331500795639</c:v>
                </c:pt>
                <c:pt idx="143">
                  <c:v>0.75693978143975205</c:v>
                </c:pt>
                <c:pt idx="144">
                  <c:v>0.74235950500542813</c:v>
                </c:pt>
                <c:pt idx="145">
                  <c:v>0.7340765690073896</c:v>
                </c:pt>
                <c:pt idx="146">
                  <c:v>0.7196887660498188</c:v>
                </c:pt>
                <c:pt idx="147">
                  <c:v>0.71147566137152651</c:v>
                </c:pt>
                <c:pt idx="148">
                  <c:v>0.69727601953560558</c:v>
                </c:pt>
                <c:pt idx="149">
                  <c:v>0.68913197982373919</c:v>
                </c:pt>
                <c:pt idx="150">
                  <c:v>0.67511632294869273</c:v>
                </c:pt>
                <c:pt idx="151">
                  <c:v>0.66704058269751609</c:v>
                </c:pt>
                <c:pt idx="152">
                  <c:v>0.65320486528174904</c:v>
                </c:pt>
                <c:pt idx="153">
                  <c:v>0.64519666068633086</c:v>
                </c:pt>
                <c:pt idx="154">
                  <c:v>0.63153696262221537</c:v>
                </c:pt>
                <c:pt idx="155">
                  <c:v>0.62359553234671328</c:v>
                </c:pt>
                <c:pt idx="156">
                  <c:v>0.61010805390913703</c:v>
                </c:pt>
                <c:pt idx="157">
                  <c:v>0.60223263978472552</c:v>
                </c:pt>
                <c:pt idx="158">
                  <c:v>0.58891369687562722</c:v>
                </c:pt>
                <c:pt idx="159">
                  <c:v>0.58110354452510737</c:v>
                </c:pt>
                <c:pt idx="160">
                  <c:v>0.56794956413444186</c:v>
                </c:pt>
                <c:pt idx="161">
                  <c:v>0.56020392352709969</c:v>
                </c:pt>
                <c:pt idx="162">
                  <c:v>0.54721143942382433</c:v>
                </c:pt>
                <c:pt idx="163">
                  <c:v>0.53952956538238439</c:v>
                </c:pt>
                <c:pt idx="164">
                  <c:v>0.52669521399659747</c:v>
                </c:pt>
                <c:pt idx="165">
                  <c:v>0.51907636663987944</c:v>
                </c:pt>
                <c:pt idx="166">
                  <c:v>0.50639688315560871</c:v>
                </c:pt>
                <c:pt idx="167">
                  <c:v>0.49884032829867841</c:v>
                </c:pt>
                <c:pt idx="168">
                  <c:v>0.48631254290948256</c:v>
                </c:pt>
                <c:pt idx="169">
                  <c:v>0.47881755242014723</c:v>
                </c:pt>
                <c:pt idx="170">
                  <c:v>0.46643838677019644</c:v>
                </c:pt>
                <c:pt idx="171">
                  <c:v>0.4590042388755915</c:v>
                </c:pt>
                <c:pt idx="172">
                  <c:v>0.44677070266120378</c:v>
                </c:pt>
                <c:pt idx="173">
                  <c:v>0.43939668222812323</c:v>
                </c:pt>
                <c:pt idx="174">
                  <c:v>0.42730586995595132</c:v>
                </c:pt>
                <c:pt idx="175">
                  <c:v>0.41999126872587222</c:v>
                </c:pt>
                <c:pt idx="176">
                  <c:v>0.40804035660716487</c:v>
                </c:pt>
                <c:pt idx="177">
                  <c:v>0.40078447340767198</c:v>
                </c:pt>
                <c:pt idx="178">
                  <c:v>0.38897071640296232</c:v>
                </c:pt>
                <c:pt idx="179">
                  <c:v>0.38177285733049526</c:v>
                </c:pt>
                <c:pt idx="180">
                  <c:v>0.37009358632254852</c:v>
                </c:pt>
                <c:pt idx="181">
                  <c:v>0.36295306489221346</c:v>
                </c:pt>
                <c:pt idx="182">
                  <c:v>0.3514056839706674</c:v>
                </c:pt>
                <c:pt idx="183">
                  <c:v>0.34432182124755162</c:v>
                </c:pt>
                <c:pt idx="184">
                  <c:v>0.33290380513307305</c:v>
                </c:pt>
                <c:pt idx="185">
                  <c:v>0.32587592984012481</c:v>
                </c:pt>
                <c:pt idx="186">
                  <c:v>0.31458482140573096</c:v>
                </c:pt>
                <c:pt idx="187">
                  <c:v>0.30761227001467262</c:v>
                </c:pt>
                <c:pt idx="188">
                  <c:v>0.29644567790864329</c:v>
                </c:pt>
                <c:pt idx="189">
                  <c:v>0.28952779470350265</c:v>
                </c:pt>
                <c:pt idx="190">
                  <c:v>0.27848339108990317</c:v>
                </c:pt>
                <c:pt idx="191">
                  <c:v>0.27161952822915936</c:v>
                </c:pt>
                <c:pt idx="192">
                  <c:v>0.2606950466089808</c:v>
                </c:pt>
                <c:pt idx="193">
                  <c:v>0.25388456415640537</c:v>
                </c:pt>
                <c:pt idx="194">
                  <c:v>0.24307779728518142</c:v>
                </c:pt>
                <c:pt idx="195">
                  <c:v>0.23632006323816235</c:v>
                </c:pt>
                <c:pt idx="196">
                  <c:v>0.22562886113063563</c:v>
                </c:pt>
                <c:pt idx="197">
                  <c:v>0.21892325142865854</c:v>
                </c:pt>
                <c:pt idx="198">
                  <c:v>0.2083455194510444</c:v>
                </c:pt>
                <c:pt idx="199">
                  <c:v>0.20169141797986345</c:v>
                </c:pt>
                <c:pt idx="200">
                  <c:v>0.19122511500263695</c:v>
                </c:pt>
                <c:pt idx="201">
                  <c:v>0.1846219135822702</c:v>
                </c:pt>
                <c:pt idx="202">
                  <c:v>0.17426505022447625</c:v>
                </c:pt>
                <c:pt idx="203">
                  <c:v>0.16771214859336414</c:v>
                </c:pt>
                <c:pt idx="204">
                  <c:v>0.15746278553477655</c:v>
                </c:pt>
                <c:pt idx="205">
                  <c:v>0.15095959131453363</c:v>
                </c:pt>
                <c:pt idx="206">
                  <c:v>0.1408158376664268</c:v>
                </c:pt>
                <c:pt idx="207">
                  <c:v>0.13436176633679686</c:v>
                </c:pt>
                <c:pt idx="208">
                  <c:v>0.12432177809066314</c:v>
                </c:pt>
                <c:pt idx="209">
                  <c:v>0.11791625293692753</c:v>
                </c:pt>
                <c:pt idx="210">
                  <c:v>0.10797823145964625</c:v>
                </c:pt>
                <c:pt idx="211">
                  <c:v>0.10162068353307863</c:v>
                </c:pt>
                <c:pt idx="212">
                  <c:v>9.1782874134280767E-2</c:v>
                </c:pt>
                <c:pt idx="213">
                  <c:v>8.5472742192656881E-2</c:v>
                </c:pt>
                <c:pt idx="214">
                  <c:v>7.573343273446298E-2</c:v>
                </c:pt>
                <c:pt idx="215">
                  <c:v>6.9470163188204204E-2</c:v>
                </c:pt>
                <c:pt idx="216">
                  <c:v>5.9827682761202539E-2</c:v>
                </c:pt>
                <c:pt idx="217">
                  <c:v>5.3610729603861706E-2</c:v>
                </c:pt>
                <c:pt idx="218">
                  <c:v>4.4063447246980303E-2</c:v>
                </c:pt>
                <c:pt idx="219">
                  <c:v>3.7892271990936699E-2</c:v>
                </c:pt>
                <c:pt idx="220">
                  <c:v>2.8438595457177307E-2</c:v>
                </c:pt>
                <c:pt idx="221">
                  <c:v>2.231266706737145E-2</c:v>
                </c:pt>
                <c:pt idx="222">
                  <c:v>1.2951041642077499E-2</c:v>
                </c:pt>
                <c:pt idx="223">
                  <c:v>6.8698364548644975E-3</c:v>
                </c:pt>
                <c:pt idx="224">
                  <c:v>0.96698449346233506</c:v>
                </c:pt>
                <c:pt idx="225">
                  <c:v>0.96124714056187877</c:v>
                </c:pt>
                <c:pt idx="226">
                  <c:v>0.95072988140671288</c:v>
                </c:pt>
                <c:pt idx="227">
                  <c:v>0.94502391950695319</c:v>
                </c:pt>
                <c:pt idx="228">
                  <c:v>0.93460378039333047</c:v>
                </c:pt>
                <c:pt idx="229">
                  <c:v>0.92892902787399567</c:v>
                </c:pt>
                <c:pt idx="230">
                  <c:v>0.91860448013307305</c:v>
                </c:pt>
                <c:pt idx="231">
                  <c:v>0.91296075285123823</c:v>
                </c:pt>
                <c:pt idx="232">
                  <c:v>0.90273030185268421</c:v>
                </c:pt>
                <c:pt idx="233">
                  <c:v>0.89711741340332374</c:v>
                </c:pt>
                <c:pt idx="234">
                  <c:v>0.88697959759039779</c:v>
                </c:pt>
                <c:pt idx="235">
                  <c:v>0.88139735953213094</c:v>
                </c:pt>
                <c:pt idx="236">
                  <c:v>0.87135074946699831</c:v>
                </c:pt>
                <c:pt idx="237">
                  <c:v>0.86579897155883678</c:v>
                </c:pt>
                <c:pt idx="238">
                  <c:v>0.85584216900800048</c:v>
                </c:pt>
                <c:pt idx="239">
                  <c:v>0.85032065941502744</c:v>
                </c:pt>
                <c:pt idx="240">
                  <c:v>0.84045229647869135</c:v>
                </c:pt>
                <c:pt idx="241">
                  <c:v>0.83496086195967489</c:v>
                </c:pt>
                <c:pt idx="242">
                  <c:v>0.82517960020954995</c:v>
                </c:pt>
                <c:pt idx="243">
                  <c:v>0.81971804631898593</c:v>
                </c:pt>
                <c:pt idx="244">
                  <c:v>0.81002257598609972</c:v>
                </c:pt>
                <c:pt idx="245">
                  <c:v>0.80459070723486992</c:v>
                </c:pt>
                <c:pt idx="246">
                  <c:v>0.79497974641484248</c:v>
                </c:pt>
                <c:pt idx="247">
                  <c:v>0.78957736644003162</c:v>
                </c:pt>
                <c:pt idx="248">
                  <c:v>0.78004966032171819</c:v>
                </c:pt>
                <c:pt idx="249">
                  <c:v>0.77467657204521689</c:v>
                </c:pt>
                <c:pt idx="250">
                  <c:v>0.76523089217438223</c:v>
                </c:pt>
                <c:pt idx="251">
                  <c:v>0.75988689793606579</c:v>
                </c:pt>
                <c:pt idx="252">
                  <c:v>0.75052204150441071</c:v>
                </c:pt>
                <c:pt idx="253">
                  <c:v>0.74520694320888126</c:v>
                </c:pt>
                <c:pt idx="254">
                  <c:v>0.73592173235508795</c:v>
                </c:pt>
                <c:pt idx="255">
                  <c:v>0.73063533159772742</c:v>
                </c:pt>
                <c:pt idx="256">
                  <c:v>0.72142861273714143</c:v>
                </c:pt>
                <c:pt idx="257">
                  <c:v>0.71617071091587103</c:v>
                </c:pt>
                <c:pt idx="258">
                  <c:v>0.70704135410334956</c:v>
                </c:pt>
                <c:pt idx="259">
                  <c:v>0.70181175254373063</c:v>
                </c:pt>
                <c:pt idx="260">
                  <c:v>0.69275865083850707</c:v>
                </c:pt>
                <c:pt idx="261">
                  <c:v>0.68755715088760727</c:v>
                </c:pt>
                <c:pt idx="262">
                  <c:v>0.67857921975074653</c:v>
                </c:pt>
                <c:pt idx="263">
                  <c:v>0.67340562288565575</c:v>
                </c:pt>
                <c:pt idx="264">
                  <c:v>0.66450179959806199</c:v>
                </c:pt>
                <c:pt idx="265">
                  <c:v>0.65935590750880468</c:v>
                </c:pt>
                <c:pt idx="266">
                  <c:v>0.65052515059614624</c:v>
                </c:pt>
                <c:pt idx="267">
                  <c:v>0.64540676528150343</c:v>
                </c:pt>
                <c:pt idx="268">
                  <c:v>0.63664805397422075</c:v>
                </c:pt>
                <c:pt idx="269">
                  <c:v>0.63155697782006914</c:v>
                </c:pt>
                <c:pt idx="270">
                  <c:v>0.62286931151104863</c:v>
                </c:pt>
                <c:pt idx="271">
                  <c:v>0.61780534736366377</c:v>
                </c:pt>
                <c:pt idx="272">
                  <c:v>0.60918774510708218</c:v>
                </c:pt>
                <c:pt idx="273">
                  <c:v>0.60415069634202467</c:v>
                </c:pt>
                <c:pt idx="274">
                  <c:v>0.59560219634113132</c:v>
                </c:pt>
                <c:pt idx="275">
                  <c:v>0.59059186694043486</c:v>
                </c:pt>
                <c:pt idx="276">
                  <c:v>0.58211152606938477</c:v>
                </c:pt>
                <c:pt idx="277">
                  <c:v>0.57712772067806117</c:v>
                </c:pt>
                <c:pt idx="278">
                  <c:v>0.56871461401393031</c:v>
                </c:pt>
                <c:pt idx="279">
                  <c:v>0.56375713798806704</c:v>
                </c:pt>
                <c:pt idx="280">
                  <c:v>0.5554103583618657</c:v>
                </c:pt>
                <c:pt idx="281">
                  <c:v>0.55047901783941011</c:v>
                </c:pt>
                <c:pt idx="282">
                  <c:v>0.54219767538196795</c:v>
                </c:pt>
                <c:pt idx="283">
                  <c:v>0.53729227732167839</c:v>
                </c:pt>
                <c:pt idx="284">
                  <c:v>0.5290754990501938</c:v>
                </c:pt>
                <c:pt idx="285">
                  <c:v>0.52419585127992363</c:v>
                </c:pt>
                <c:pt idx="286">
                  <c:v>0.516042780679137</c:v>
                </c:pt>
                <c:pt idx="287">
                  <c:v>0.51118869193984917</c:v>
                </c:pt>
                <c:pt idx="288">
                  <c:v>0.50309848856234218</c:v>
                </c:pt>
                <c:pt idx="289">
                  <c:v>0.49826976855069649</c:v>
                </c:pt>
                <c:pt idx="290">
                  <c:v>0.49024160762685032</c:v>
                </c:pt>
                <c:pt idx="291">
                  <c:v>0.48543806702649572</c:v>
                </c:pt>
                <c:pt idx="292">
                  <c:v>0.47747113908016292</c:v>
                </c:pt>
                <c:pt idx="293">
                  <c:v>0.47269258960653904</c:v>
                </c:pt>
                <c:pt idx="294">
                  <c:v>0.46478610009904653</c:v>
                </c:pt>
                <c:pt idx="295">
                  <c:v>0.46003235452085001</c:v>
                </c:pt>
                <c:pt idx="296">
                  <c:v>0.45218552348660168</c:v>
                </c:pt>
                <c:pt idx="297">
                  <c:v>0.44745639565911155</c:v>
                </c:pt>
                <c:pt idx="298">
                  <c:v>0.43966845736417692</c:v>
                </c:pt>
                <c:pt idx="299">
                  <c:v>0.43496376225380828</c:v>
                </c:pt>
                <c:pt idx="300">
                  <c:v>0.42723396485994858</c:v>
                </c:pt>
                <c:pt idx="301">
                  <c:v>0.42255351857591883</c:v>
                </c:pt>
                <c:pt idx="302">
                  <c:v>0.41488112381703512</c:v>
                </c:pt>
                <c:pt idx="303">
                  <c:v>0.41022474362172989</c:v>
                </c:pt>
                <c:pt idx="304">
                  <c:v>0.40260902647909447</c:v>
                </c:pt>
                <c:pt idx="305">
                  <c:v>0.39797653082462681</c:v>
                </c:pt>
                <c:pt idx="306">
                  <c:v>0.39041677922881934</c:v>
                </c:pt>
                <c:pt idx="307">
                  <c:v>0.38580798775834868</c:v>
                </c:pt>
                <c:pt idx="308">
                  <c:v>0.37830350228942766</c:v>
                </c:pt>
                <c:pt idx="309">
                  <c:v>0.37371823586537811</c:v>
                </c:pt>
                <c:pt idx="310">
                  <c:v>0.36626832945131049</c:v>
                </c:pt>
                <c:pt idx="311">
                  <c:v>0.36170641017057825</c:v>
                </c:pt>
                <c:pt idx="312">
                  <c:v>0.35431040782467083</c:v>
                </c:pt>
                <c:pt idx="313">
                  <c:v>0.3497716590239115</c:v>
                </c:pt>
                <c:pt idx="314">
                  <c:v>0.34242889755015682</c:v>
                </c:pt>
                <c:pt idx="315">
                  <c:v>0.33791314382957438</c:v>
                </c:pt>
                <c:pt idx="316">
                  <c:v>0.33062297157143838</c:v>
                </c:pt>
                <c:pt idx="317">
                  <c:v>0.32613003879545222</c:v>
                </c:pt>
                <c:pt idx="318">
                  <c:v>0.31889181536808842</c:v>
                </c:pt>
                <c:pt idx="319">
                  <c:v>0.31442153067897394</c:v>
                </c:pt>
                <c:pt idx="320">
                  <c:v>0.30723462672676494</c:v>
                </c:pt>
                <c:pt idx="321">
                  <c:v>0.30278681854974998</c:v>
                </c:pt>
                <c:pt idx="322">
                  <c:v>0.2956506154847558</c:v>
                </c:pt>
                <c:pt idx="323">
                  <c:v>0.2912251135441144</c:v>
                </c:pt>
                <c:pt idx="324">
                  <c:v>0.28413900332227993</c:v>
                </c:pt>
                <c:pt idx="325">
                  <c:v>0.2797356386384946</c:v>
                </c:pt>
                <c:pt idx="326">
                  <c:v>0.27269902351867614</c:v>
                </c:pt>
                <c:pt idx="327">
                  <c:v>0.26831762841652473</c:v>
                </c:pt>
                <c:pt idx="328">
                  <c:v>0.26132992074653227</c:v>
                </c:pt>
                <c:pt idx="329">
                  <c:v>0.2569703288477605</c:v>
                </c:pt>
                <c:pt idx="330">
                  <c:v>0.25003095083221538</c:v>
                </c:pt>
                <c:pt idx="331">
                  <c:v>0.24569299708516468</c:v>
                </c:pt>
                <c:pt idx="332">
                  <c:v>0.23880138057188294</c:v>
                </c:pt>
                <c:pt idx="333">
                  <c:v>0.23448490122394272</c:v>
                </c:pt>
                <c:pt idx="334">
                  <c:v>0.22764048751177235</c:v>
                </c:pt>
                <c:pt idx="335">
                  <c:v>0.22334532012941111</c:v>
                </c:pt>
                <c:pt idx="336">
                  <c:v>0.21654755973950568</c:v>
                </c:pt>
                <c:pt idx="337">
                  <c:v>0.21227354320371106</c:v>
                </c:pt>
                <c:pt idx="338">
                  <c:v>0.20552189570932367</c:v>
                </c:pt>
                <c:pt idx="339">
                  <c:v>0.2012688702110248</c:v>
                </c:pt>
                <c:pt idx="340">
                  <c:v>0.19456280402793347</c:v>
                </c:pt>
                <c:pt idx="341">
                  <c:v>0.19033061106750448</c:v>
                </c:pt>
                <c:pt idx="342">
                  <c:v>0.18366960327304582</c:v>
                </c:pt>
                <c:pt idx="343">
                  <c:v>0.17945808566909793</c:v>
                </c:pt>
                <c:pt idx="344">
                  <c:v>0.17284162181127005</c:v>
                </c:pt>
                <c:pt idx="345">
                  <c:v>0.16865062369286665</c:v>
                </c:pt>
                <c:pt idx="346">
                  <c:v>0.16207819762847464</c:v>
                </c:pt>
                <c:pt idx="347">
                  <c:v>0.15790756442095866</c:v>
                </c:pt>
                <c:pt idx="348">
                  <c:v>0.15137867813356731</c:v>
                </c:pt>
                <c:pt idx="349">
                  <c:v>0.1472282565649472</c:v>
                </c:pt>
                <c:pt idx="350">
                  <c:v>0.14074241999648596</c:v>
                </c:pt>
                <c:pt idx="351">
                  <c:v>0.13661205810340871</c:v>
                </c:pt>
                <c:pt idx="352">
                  <c:v>0.13016878898494699</c:v>
                </c:pt>
                <c:pt idx="353">
                  <c:v>0.12605833609004691</c:v>
                </c:pt>
                <c:pt idx="354">
                  <c:v>0.11965715979267699</c:v>
                </c:pt>
                <c:pt idx="355">
                  <c:v>0.11556646650889668</c:v>
                </c:pt>
                <c:pt idx="356">
                  <c:v>0.10920691588182496</c:v>
                </c:pt>
                <c:pt idx="357">
                  <c:v>0.10513583410749305</c:v>
                </c:pt>
                <c:pt idx="358">
                  <c:v>9.8817449320371509E-2</c:v>
                </c:pt>
                <c:pt idx="359">
                  <c:v>9.4765832233176361E-2</c:v>
                </c:pt>
                <c:pt idx="360">
                  <c:v>8.8488160641674085E-2</c:v>
                </c:pt>
                <c:pt idx="361">
                  <c:v>8.4455862693956441E-2</c:v>
                </c:pt>
                <c:pt idx="362">
                  <c:v>7.8218458675116231E-2</c:v>
                </c:pt>
                <c:pt idx="363">
                  <c:v>7.4205335583239496E-2</c:v>
                </c:pt>
                <c:pt idx="364">
                  <c:v>6.800776041763168E-2</c:v>
                </c:pt>
                <c:pt idx="365">
                  <c:v>6.4013669162139131E-2</c:v>
                </c:pt>
                <c:pt idx="366">
                  <c:v>5.7855490871025594E-2</c:v>
                </c:pt>
                <c:pt idx="367">
                  <c:v>5.388028967977565E-2</c:v>
                </c:pt>
                <c:pt idx="368">
                  <c:v>4.7761082916892406E-2</c:v>
                </c:pt>
                <c:pt idx="369">
                  <c:v>4.380463127264278E-2</c:v>
                </c:pt>
                <c:pt idx="370">
                  <c:v>3.7723977171890688E-2</c:v>
                </c:pt>
                <c:pt idx="371">
                  <c:v>3.378613578740719E-2</c:v>
                </c:pt>
                <c:pt idx="372">
                  <c:v>2.7743621849866784E-2</c:v>
                </c:pt>
                <c:pt idx="373">
                  <c:v>2.3824252671846402E-2</c:v>
                </c:pt>
                <c:pt idx="374">
                  <c:v>1.7819472628493038E-2</c:v>
                </c:pt>
                <c:pt idx="375">
                  <c:v>1.3918438835112568E-2</c:v>
                </c:pt>
                <c:pt idx="376">
                  <c:v>7.9509925318754782E-3</c:v>
                </c:pt>
                <c:pt idx="377">
                  <c:v>4.0681585069055615E-3</c:v>
                </c:pt>
                <c:pt idx="378">
                  <c:v>0.78581021908475268</c:v>
                </c:pt>
                <c:pt idx="379">
                  <c:v>0.78207191508026064</c:v>
                </c:pt>
                <c:pt idx="380">
                  <c:v>0.77547740695453715</c:v>
                </c:pt>
                <c:pt idx="381">
                  <c:v>0.7717531639636066</c:v>
                </c:pt>
                <c:pt idx="382">
                  <c:v>0.76519807801075679</c:v>
                </c:pt>
                <c:pt idx="383">
                  <c:v>0.76148783024989708</c:v>
                </c:pt>
                <c:pt idx="384">
                  <c:v>0.75497176432103874</c:v>
                </c:pt>
                <c:pt idx="385">
                  <c:v>0.75127544590370654</c:v>
                </c:pt>
                <c:pt idx="386">
                  <c:v>0.74479800365957782</c:v>
                </c:pt>
                <c:pt idx="387">
                  <c:v>0.74111554860056916</c:v>
                </c:pt>
                <c:pt idx="388">
                  <c:v>0.73467633941170885</c:v>
                </c:pt>
                <c:pt idx="389">
                  <c:v>0.73100768167718755</c:v>
                </c:pt>
                <c:pt idx="390">
                  <c:v>0.72460632050766893</c:v>
                </c:pt>
                <c:pt idx="391">
                  <c:v>0.72095139399845465</c:v>
                </c:pt>
                <c:pt idx="392">
                  <c:v>0.7145875013148526</c:v>
                </c:pt>
                <c:pt idx="393">
                  <c:v>0.71094623990712336</c:v>
                </c:pt>
                <c:pt idx="394">
                  <c:v>0.70461944156485501</c:v>
                </c:pt>
                <c:pt idx="395">
                  <c:v>0.70099177912069255</c:v>
                </c:pt>
                <c:pt idx="396">
                  <c:v>0.69470170627031447</c:v>
                </c:pt>
                <c:pt idx="397">
                  <c:v>0.69108757665719889</c:v>
                </c:pt>
                <c:pt idx="398">
                  <c:v>0.68483386564965798</c:v>
                </c:pt>
                <c:pt idx="399">
                  <c:v>0.68123320275776855</c:v>
                </c:pt>
                <c:pt idx="400">
                  <c:v>0.67501549503652303</c:v>
                </c:pt>
                <c:pt idx="401">
                  <c:v>0.67142823279003672</c:v>
                </c:pt>
                <c:pt idx="402">
                  <c:v>0.66524617481539572</c:v>
                </c:pt>
                <c:pt idx="403">
                  <c:v>0.66167224719070994</c:v>
                </c:pt>
                <c:pt idx="404">
                  <c:v>0.65552549033902796</c:v>
                </c:pt>
                <c:pt idx="405">
                  <c:v>0.65196483137171857</c:v>
                </c:pt>
                <c:pt idx="406">
                  <c:v>0.6458530318582234</c:v>
                </c:pt>
                <c:pt idx="407">
                  <c:v>0.64230557565804602</c:v>
                </c:pt>
                <c:pt idx="408">
                  <c:v>0.63622839443468582</c:v>
                </c:pt>
                <c:pt idx="409">
                  <c:v>0.63269407521527565</c:v>
                </c:pt>
                <c:pt idx="410">
                  <c:v>0.62665117788349889</c:v>
                </c:pt>
                <c:pt idx="411">
                  <c:v>0.62312992995507965</c:v>
                </c:pt>
                <c:pt idx="412">
                  <c:v>0.61712098670883631</c:v>
                </c:pt>
                <c:pt idx="413">
                  <c:v>0.61361274449370118</c:v>
                </c:pt>
                <c:pt idx="414">
                  <c:v>0.60763743001632431</c:v>
                </c:pt>
                <c:pt idx="415">
                  <c:v>0.60414212806134859</c:v>
                </c:pt>
                <c:pt idx="416">
                  <c:v>0.59820012144807855</c:v>
                </c:pt>
                <c:pt idx="417">
                  <c:v>0.59471769444391676</c:v>
                </c:pt>
                <c:pt idx="418">
                  <c:v>0.58880867913125723</c:v>
                </c:pt>
                <c:pt idx="419">
                  <c:v>0.58533906189986862</c:v>
                </c:pt>
                <c:pt idx="420">
                  <c:v>0.57946272558998668</c:v>
                </c:pt>
                <c:pt idx="421">
                  <c:v>0.57600585312652619</c:v>
                </c:pt>
                <c:pt idx="422">
                  <c:v>0.57016188769758802</c:v>
                </c:pt>
                <c:pt idx="423">
                  <c:v>0.56671769515763692</c:v>
                </c:pt>
                <c:pt idx="424">
                  <c:v>0.56090579661483364</c:v>
                </c:pt>
                <c:pt idx="425">
                  <c:v>0.55747421931847185</c:v>
                </c:pt>
                <c:pt idx="426">
                  <c:v>0.55169408770848349</c:v>
                </c:pt>
                <c:pt idx="427">
                  <c:v>0.54827506116187585</c:v>
                </c:pt>
                <c:pt idx="428">
                  <c:v>0.54252640050657686</c:v>
                </c:pt>
                <c:pt idx="429">
                  <c:v>0.53911986041058579</c:v>
                </c:pt>
                <c:pt idx="430">
                  <c:v>0.53340237863285012</c:v>
                </c:pt>
                <c:pt idx="431">
                  <c:v>0.53000826088585207</c:v>
                </c:pt>
                <c:pt idx="432">
                  <c:v>0.52432166974974859</c:v>
                </c:pt>
                <c:pt idx="433">
                  <c:v>0.52093991045594557</c:v>
                </c:pt>
                <c:pt idx="434">
                  <c:v>0.51528392550080859</c:v>
                </c:pt>
                <c:pt idx="435">
                  <c:v>0.51191446096810633</c:v>
                </c:pt>
                <c:pt idx="436">
                  <c:v>0.50628880144488964</c:v>
                </c:pt>
                <c:pt idx="437">
                  <c:v>0.50293156820472706</c:v>
                </c:pt>
                <c:pt idx="438">
                  <c:v>0.49733595700785038</c:v>
                </c:pt>
                <c:pt idx="439">
                  <c:v>0.49399089182235834</c:v>
                </c:pt>
                <c:pt idx="440">
                  <c:v>0.48842505543648862</c:v>
                </c:pt>
                <c:pt idx="441">
                  <c:v>0.4850920952821669</c:v>
                </c:pt>
                <c:pt idx="442">
                  <c:v>0.47955576371962394</c:v>
                </c:pt>
                <c:pt idx="443">
                  <c:v>0.47623484581818776</c:v>
                </c:pt>
                <c:pt idx="444">
                  <c:v>0.47072775255208565</c:v>
                </c:pt>
                <c:pt idx="445">
                  <c:v>0.46741881436537369</c:v>
                </c:pt>
                <c:pt idx="446">
                  <c:v>0.46194069628170809</c:v>
                </c:pt>
                <c:pt idx="447">
                  <c:v>0.45864367552036889</c:v>
                </c:pt>
                <c:pt idx="448">
                  <c:v>0.45319427286269853</c:v>
                </c:pt>
                <c:pt idx="449">
                  <c:v>0.44990910747843582</c:v>
                </c:pt>
                <c:pt idx="450">
                  <c:v>0.44448816377978329</c:v>
                </c:pt>
              </c:numCache>
            </c:numRef>
          </c:yVal>
          <c:smooth val="0"/>
          <c:extLst>
            <c:ext xmlns:c16="http://schemas.microsoft.com/office/drawing/2014/chart" uri="{C3380CC4-5D6E-409C-BE32-E72D297353CC}">
              <c16:uniqueId val="{00000000-7A47-FC4F-ABFC-1C26192B40AF}"/>
            </c:ext>
          </c:extLst>
        </c:ser>
        <c:dLbls>
          <c:showLegendKey val="0"/>
          <c:showVal val="0"/>
          <c:showCatName val="0"/>
          <c:showSerName val="0"/>
          <c:showPercent val="0"/>
          <c:showBubbleSize val="0"/>
        </c:dLbls>
        <c:axId val="1736154719"/>
        <c:axId val="1"/>
      </c:scatterChart>
      <c:scatterChart>
        <c:scatterStyle val="lineMarker"/>
        <c:varyColors val="0"/>
        <c:ser>
          <c:idx val="1"/>
          <c:order val="1"/>
          <c:tx>
            <c:strRef>
              <c:f>'Q3-a,b&amp;c'!$I$1</c:f>
              <c:strCache>
                <c:ptCount val="1"/>
                <c:pt idx="0">
                  <c:v>Lambda</c:v>
                </c:pt>
              </c:strCache>
            </c:strRef>
          </c:tx>
          <c:spPr>
            <a:ln w="28575">
              <a:noFill/>
            </a:ln>
          </c:spPr>
          <c:marker>
            <c:symbol val="circle"/>
            <c:size val="5"/>
            <c:spPr>
              <a:solidFill>
                <a:srgbClr val="C0504D"/>
              </a:solidFill>
              <a:ln>
                <a:solidFill>
                  <a:srgbClr val="993366"/>
                </a:solidFill>
                <a:prstDash val="solid"/>
              </a:ln>
            </c:spPr>
          </c:marker>
          <c:xVal>
            <c:numRef>
              <c:f>'Q3-a,b&amp;c'!$D$2:$D$452</c:f>
              <c:numCache>
                <c:formatCode>General</c:formatCode>
                <c:ptCount val="451"/>
                <c:pt idx="0">
                  <c:v>50</c:v>
                </c:pt>
                <c:pt idx="1">
                  <c:v>51</c:v>
                </c:pt>
                <c:pt idx="2">
                  <c:v>52</c:v>
                </c:pt>
                <c:pt idx="3">
                  <c:v>53</c:v>
                </c:pt>
                <c:pt idx="4">
                  <c:v>54</c:v>
                </c:pt>
                <c:pt idx="5">
                  <c:v>55</c:v>
                </c:pt>
                <c:pt idx="6">
                  <c:v>56</c:v>
                </c:pt>
                <c:pt idx="7">
                  <c:v>57</c:v>
                </c:pt>
                <c:pt idx="8">
                  <c:v>58</c:v>
                </c:pt>
                <c:pt idx="9">
                  <c:v>59</c:v>
                </c:pt>
                <c:pt idx="10">
                  <c:v>60</c:v>
                </c:pt>
                <c:pt idx="11">
                  <c:v>61</c:v>
                </c:pt>
                <c:pt idx="12">
                  <c:v>62</c:v>
                </c:pt>
                <c:pt idx="13">
                  <c:v>63</c:v>
                </c:pt>
                <c:pt idx="14">
                  <c:v>64</c:v>
                </c:pt>
                <c:pt idx="15">
                  <c:v>65</c:v>
                </c:pt>
                <c:pt idx="16">
                  <c:v>66</c:v>
                </c:pt>
                <c:pt idx="17">
                  <c:v>67</c:v>
                </c:pt>
                <c:pt idx="18">
                  <c:v>68</c:v>
                </c:pt>
                <c:pt idx="19">
                  <c:v>69</c:v>
                </c:pt>
                <c:pt idx="20">
                  <c:v>70</c:v>
                </c:pt>
                <c:pt idx="21">
                  <c:v>71</c:v>
                </c:pt>
                <c:pt idx="22">
                  <c:v>72</c:v>
                </c:pt>
                <c:pt idx="23">
                  <c:v>73</c:v>
                </c:pt>
                <c:pt idx="24">
                  <c:v>74</c:v>
                </c:pt>
                <c:pt idx="25">
                  <c:v>75</c:v>
                </c:pt>
                <c:pt idx="26">
                  <c:v>76</c:v>
                </c:pt>
                <c:pt idx="27">
                  <c:v>77</c:v>
                </c:pt>
                <c:pt idx="28">
                  <c:v>78</c:v>
                </c:pt>
                <c:pt idx="29">
                  <c:v>79</c:v>
                </c:pt>
                <c:pt idx="30">
                  <c:v>80</c:v>
                </c:pt>
                <c:pt idx="31">
                  <c:v>81</c:v>
                </c:pt>
                <c:pt idx="32">
                  <c:v>82</c:v>
                </c:pt>
                <c:pt idx="33">
                  <c:v>83</c:v>
                </c:pt>
                <c:pt idx="34">
                  <c:v>84</c:v>
                </c:pt>
                <c:pt idx="35">
                  <c:v>85</c:v>
                </c:pt>
                <c:pt idx="36">
                  <c:v>86</c:v>
                </c:pt>
                <c:pt idx="37">
                  <c:v>87</c:v>
                </c:pt>
                <c:pt idx="38">
                  <c:v>88</c:v>
                </c:pt>
                <c:pt idx="39">
                  <c:v>89</c:v>
                </c:pt>
                <c:pt idx="40">
                  <c:v>90</c:v>
                </c:pt>
                <c:pt idx="41">
                  <c:v>91</c:v>
                </c:pt>
                <c:pt idx="42">
                  <c:v>92</c:v>
                </c:pt>
                <c:pt idx="43">
                  <c:v>93</c:v>
                </c:pt>
                <c:pt idx="44">
                  <c:v>94</c:v>
                </c:pt>
                <c:pt idx="45">
                  <c:v>95</c:v>
                </c:pt>
                <c:pt idx="46">
                  <c:v>96</c:v>
                </c:pt>
                <c:pt idx="47">
                  <c:v>97</c:v>
                </c:pt>
                <c:pt idx="48">
                  <c:v>98</c:v>
                </c:pt>
                <c:pt idx="49">
                  <c:v>99</c:v>
                </c:pt>
                <c:pt idx="50">
                  <c:v>100</c:v>
                </c:pt>
                <c:pt idx="51">
                  <c:v>101</c:v>
                </c:pt>
                <c:pt idx="52">
                  <c:v>102</c:v>
                </c:pt>
                <c:pt idx="53">
                  <c:v>103</c:v>
                </c:pt>
                <c:pt idx="54">
                  <c:v>104</c:v>
                </c:pt>
                <c:pt idx="55">
                  <c:v>105</c:v>
                </c:pt>
                <c:pt idx="56">
                  <c:v>106</c:v>
                </c:pt>
                <c:pt idx="57">
                  <c:v>107</c:v>
                </c:pt>
                <c:pt idx="58">
                  <c:v>108</c:v>
                </c:pt>
                <c:pt idx="59">
                  <c:v>109</c:v>
                </c:pt>
                <c:pt idx="60">
                  <c:v>110</c:v>
                </c:pt>
                <c:pt idx="61">
                  <c:v>111</c:v>
                </c:pt>
                <c:pt idx="62">
                  <c:v>112</c:v>
                </c:pt>
                <c:pt idx="63">
                  <c:v>113</c:v>
                </c:pt>
                <c:pt idx="64">
                  <c:v>114</c:v>
                </c:pt>
                <c:pt idx="65">
                  <c:v>115</c:v>
                </c:pt>
                <c:pt idx="66">
                  <c:v>116</c:v>
                </c:pt>
                <c:pt idx="67">
                  <c:v>117</c:v>
                </c:pt>
                <c:pt idx="68">
                  <c:v>118</c:v>
                </c:pt>
                <c:pt idx="69">
                  <c:v>119</c:v>
                </c:pt>
                <c:pt idx="70">
                  <c:v>120</c:v>
                </c:pt>
                <c:pt idx="71">
                  <c:v>121</c:v>
                </c:pt>
                <c:pt idx="72">
                  <c:v>122</c:v>
                </c:pt>
                <c:pt idx="73">
                  <c:v>123</c:v>
                </c:pt>
                <c:pt idx="74">
                  <c:v>124</c:v>
                </c:pt>
                <c:pt idx="75">
                  <c:v>125</c:v>
                </c:pt>
                <c:pt idx="76">
                  <c:v>126</c:v>
                </c:pt>
                <c:pt idx="77">
                  <c:v>127</c:v>
                </c:pt>
                <c:pt idx="78">
                  <c:v>128</c:v>
                </c:pt>
                <c:pt idx="79">
                  <c:v>129</c:v>
                </c:pt>
                <c:pt idx="80">
                  <c:v>130</c:v>
                </c:pt>
                <c:pt idx="81">
                  <c:v>131</c:v>
                </c:pt>
                <c:pt idx="82">
                  <c:v>132</c:v>
                </c:pt>
                <c:pt idx="83">
                  <c:v>133</c:v>
                </c:pt>
                <c:pt idx="84">
                  <c:v>134</c:v>
                </c:pt>
                <c:pt idx="85">
                  <c:v>135</c:v>
                </c:pt>
                <c:pt idx="86">
                  <c:v>136</c:v>
                </c:pt>
                <c:pt idx="87">
                  <c:v>137</c:v>
                </c:pt>
                <c:pt idx="88">
                  <c:v>138</c:v>
                </c:pt>
                <c:pt idx="89">
                  <c:v>139</c:v>
                </c:pt>
                <c:pt idx="90">
                  <c:v>140</c:v>
                </c:pt>
                <c:pt idx="91">
                  <c:v>141</c:v>
                </c:pt>
                <c:pt idx="92">
                  <c:v>142</c:v>
                </c:pt>
                <c:pt idx="93">
                  <c:v>143</c:v>
                </c:pt>
                <c:pt idx="94">
                  <c:v>144</c:v>
                </c:pt>
                <c:pt idx="95">
                  <c:v>145</c:v>
                </c:pt>
                <c:pt idx="96">
                  <c:v>146</c:v>
                </c:pt>
                <c:pt idx="97">
                  <c:v>147</c:v>
                </c:pt>
                <c:pt idx="98">
                  <c:v>148</c:v>
                </c:pt>
                <c:pt idx="99">
                  <c:v>149</c:v>
                </c:pt>
                <c:pt idx="100">
                  <c:v>150</c:v>
                </c:pt>
                <c:pt idx="101">
                  <c:v>151</c:v>
                </c:pt>
                <c:pt idx="102">
                  <c:v>152</c:v>
                </c:pt>
                <c:pt idx="103">
                  <c:v>153</c:v>
                </c:pt>
                <c:pt idx="104">
                  <c:v>154</c:v>
                </c:pt>
                <c:pt idx="105">
                  <c:v>155</c:v>
                </c:pt>
                <c:pt idx="106">
                  <c:v>156</c:v>
                </c:pt>
                <c:pt idx="107">
                  <c:v>157</c:v>
                </c:pt>
                <c:pt idx="108">
                  <c:v>158</c:v>
                </c:pt>
                <c:pt idx="109">
                  <c:v>159</c:v>
                </c:pt>
                <c:pt idx="110">
                  <c:v>160</c:v>
                </c:pt>
                <c:pt idx="111">
                  <c:v>161</c:v>
                </c:pt>
                <c:pt idx="112">
                  <c:v>162</c:v>
                </c:pt>
                <c:pt idx="113">
                  <c:v>163</c:v>
                </c:pt>
                <c:pt idx="114">
                  <c:v>164</c:v>
                </c:pt>
                <c:pt idx="115">
                  <c:v>165</c:v>
                </c:pt>
                <c:pt idx="116">
                  <c:v>166</c:v>
                </c:pt>
                <c:pt idx="117">
                  <c:v>167</c:v>
                </c:pt>
                <c:pt idx="118">
                  <c:v>168</c:v>
                </c:pt>
                <c:pt idx="119">
                  <c:v>169</c:v>
                </c:pt>
                <c:pt idx="120">
                  <c:v>170</c:v>
                </c:pt>
                <c:pt idx="121">
                  <c:v>171</c:v>
                </c:pt>
                <c:pt idx="122">
                  <c:v>172</c:v>
                </c:pt>
                <c:pt idx="123">
                  <c:v>173</c:v>
                </c:pt>
                <c:pt idx="124">
                  <c:v>174</c:v>
                </c:pt>
                <c:pt idx="125">
                  <c:v>175</c:v>
                </c:pt>
                <c:pt idx="126">
                  <c:v>176</c:v>
                </c:pt>
                <c:pt idx="127">
                  <c:v>177</c:v>
                </c:pt>
                <c:pt idx="128">
                  <c:v>178</c:v>
                </c:pt>
                <c:pt idx="129">
                  <c:v>179</c:v>
                </c:pt>
                <c:pt idx="130">
                  <c:v>180</c:v>
                </c:pt>
                <c:pt idx="131">
                  <c:v>181</c:v>
                </c:pt>
                <c:pt idx="132">
                  <c:v>182</c:v>
                </c:pt>
                <c:pt idx="133">
                  <c:v>183</c:v>
                </c:pt>
                <c:pt idx="134">
                  <c:v>184</c:v>
                </c:pt>
                <c:pt idx="135">
                  <c:v>185</c:v>
                </c:pt>
                <c:pt idx="136">
                  <c:v>186</c:v>
                </c:pt>
                <c:pt idx="137">
                  <c:v>187</c:v>
                </c:pt>
                <c:pt idx="138">
                  <c:v>188</c:v>
                </c:pt>
                <c:pt idx="139">
                  <c:v>189</c:v>
                </c:pt>
                <c:pt idx="140">
                  <c:v>190</c:v>
                </c:pt>
                <c:pt idx="141">
                  <c:v>191</c:v>
                </c:pt>
                <c:pt idx="142">
                  <c:v>192</c:v>
                </c:pt>
                <c:pt idx="143">
                  <c:v>193</c:v>
                </c:pt>
                <c:pt idx="144">
                  <c:v>194</c:v>
                </c:pt>
                <c:pt idx="145">
                  <c:v>195</c:v>
                </c:pt>
                <c:pt idx="146">
                  <c:v>196</c:v>
                </c:pt>
                <c:pt idx="147">
                  <c:v>197</c:v>
                </c:pt>
                <c:pt idx="148">
                  <c:v>198</c:v>
                </c:pt>
                <c:pt idx="149">
                  <c:v>199</c:v>
                </c:pt>
                <c:pt idx="150">
                  <c:v>200</c:v>
                </c:pt>
                <c:pt idx="151">
                  <c:v>201</c:v>
                </c:pt>
                <c:pt idx="152">
                  <c:v>202</c:v>
                </c:pt>
                <c:pt idx="153">
                  <c:v>203</c:v>
                </c:pt>
                <c:pt idx="154">
                  <c:v>204</c:v>
                </c:pt>
                <c:pt idx="155">
                  <c:v>205</c:v>
                </c:pt>
                <c:pt idx="156">
                  <c:v>206</c:v>
                </c:pt>
                <c:pt idx="157">
                  <c:v>207</c:v>
                </c:pt>
                <c:pt idx="158">
                  <c:v>208</c:v>
                </c:pt>
                <c:pt idx="159">
                  <c:v>209</c:v>
                </c:pt>
                <c:pt idx="160">
                  <c:v>210</c:v>
                </c:pt>
                <c:pt idx="161">
                  <c:v>211</c:v>
                </c:pt>
                <c:pt idx="162">
                  <c:v>212</c:v>
                </c:pt>
                <c:pt idx="163">
                  <c:v>213</c:v>
                </c:pt>
                <c:pt idx="164">
                  <c:v>214</c:v>
                </c:pt>
                <c:pt idx="165">
                  <c:v>215</c:v>
                </c:pt>
                <c:pt idx="166">
                  <c:v>216</c:v>
                </c:pt>
                <c:pt idx="167">
                  <c:v>217</c:v>
                </c:pt>
                <c:pt idx="168">
                  <c:v>218</c:v>
                </c:pt>
                <c:pt idx="169">
                  <c:v>219</c:v>
                </c:pt>
                <c:pt idx="170">
                  <c:v>220</c:v>
                </c:pt>
                <c:pt idx="171">
                  <c:v>221</c:v>
                </c:pt>
                <c:pt idx="172">
                  <c:v>222</c:v>
                </c:pt>
                <c:pt idx="173">
                  <c:v>223</c:v>
                </c:pt>
                <c:pt idx="174">
                  <c:v>224</c:v>
                </c:pt>
                <c:pt idx="175">
                  <c:v>225</c:v>
                </c:pt>
                <c:pt idx="176">
                  <c:v>226</c:v>
                </c:pt>
                <c:pt idx="177">
                  <c:v>227</c:v>
                </c:pt>
                <c:pt idx="178">
                  <c:v>228</c:v>
                </c:pt>
                <c:pt idx="179">
                  <c:v>229</c:v>
                </c:pt>
                <c:pt idx="180">
                  <c:v>230</c:v>
                </c:pt>
                <c:pt idx="181">
                  <c:v>231</c:v>
                </c:pt>
                <c:pt idx="182">
                  <c:v>232</c:v>
                </c:pt>
                <c:pt idx="183">
                  <c:v>233</c:v>
                </c:pt>
                <c:pt idx="184">
                  <c:v>234</c:v>
                </c:pt>
                <c:pt idx="185">
                  <c:v>235</c:v>
                </c:pt>
                <c:pt idx="186">
                  <c:v>236</c:v>
                </c:pt>
                <c:pt idx="187">
                  <c:v>237</c:v>
                </c:pt>
                <c:pt idx="188">
                  <c:v>238</c:v>
                </c:pt>
                <c:pt idx="189">
                  <c:v>239</c:v>
                </c:pt>
                <c:pt idx="190">
                  <c:v>240</c:v>
                </c:pt>
                <c:pt idx="191">
                  <c:v>241</c:v>
                </c:pt>
                <c:pt idx="192">
                  <c:v>242</c:v>
                </c:pt>
                <c:pt idx="193">
                  <c:v>243</c:v>
                </c:pt>
                <c:pt idx="194">
                  <c:v>244</c:v>
                </c:pt>
                <c:pt idx="195">
                  <c:v>245</c:v>
                </c:pt>
                <c:pt idx="196">
                  <c:v>246</c:v>
                </c:pt>
                <c:pt idx="197">
                  <c:v>247</c:v>
                </c:pt>
                <c:pt idx="198">
                  <c:v>248</c:v>
                </c:pt>
                <c:pt idx="199">
                  <c:v>249</c:v>
                </c:pt>
                <c:pt idx="200">
                  <c:v>250</c:v>
                </c:pt>
                <c:pt idx="201">
                  <c:v>251</c:v>
                </c:pt>
                <c:pt idx="202">
                  <c:v>252</c:v>
                </c:pt>
                <c:pt idx="203">
                  <c:v>253</c:v>
                </c:pt>
                <c:pt idx="204">
                  <c:v>254</c:v>
                </c:pt>
                <c:pt idx="205">
                  <c:v>255</c:v>
                </c:pt>
                <c:pt idx="206">
                  <c:v>256</c:v>
                </c:pt>
                <c:pt idx="207">
                  <c:v>257</c:v>
                </c:pt>
                <c:pt idx="208">
                  <c:v>258</c:v>
                </c:pt>
                <c:pt idx="209">
                  <c:v>259</c:v>
                </c:pt>
                <c:pt idx="210">
                  <c:v>260</c:v>
                </c:pt>
                <c:pt idx="211">
                  <c:v>261</c:v>
                </c:pt>
                <c:pt idx="212">
                  <c:v>262</c:v>
                </c:pt>
                <c:pt idx="213">
                  <c:v>263</c:v>
                </c:pt>
                <c:pt idx="214">
                  <c:v>264</c:v>
                </c:pt>
                <c:pt idx="215">
                  <c:v>265</c:v>
                </c:pt>
                <c:pt idx="216">
                  <c:v>266</c:v>
                </c:pt>
                <c:pt idx="217">
                  <c:v>267</c:v>
                </c:pt>
                <c:pt idx="218">
                  <c:v>268</c:v>
                </c:pt>
                <c:pt idx="219">
                  <c:v>269</c:v>
                </c:pt>
                <c:pt idx="220">
                  <c:v>270</c:v>
                </c:pt>
                <c:pt idx="221">
                  <c:v>271</c:v>
                </c:pt>
                <c:pt idx="222">
                  <c:v>272</c:v>
                </c:pt>
                <c:pt idx="223">
                  <c:v>273</c:v>
                </c:pt>
                <c:pt idx="224">
                  <c:v>274</c:v>
                </c:pt>
                <c:pt idx="225">
                  <c:v>275</c:v>
                </c:pt>
                <c:pt idx="226">
                  <c:v>276</c:v>
                </c:pt>
                <c:pt idx="227">
                  <c:v>277</c:v>
                </c:pt>
                <c:pt idx="228">
                  <c:v>278</c:v>
                </c:pt>
                <c:pt idx="229">
                  <c:v>279</c:v>
                </c:pt>
                <c:pt idx="230">
                  <c:v>280</c:v>
                </c:pt>
                <c:pt idx="231">
                  <c:v>281</c:v>
                </c:pt>
                <c:pt idx="232">
                  <c:v>282</c:v>
                </c:pt>
                <c:pt idx="233">
                  <c:v>283</c:v>
                </c:pt>
                <c:pt idx="234">
                  <c:v>284</c:v>
                </c:pt>
                <c:pt idx="235">
                  <c:v>285</c:v>
                </c:pt>
                <c:pt idx="236">
                  <c:v>286</c:v>
                </c:pt>
                <c:pt idx="237">
                  <c:v>287</c:v>
                </c:pt>
                <c:pt idx="238">
                  <c:v>288</c:v>
                </c:pt>
                <c:pt idx="239">
                  <c:v>289</c:v>
                </c:pt>
                <c:pt idx="240">
                  <c:v>290</c:v>
                </c:pt>
                <c:pt idx="241">
                  <c:v>291</c:v>
                </c:pt>
                <c:pt idx="242">
                  <c:v>292</c:v>
                </c:pt>
                <c:pt idx="243">
                  <c:v>293</c:v>
                </c:pt>
                <c:pt idx="244">
                  <c:v>294</c:v>
                </c:pt>
                <c:pt idx="245">
                  <c:v>295</c:v>
                </c:pt>
                <c:pt idx="246">
                  <c:v>296</c:v>
                </c:pt>
                <c:pt idx="247">
                  <c:v>297</c:v>
                </c:pt>
                <c:pt idx="248">
                  <c:v>298</c:v>
                </c:pt>
                <c:pt idx="249">
                  <c:v>299</c:v>
                </c:pt>
                <c:pt idx="250">
                  <c:v>300</c:v>
                </c:pt>
                <c:pt idx="251">
                  <c:v>301</c:v>
                </c:pt>
                <c:pt idx="252">
                  <c:v>302</c:v>
                </c:pt>
                <c:pt idx="253">
                  <c:v>303</c:v>
                </c:pt>
                <c:pt idx="254">
                  <c:v>304</c:v>
                </c:pt>
                <c:pt idx="255">
                  <c:v>305</c:v>
                </c:pt>
                <c:pt idx="256">
                  <c:v>306</c:v>
                </c:pt>
                <c:pt idx="257">
                  <c:v>307</c:v>
                </c:pt>
                <c:pt idx="258">
                  <c:v>308</c:v>
                </c:pt>
                <c:pt idx="259">
                  <c:v>309</c:v>
                </c:pt>
                <c:pt idx="260">
                  <c:v>310</c:v>
                </c:pt>
                <c:pt idx="261">
                  <c:v>311</c:v>
                </c:pt>
                <c:pt idx="262">
                  <c:v>312</c:v>
                </c:pt>
                <c:pt idx="263">
                  <c:v>313</c:v>
                </c:pt>
                <c:pt idx="264">
                  <c:v>314</c:v>
                </c:pt>
                <c:pt idx="265">
                  <c:v>315</c:v>
                </c:pt>
                <c:pt idx="266">
                  <c:v>316</c:v>
                </c:pt>
                <c:pt idx="267">
                  <c:v>317</c:v>
                </c:pt>
                <c:pt idx="268">
                  <c:v>318</c:v>
                </c:pt>
                <c:pt idx="269">
                  <c:v>319</c:v>
                </c:pt>
                <c:pt idx="270">
                  <c:v>320</c:v>
                </c:pt>
                <c:pt idx="271">
                  <c:v>321</c:v>
                </c:pt>
                <c:pt idx="272">
                  <c:v>322</c:v>
                </c:pt>
                <c:pt idx="273">
                  <c:v>323</c:v>
                </c:pt>
                <c:pt idx="274">
                  <c:v>324</c:v>
                </c:pt>
                <c:pt idx="275">
                  <c:v>325</c:v>
                </c:pt>
                <c:pt idx="276">
                  <c:v>326</c:v>
                </c:pt>
                <c:pt idx="277">
                  <c:v>327</c:v>
                </c:pt>
                <c:pt idx="278">
                  <c:v>328</c:v>
                </c:pt>
                <c:pt idx="279">
                  <c:v>329</c:v>
                </c:pt>
                <c:pt idx="280">
                  <c:v>330</c:v>
                </c:pt>
                <c:pt idx="281">
                  <c:v>331</c:v>
                </c:pt>
                <c:pt idx="282">
                  <c:v>332</c:v>
                </c:pt>
                <c:pt idx="283">
                  <c:v>333</c:v>
                </c:pt>
                <c:pt idx="284">
                  <c:v>334</c:v>
                </c:pt>
                <c:pt idx="285">
                  <c:v>335</c:v>
                </c:pt>
                <c:pt idx="286">
                  <c:v>336</c:v>
                </c:pt>
                <c:pt idx="287">
                  <c:v>337</c:v>
                </c:pt>
                <c:pt idx="288">
                  <c:v>338</c:v>
                </c:pt>
                <c:pt idx="289">
                  <c:v>339</c:v>
                </c:pt>
                <c:pt idx="290">
                  <c:v>340</c:v>
                </c:pt>
                <c:pt idx="291">
                  <c:v>341</c:v>
                </c:pt>
                <c:pt idx="292">
                  <c:v>342</c:v>
                </c:pt>
                <c:pt idx="293">
                  <c:v>343</c:v>
                </c:pt>
                <c:pt idx="294">
                  <c:v>344</c:v>
                </c:pt>
                <c:pt idx="295">
                  <c:v>345</c:v>
                </c:pt>
                <c:pt idx="296">
                  <c:v>346</c:v>
                </c:pt>
                <c:pt idx="297">
                  <c:v>347</c:v>
                </c:pt>
                <c:pt idx="298">
                  <c:v>348</c:v>
                </c:pt>
                <c:pt idx="299">
                  <c:v>349</c:v>
                </c:pt>
                <c:pt idx="300">
                  <c:v>350</c:v>
                </c:pt>
                <c:pt idx="301">
                  <c:v>351</c:v>
                </c:pt>
                <c:pt idx="302">
                  <c:v>352</c:v>
                </c:pt>
                <c:pt idx="303">
                  <c:v>353</c:v>
                </c:pt>
                <c:pt idx="304">
                  <c:v>354</c:v>
                </c:pt>
                <c:pt idx="305">
                  <c:v>355</c:v>
                </c:pt>
                <c:pt idx="306">
                  <c:v>356</c:v>
                </c:pt>
                <c:pt idx="307">
                  <c:v>357</c:v>
                </c:pt>
                <c:pt idx="308">
                  <c:v>358</c:v>
                </c:pt>
                <c:pt idx="309">
                  <c:v>359</c:v>
                </c:pt>
                <c:pt idx="310">
                  <c:v>360</c:v>
                </c:pt>
                <c:pt idx="311">
                  <c:v>361</c:v>
                </c:pt>
                <c:pt idx="312">
                  <c:v>362</c:v>
                </c:pt>
                <c:pt idx="313">
                  <c:v>363</c:v>
                </c:pt>
                <c:pt idx="314">
                  <c:v>364</c:v>
                </c:pt>
                <c:pt idx="315">
                  <c:v>365</c:v>
                </c:pt>
                <c:pt idx="316">
                  <c:v>366</c:v>
                </c:pt>
                <c:pt idx="317">
                  <c:v>367</c:v>
                </c:pt>
                <c:pt idx="318">
                  <c:v>368</c:v>
                </c:pt>
                <c:pt idx="319">
                  <c:v>369</c:v>
                </c:pt>
                <c:pt idx="320">
                  <c:v>370</c:v>
                </c:pt>
                <c:pt idx="321">
                  <c:v>371</c:v>
                </c:pt>
                <c:pt idx="322">
                  <c:v>372</c:v>
                </c:pt>
                <c:pt idx="323">
                  <c:v>373</c:v>
                </c:pt>
                <c:pt idx="324">
                  <c:v>374</c:v>
                </c:pt>
                <c:pt idx="325">
                  <c:v>375</c:v>
                </c:pt>
                <c:pt idx="326">
                  <c:v>376</c:v>
                </c:pt>
                <c:pt idx="327">
                  <c:v>377</c:v>
                </c:pt>
                <c:pt idx="328">
                  <c:v>378</c:v>
                </c:pt>
                <c:pt idx="329">
                  <c:v>379</c:v>
                </c:pt>
                <c:pt idx="330">
                  <c:v>380</c:v>
                </c:pt>
                <c:pt idx="331">
                  <c:v>381</c:v>
                </c:pt>
                <c:pt idx="332">
                  <c:v>382</c:v>
                </c:pt>
                <c:pt idx="333">
                  <c:v>383</c:v>
                </c:pt>
                <c:pt idx="334">
                  <c:v>384</c:v>
                </c:pt>
                <c:pt idx="335">
                  <c:v>385</c:v>
                </c:pt>
                <c:pt idx="336">
                  <c:v>386</c:v>
                </c:pt>
                <c:pt idx="337">
                  <c:v>387</c:v>
                </c:pt>
                <c:pt idx="338">
                  <c:v>388</c:v>
                </c:pt>
                <c:pt idx="339">
                  <c:v>389</c:v>
                </c:pt>
                <c:pt idx="340">
                  <c:v>390</c:v>
                </c:pt>
                <c:pt idx="341">
                  <c:v>391</c:v>
                </c:pt>
                <c:pt idx="342">
                  <c:v>392</c:v>
                </c:pt>
                <c:pt idx="343">
                  <c:v>393</c:v>
                </c:pt>
                <c:pt idx="344">
                  <c:v>394</c:v>
                </c:pt>
                <c:pt idx="345">
                  <c:v>395</c:v>
                </c:pt>
                <c:pt idx="346">
                  <c:v>396</c:v>
                </c:pt>
                <c:pt idx="347">
                  <c:v>397</c:v>
                </c:pt>
                <c:pt idx="348">
                  <c:v>398</c:v>
                </c:pt>
                <c:pt idx="349">
                  <c:v>399</c:v>
                </c:pt>
                <c:pt idx="350">
                  <c:v>400</c:v>
                </c:pt>
                <c:pt idx="351">
                  <c:v>401</c:v>
                </c:pt>
                <c:pt idx="352">
                  <c:v>402</c:v>
                </c:pt>
                <c:pt idx="353">
                  <c:v>403</c:v>
                </c:pt>
                <c:pt idx="354">
                  <c:v>404</c:v>
                </c:pt>
                <c:pt idx="355">
                  <c:v>405</c:v>
                </c:pt>
                <c:pt idx="356">
                  <c:v>406</c:v>
                </c:pt>
                <c:pt idx="357">
                  <c:v>407</c:v>
                </c:pt>
                <c:pt idx="358">
                  <c:v>408</c:v>
                </c:pt>
                <c:pt idx="359">
                  <c:v>409</c:v>
                </c:pt>
                <c:pt idx="360">
                  <c:v>410</c:v>
                </c:pt>
                <c:pt idx="361">
                  <c:v>411</c:v>
                </c:pt>
                <c:pt idx="362">
                  <c:v>412</c:v>
                </c:pt>
                <c:pt idx="363">
                  <c:v>413</c:v>
                </c:pt>
                <c:pt idx="364">
                  <c:v>414</c:v>
                </c:pt>
                <c:pt idx="365">
                  <c:v>415</c:v>
                </c:pt>
                <c:pt idx="366">
                  <c:v>416</c:v>
                </c:pt>
                <c:pt idx="367">
                  <c:v>417</c:v>
                </c:pt>
                <c:pt idx="368">
                  <c:v>418</c:v>
                </c:pt>
                <c:pt idx="369">
                  <c:v>419</c:v>
                </c:pt>
                <c:pt idx="370">
                  <c:v>420</c:v>
                </c:pt>
                <c:pt idx="371">
                  <c:v>421</c:v>
                </c:pt>
                <c:pt idx="372">
                  <c:v>422</c:v>
                </c:pt>
                <c:pt idx="373">
                  <c:v>423</c:v>
                </c:pt>
                <c:pt idx="374">
                  <c:v>424</c:v>
                </c:pt>
                <c:pt idx="375">
                  <c:v>425</c:v>
                </c:pt>
                <c:pt idx="376">
                  <c:v>426</c:v>
                </c:pt>
                <c:pt idx="377">
                  <c:v>427</c:v>
                </c:pt>
                <c:pt idx="378">
                  <c:v>428</c:v>
                </c:pt>
                <c:pt idx="379">
                  <c:v>429</c:v>
                </c:pt>
                <c:pt idx="380">
                  <c:v>430</c:v>
                </c:pt>
                <c:pt idx="381">
                  <c:v>431</c:v>
                </c:pt>
                <c:pt idx="382">
                  <c:v>432</c:v>
                </c:pt>
                <c:pt idx="383">
                  <c:v>433</c:v>
                </c:pt>
                <c:pt idx="384">
                  <c:v>434</c:v>
                </c:pt>
                <c:pt idx="385">
                  <c:v>435</c:v>
                </c:pt>
                <c:pt idx="386">
                  <c:v>436</c:v>
                </c:pt>
                <c:pt idx="387">
                  <c:v>437</c:v>
                </c:pt>
                <c:pt idx="388">
                  <c:v>438</c:v>
                </c:pt>
                <c:pt idx="389">
                  <c:v>439</c:v>
                </c:pt>
                <c:pt idx="390">
                  <c:v>440</c:v>
                </c:pt>
                <c:pt idx="391">
                  <c:v>441</c:v>
                </c:pt>
                <c:pt idx="392">
                  <c:v>442</c:v>
                </c:pt>
                <c:pt idx="393">
                  <c:v>443</c:v>
                </c:pt>
                <c:pt idx="394">
                  <c:v>444</c:v>
                </c:pt>
                <c:pt idx="395">
                  <c:v>445</c:v>
                </c:pt>
                <c:pt idx="396">
                  <c:v>446</c:v>
                </c:pt>
                <c:pt idx="397">
                  <c:v>447</c:v>
                </c:pt>
                <c:pt idx="398">
                  <c:v>448</c:v>
                </c:pt>
                <c:pt idx="399">
                  <c:v>449</c:v>
                </c:pt>
                <c:pt idx="400">
                  <c:v>450</c:v>
                </c:pt>
                <c:pt idx="401">
                  <c:v>451</c:v>
                </c:pt>
                <c:pt idx="402">
                  <c:v>452</c:v>
                </c:pt>
                <c:pt idx="403">
                  <c:v>453</c:v>
                </c:pt>
                <c:pt idx="404">
                  <c:v>454</c:v>
                </c:pt>
                <c:pt idx="405">
                  <c:v>455</c:v>
                </c:pt>
                <c:pt idx="406">
                  <c:v>456</c:v>
                </c:pt>
                <c:pt idx="407">
                  <c:v>457</c:v>
                </c:pt>
                <c:pt idx="408">
                  <c:v>458</c:v>
                </c:pt>
                <c:pt idx="409">
                  <c:v>459</c:v>
                </c:pt>
                <c:pt idx="410">
                  <c:v>460</c:v>
                </c:pt>
                <c:pt idx="411">
                  <c:v>461</c:v>
                </c:pt>
                <c:pt idx="412">
                  <c:v>462</c:v>
                </c:pt>
                <c:pt idx="413">
                  <c:v>463</c:v>
                </c:pt>
                <c:pt idx="414">
                  <c:v>464</c:v>
                </c:pt>
                <c:pt idx="415">
                  <c:v>465</c:v>
                </c:pt>
                <c:pt idx="416">
                  <c:v>466</c:v>
                </c:pt>
                <c:pt idx="417">
                  <c:v>467</c:v>
                </c:pt>
                <c:pt idx="418">
                  <c:v>468</c:v>
                </c:pt>
                <c:pt idx="419">
                  <c:v>469</c:v>
                </c:pt>
                <c:pt idx="420">
                  <c:v>470</c:v>
                </c:pt>
                <c:pt idx="421">
                  <c:v>471</c:v>
                </c:pt>
                <c:pt idx="422">
                  <c:v>472</c:v>
                </c:pt>
                <c:pt idx="423">
                  <c:v>473</c:v>
                </c:pt>
                <c:pt idx="424">
                  <c:v>474</c:v>
                </c:pt>
                <c:pt idx="425">
                  <c:v>475</c:v>
                </c:pt>
                <c:pt idx="426">
                  <c:v>476</c:v>
                </c:pt>
                <c:pt idx="427">
                  <c:v>477</c:v>
                </c:pt>
                <c:pt idx="428">
                  <c:v>478</c:v>
                </c:pt>
                <c:pt idx="429">
                  <c:v>479</c:v>
                </c:pt>
                <c:pt idx="430">
                  <c:v>480</c:v>
                </c:pt>
                <c:pt idx="431">
                  <c:v>481</c:v>
                </c:pt>
                <c:pt idx="432">
                  <c:v>482</c:v>
                </c:pt>
                <c:pt idx="433">
                  <c:v>483</c:v>
                </c:pt>
                <c:pt idx="434">
                  <c:v>484</c:v>
                </c:pt>
                <c:pt idx="435">
                  <c:v>485</c:v>
                </c:pt>
                <c:pt idx="436">
                  <c:v>486</c:v>
                </c:pt>
                <c:pt idx="437">
                  <c:v>487</c:v>
                </c:pt>
                <c:pt idx="438">
                  <c:v>488</c:v>
                </c:pt>
                <c:pt idx="439">
                  <c:v>489</c:v>
                </c:pt>
                <c:pt idx="440">
                  <c:v>490</c:v>
                </c:pt>
                <c:pt idx="441">
                  <c:v>491</c:v>
                </c:pt>
                <c:pt idx="442">
                  <c:v>492</c:v>
                </c:pt>
                <c:pt idx="443">
                  <c:v>493</c:v>
                </c:pt>
                <c:pt idx="444">
                  <c:v>494</c:v>
                </c:pt>
                <c:pt idx="445">
                  <c:v>495</c:v>
                </c:pt>
                <c:pt idx="446">
                  <c:v>496</c:v>
                </c:pt>
                <c:pt idx="447">
                  <c:v>497</c:v>
                </c:pt>
                <c:pt idx="448">
                  <c:v>498</c:v>
                </c:pt>
                <c:pt idx="449">
                  <c:v>499</c:v>
                </c:pt>
                <c:pt idx="450">
                  <c:v>500</c:v>
                </c:pt>
              </c:numCache>
            </c:numRef>
          </c:xVal>
          <c:yVal>
            <c:numRef>
              <c:f>'Q3-a,b&amp;c'!$I$2:$I$452</c:f>
              <c:numCache>
                <c:formatCode>General</c:formatCode>
                <c:ptCount val="451"/>
                <c:pt idx="0">
                  <c:v>0.50749943755063254</c:v>
                </c:pt>
                <c:pt idx="1">
                  <c:v>0.50742556058326815</c:v>
                </c:pt>
                <c:pt idx="2">
                  <c:v>0.507353824751405</c:v>
                </c:pt>
                <c:pt idx="3">
                  <c:v>0.50728412858849758</c:v>
                </c:pt>
                <c:pt idx="4">
                  <c:v>0.50721637723451984</c:v>
                </c:pt>
                <c:pt idx="5">
                  <c:v>0.5071504818931114</c:v>
                </c:pt>
                <c:pt idx="6">
                  <c:v>0.50708635934228008</c:v>
                </c:pt>
                <c:pt idx="7">
                  <c:v>0.50702393149221137</c:v>
                </c:pt>
                <c:pt idx="8">
                  <c:v>0.50696312498544727</c:v>
                </c:pt>
                <c:pt idx="9">
                  <c:v>0.5069038708344753</c:v>
                </c:pt>
                <c:pt idx="10">
                  <c:v>0.50684610409261677</c:v>
                </c:pt>
                <c:pt idx="11">
                  <c:v>0.50678976355481176</c:v>
                </c:pt>
                <c:pt idx="12">
                  <c:v>0.50673479148464962</c:v>
                </c:pt>
                <c:pt idx="13">
                  <c:v>0.50668113336601506</c:v>
                </c:pt>
                <c:pt idx="14">
                  <c:v>0.50662873767559302</c:v>
                </c:pt>
                <c:pt idx="15">
                  <c:v>0.50657755567484053</c:v>
                </c:pt>
                <c:pt idx="16">
                  <c:v>0.50652754121950827</c:v>
                </c:pt>
                <c:pt idx="17">
                  <c:v>0.50647865058490493</c:v>
                </c:pt>
                <c:pt idx="18">
                  <c:v>0.50643084230470548</c:v>
                </c:pt>
                <c:pt idx="19">
                  <c:v>0.50638407702372412</c:v>
                </c:pt>
                <c:pt idx="20">
                  <c:v>0.50633831736134693</c:v>
                </c:pt>
                <c:pt idx="21">
                  <c:v>0.50629352778609793</c:v>
                </c:pt>
                <c:pt idx="22">
                  <c:v>0.50624967449949687</c:v>
                </c:pt>
                <c:pt idx="23">
                  <c:v>0.50620672532912869</c:v>
                </c:pt>
                <c:pt idx="24">
                  <c:v>0.50616464962935581</c:v>
                </c:pt>
                <c:pt idx="25">
                  <c:v>0.5061234181891241</c:v>
                </c:pt>
                <c:pt idx="26">
                  <c:v>0.50608300314721566</c:v>
                </c:pt>
                <c:pt idx="27">
                  <c:v>0.50604337791273313</c:v>
                </c:pt>
                <c:pt idx="28">
                  <c:v>0.50600451709172145</c:v>
                </c:pt>
                <c:pt idx="29">
                  <c:v>0.50596639641901764</c:v>
                </c:pt>
                <c:pt idx="30">
                  <c:v>0.50592899269386837</c:v>
                </c:pt>
                <c:pt idx="31">
                  <c:v>0.5058922837215053</c:v>
                </c:pt>
                <c:pt idx="32">
                  <c:v>0.50585624825710129</c:v>
                </c:pt>
                <c:pt idx="33">
                  <c:v>0.50582086595428699</c:v>
                </c:pt>
                <c:pt idx="34">
                  <c:v>0.50578611731710044</c:v>
                </c:pt>
                <c:pt idx="35">
                  <c:v>0.50575198365462959</c:v>
                </c:pt>
                <c:pt idx="36">
                  <c:v>0.50571844703879043</c:v>
                </c:pt>
                <c:pt idx="37">
                  <c:v>0.50568549026479248</c:v>
                </c:pt>
                <c:pt idx="38">
                  <c:v>0.50565309681383508</c:v>
                </c:pt>
                <c:pt idx="39">
                  <c:v>0.50562125081900577</c:v>
                </c:pt>
                <c:pt idx="40">
                  <c:v>0.50558993703167476</c:v>
                </c:pt>
                <c:pt idx="41">
                  <c:v>0.50555914079136943</c:v>
                </c:pt>
                <c:pt idx="42">
                  <c:v>0.50552884799699627</c:v>
                </c:pt>
                <c:pt idx="43">
                  <c:v>0.50549904507942078</c:v>
                </c:pt>
                <c:pt idx="44">
                  <c:v>0.50546971897601578</c:v>
                </c:pt>
                <c:pt idx="45">
                  <c:v>0.50544085710690356</c:v>
                </c:pt>
                <c:pt idx="46">
                  <c:v>0.50541244735151947</c:v>
                </c:pt>
                <c:pt idx="47">
                  <c:v>0.5053844780284259</c:v>
                </c:pt>
                <c:pt idx="48">
                  <c:v>0.5053569378738888</c:v>
                </c:pt>
                <c:pt idx="49">
                  <c:v>0.50532981602343141</c:v>
                </c:pt>
                <c:pt idx="50">
                  <c:v>0.50530310199407447</c:v>
                </c:pt>
                <c:pt idx="51">
                  <c:v>0.50527678566666845</c:v>
                </c:pt>
                <c:pt idx="52">
                  <c:v>0.50525085727032282</c:v>
                </c:pt>
                <c:pt idx="53">
                  <c:v>0.50522530736676163</c:v>
                </c:pt>
                <c:pt idx="54">
                  <c:v>0.50520012683631765</c:v>
                </c:pt>
                <c:pt idx="55">
                  <c:v>0.50517530686406387</c:v>
                </c:pt>
                <c:pt idx="56">
                  <c:v>0.50515083892634483</c:v>
                </c:pt>
                <c:pt idx="57">
                  <c:v>0.50512671477934479</c:v>
                </c:pt>
                <c:pt idx="58">
                  <c:v>0.50510292644704158</c:v>
                </c:pt>
                <c:pt idx="59">
                  <c:v>0.50507946621003141</c:v>
                </c:pt>
                <c:pt idx="60">
                  <c:v>0.50505632659482746</c:v>
                </c:pt>
                <c:pt idx="61">
                  <c:v>0.50503350036451966</c:v>
                </c:pt>
                <c:pt idx="62">
                  <c:v>0.50501098050870163</c:v>
                </c:pt>
                <c:pt idx="63">
                  <c:v>0.50498876023410466</c:v>
                </c:pt>
                <c:pt idx="64">
                  <c:v>0.504966832957503</c:v>
                </c:pt>
                <c:pt idx="65">
                  <c:v>0.5049451922952054</c:v>
                </c:pt>
                <c:pt idx="66">
                  <c:v>0.50492383205772595</c:v>
                </c:pt>
                <c:pt idx="67">
                  <c:v>0.50490274624016662</c:v>
                </c:pt>
                <c:pt idx="68">
                  <c:v>0.50488192901673834</c:v>
                </c:pt>
                <c:pt idx="69">
                  <c:v>0.50486137473304415</c:v>
                </c:pt>
                <c:pt idx="70">
                  <c:v>0.50484107789997446</c:v>
                </c:pt>
                <c:pt idx="71">
                  <c:v>0.50482103318769422</c:v>
                </c:pt>
                <c:pt idx="72">
                  <c:v>0.50480123541946464</c:v>
                </c:pt>
                <c:pt idx="73">
                  <c:v>0.50478167956596487</c:v>
                </c:pt>
                <c:pt idx="74">
                  <c:v>0.50476236074043213</c:v>
                </c:pt>
                <c:pt idx="75">
                  <c:v>0.5047432741927812</c:v>
                </c:pt>
                <c:pt idx="76">
                  <c:v>0.5047244153058551</c:v>
                </c:pt>
                <c:pt idx="77">
                  <c:v>0.5047057795892006</c:v>
                </c:pt>
                <c:pt idx="78">
                  <c:v>0.50468736267585346</c:v>
                </c:pt>
                <c:pt idx="79">
                  <c:v>0.5046691603171457</c:v>
                </c:pt>
                <c:pt idx="80">
                  <c:v>0.50465116837951551</c:v>
                </c:pt>
                <c:pt idx="81">
                  <c:v>0.50463338283985126</c:v>
                </c:pt>
                <c:pt idx="82">
                  <c:v>0.5046157997817452</c:v>
                </c:pt>
                <c:pt idx="83">
                  <c:v>0.50459841539230021</c:v>
                </c:pt>
                <c:pt idx="84">
                  <c:v>0.5045812259581216</c:v>
                </c:pt>
                <c:pt idx="85">
                  <c:v>0.50456422786235833</c:v>
                </c:pt>
                <c:pt idx="86">
                  <c:v>0.504547417581789</c:v>
                </c:pt>
                <c:pt idx="87">
                  <c:v>0.5045307916827324</c:v>
                </c:pt>
                <c:pt idx="88">
                  <c:v>0.50451434681898566</c:v>
                </c:pt>
                <c:pt idx="89">
                  <c:v>0.5044980797289389</c:v>
                </c:pt>
                <c:pt idx="90">
                  <c:v>0.50448198723252036</c:v>
                </c:pt>
                <c:pt idx="91">
                  <c:v>0.50446606622859935</c:v>
                </c:pt>
                <c:pt idx="92">
                  <c:v>0.50445031369290261</c:v>
                </c:pt>
                <c:pt idx="93">
                  <c:v>0.50443472667517997</c:v>
                </c:pt>
                <c:pt idx="94">
                  <c:v>0.50441930229698584</c:v>
                </c:pt>
                <c:pt idx="95">
                  <c:v>0.50440403774948428</c:v>
                </c:pt>
                <c:pt idx="96">
                  <c:v>0.50438893029103227</c:v>
                </c:pt>
                <c:pt idx="97">
                  <c:v>0.50437397724588007</c:v>
                </c:pt>
                <c:pt idx="98">
                  <c:v>0.50435917600143032</c:v>
                </c:pt>
                <c:pt idx="99">
                  <c:v>0.50434452400638274</c:v>
                </c:pt>
                <c:pt idx="100">
                  <c:v>0.5043300187689661</c:v>
                </c:pt>
                <c:pt idx="101">
                  <c:v>0.50431565785599952</c:v>
                </c:pt>
                <c:pt idx="102">
                  <c:v>0.5043014388896212</c:v>
                </c:pt>
                <c:pt idx="103">
                  <c:v>0.50428735954667592</c:v>
                </c:pt>
                <c:pt idx="104">
                  <c:v>0.5042734175571123</c:v>
                </c:pt>
                <c:pt idx="105">
                  <c:v>0.50425961070230974</c:v>
                </c:pt>
                <c:pt idx="106">
                  <c:v>0.50424593681261254</c:v>
                </c:pt>
                <c:pt idx="107">
                  <c:v>0.50423239376815931</c:v>
                </c:pt>
                <c:pt idx="108">
                  <c:v>0.50421897949496508</c:v>
                </c:pt>
                <c:pt idx="109">
                  <c:v>0.50420569196541798</c:v>
                </c:pt>
                <c:pt idx="110">
                  <c:v>0.50419252919593915</c:v>
                </c:pt>
                <c:pt idx="111">
                  <c:v>0.5041794892463094</c:v>
                </c:pt>
                <c:pt idx="112">
                  <c:v>0.50416657021863021</c:v>
                </c:pt>
                <c:pt idx="113">
                  <c:v>0.50415377025534702</c:v>
                </c:pt>
                <c:pt idx="114">
                  <c:v>0.50414108753874687</c:v>
                </c:pt>
                <c:pt idx="115">
                  <c:v>0.5041285202896949</c:v>
                </c:pt>
                <c:pt idx="116">
                  <c:v>0.50411606676648268</c:v>
                </c:pt>
                <c:pt idx="117">
                  <c:v>0.50410372526449676</c:v>
                </c:pt>
                <c:pt idx="118">
                  <c:v>0.50409149411426979</c:v>
                </c:pt>
                <c:pt idx="119">
                  <c:v>0.50407937168093209</c:v>
                </c:pt>
                <c:pt idx="120">
                  <c:v>0.50406735636320854</c:v>
                </c:pt>
                <c:pt idx="121">
                  <c:v>0.50405544659357704</c:v>
                </c:pt>
                <c:pt idx="122">
                  <c:v>0.50404364083474296</c:v>
                </c:pt>
                <c:pt idx="123">
                  <c:v>0.50403193758199627</c:v>
                </c:pt>
                <c:pt idx="124">
                  <c:v>0.50402033536086599</c:v>
                </c:pt>
                <c:pt idx="125">
                  <c:v>0.50400883272555319</c:v>
                </c:pt>
                <c:pt idx="126">
                  <c:v>0.50399742825951466</c:v>
                </c:pt>
                <c:pt idx="127">
                  <c:v>0.503986120574484</c:v>
                </c:pt>
                <c:pt idx="128">
                  <c:v>0.5039749083095364</c:v>
                </c:pt>
                <c:pt idx="129">
                  <c:v>0.50396379012952419</c:v>
                </c:pt>
                <c:pt idx="130">
                  <c:v>0.50395276472639805</c:v>
                </c:pt>
                <c:pt idx="131">
                  <c:v>0.50394183081675314</c:v>
                </c:pt>
                <c:pt idx="132">
                  <c:v>0.50393098714240392</c:v>
                </c:pt>
                <c:pt idx="133">
                  <c:v>0.50392023246882778</c:v>
                </c:pt>
                <c:pt idx="134">
                  <c:v>0.50390956558521172</c:v>
                </c:pt>
                <c:pt idx="135">
                  <c:v>0.50389898530355259</c:v>
                </c:pt>
                <c:pt idx="136">
                  <c:v>0.50388849045871842</c:v>
                </c:pt>
                <c:pt idx="137">
                  <c:v>0.50387807990629652</c:v>
                </c:pt>
                <c:pt idx="138">
                  <c:v>0.50386775252444227</c:v>
                </c:pt>
                <c:pt idx="139">
                  <c:v>0.5038575072116116</c:v>
                </c:pt>
                <c:pt idx="140">
                  <c:v>0.50384734288602384</c:v>
                </c:pt>
                <c:pt idx="141">
                  <c:v>0.50383725848728345</c:v>
                </c:pt>
                <c:pt idx="142">
                  <c:v>0.50382725297234143</c:v>
                </c:pt>
                <c:pt idx="143">
                  <c:v>0.50381732531877688</c:v>
                </c:pt>
                <c:pt idx="144">
                  <c:v>0.50380747452155028</c:v>
                </c:pt>
                <c:pt idx="145">
                  <c:v>0.5037976995941591</c:v>
                </c:pt>
                <c:pt idx="146">
                  <c:v>0.50378799956769926</c:v>
                </c:pt>
                <c:pt idx="147">
                  <c:v>0.50377837349075605</c:v>
                </c:pt>
                <c:pt idx="148">
                  <c:v>0.50376882042839966</c:v>
                </c:pt>
                <c:pt idx="149">
                  <c:v>0.50375933946181362</c:v>
                </c:pt>
                <c:pt idx="150">
                  <c:v>0.50374992968897614</c:v>
                </c:pt>
                <c:pt idx="151">
                  <c:v>0.50374059022367046</c:v>
                </c:pt>
                <c:pt idx="152">
                  <c:v>0.50373132019376954</c:v>
                </c:pt>
                <c:pt idx="153">
                  <c:v>0.50372211874441908</c:v>
                </c:pt>
                <c:pt idx="154">
                  <c:v>0.50371298503300976</c:v>
                </c:pt>
                <c:pt idx="155">
                  <c:v>0.50370391823310601</c:v>
                </c:pt>
                <c:pt idx="156">
                  <c:v>0.50369491753131457</c:v>
                </c:pt>
                <c:pt idx="157">
                  <c:v>0.50368598212891702</c:v>
                </c:pt>
                <c:pt idx="158">
                  <c:v>0.5036771112400622</c:v>
                </c:pt>
                <c:pt idx="159">
                  <c:v>0.50366830409153229</c:v>
                </c:pt>
                <c:pt idx="160">
                  <c:v>0.50365955992474398</c:v>
                </c:pt>
                <c:pt idx="161">
                  <c:v>0.50365087799137376</c:v>
                </c:pt>
                <c:pt idx="162">
                  <c:v>0.50364225755753322</c:v>
                </c:pt>
                <c:pt idx="163">
                  <c:v>0.50363369789997381</c:v>
                </c:pt>
                <c:pt idx="164">
                  <c:v>0.503625198308564</c:v>
                </c:pt>
                <c:pt idx="165">
                  <c:v>0.50361675808369322</c:v>
                </c:pt>
                <c:pt idx="166">
                  <c:v>0.50360837653717505</c:v>
                </c:pt>
                <c:pt idx="167">
                  <c:v>0.50360005299295341</c:v>
                </c:pt>
                <c:pt idx="168">
                  <c:v>0.50359178678435235</c:v>
                </c:pt>
                <c:pt idx="169">
                  <c:v>0.50358357725684455</c:v>
                </c:pt>
                <c:pt idx="170">
                  <c:v>0.50357542376524911</c:v>
                </c:pt>
                <c:pt idx="171">
                  <c:v>0.5035673256747889</c:v>
                </c:pt>
                <c:pt idx="172">
                  <c:v>0.50355928236106706</c:v>
                </c:pt>
                <c:pt idx="173">
                  <c:v>0.50355129320980407</c:v>
                </c:pt>
                <c:pt idx="174">
                  <c:v>0.50354335761482227</c:v>
                </c:pt>
                <c:pt idx="175">
                  <c:v>0.50353547498179474</c:v>
                </c:pt>
                <c:pt idx="176">
                  <c:v>0.5035276447226702</c:v>
                </c:pt>
                <c:pt idx="177">
                  <c:v>0.50351986626118816</c:v>
                </c:pt>
                <c:pt idx="178">
                  <c:v>0.50351213902831216</c:v>
                </c:pt>
                <c:pt idx="179">
                  <c:v>0.50350446246409075</c:v>
                </c:pt>
                <c:pt idx="180">
                  <c:v>0.50349683601728024</c:v>
                </c:pt>
                <c:pt idx="181">
                  <c:v>0.5034892591453568</c:v>
                </c:pt>
                <c:pt idx="182">
                  <c:v>0.50348173131273055</c:v>
                </c:pt>
                <c:pt idx="183">
                  <c:v>0.50347425199368034</c:v>
                </c:pt>
                <c:pt idx="184">
                  <c:v>0.50346682066851489</c:v>
                </c:pt>
                <c:pt idx="185">
                  <c:v>0.50345943682643912</c:v>
                </c:pt>
                <c:pt idx="186">
                  <c:v>0.5034520999640465</c:v>
                </c:pt>
                <c:pt idx="187">
                  <c:v>0.50344480958484872</c:v>
                </c:pt>
                <c:pt idx="188">
                  <c:v>0.50343756520058147</c:v>
                </c:pt>
                <c:pt idx="189">
                  <c:v>0.50343036632967741</c:v>
                </c:pt>
                <c:pt idx="190">
                  <c:v>0.50342321249665478</c:v>
                </c:pt>
                <c:pt idx="191">
                  <c:v>0.50341610323517749</c:v>
                </c:pt>
                <c:pt idx="192">
                  <c:v>0.50340903808309068</c:v>
                </c:pt>
                <c:pt idx="193">
                  <c:v>0.50340201658720973</c:v>
                </c:pt>
                <c:pt idx="194">
                  <c:v>0.5033950382986182</c:v>
                </c:pt>
                <c:pt idx="195">
                  <c:v>0.5033881027773125</c:v>
                </c:pt>
                <c:pt idx="196">
                  <c:v>0.50338120958743937</c:v>
                </c:pt>
                <c:pt idx="197">
                  <c:v>0.50337435830012889</c:v>
                </c:pt>
                <c:pt idx="198">
                  <c:v>0.50336754849266463</c:v>
                </c:pt>
                <c:pt idx="199">
                  <c:v>0.50336077974834781</c:v>
                </c:pt>
                <c:pt idx="200">
                  <c:v>0.50335405165554981</c:v>
                </c:pt>
                <c:pt idx="201">
                  <c:v>0.5033473638097915</c:v>
                </c:pt>
                <c:pt idx="202">
                  <c:v>0.50334071581125872</c:v>
                </c:pt>
                <c:pt idx="203">
                  <c:v>0.5033341072651788</c:v>
                </c:pt>
                <c:pt idx="204">
                  <c:v>0.50332753778334849</c:v>
                </c:pt>
                <c:pt idx="205">
                  <c:v>0.50332100698265536</c:v>
                </c:pt>
                <c:pt idx="206">
                  <c:v>0.50331451448429776</c:v>
                </c:pt>
                <c:pt idx="207">
                  <c:v>0.50330805991606242</c:v>
                </c:pt>
                <c:pt idx="208">
                  <c:v>0.50330164290955404</c:v>
                </c:pt>
                <c:pt idx="209">
                  <c:v>0.50329526310247352</c:v>
                </c:pt>
                <c:pt idx="210">
                  <c:v>0.50328892013631743</c:v>
                </c:pt>
                <c:pt idx="211">
                  <c:v>0.50328261365769844</c:v>
                </c:pt>
                <c:pt idx="212">
                  <c:v>0.50327634331859528</c:v>
                </c:pt>
                <c:pt idx="213">
                  <c:v>0.50327010877427059</c:v>
                </c:pt>
                <c:pt idx="214">
                  <c:v>0.5032639096868321</c:v>
                </c:pt>
                <c:pt idx="215">
                  <c:v>0.50325774572089965</c:v>
                </c:pt>
                <c:pt idx="216">
                  <c:v>0.50325161654527428</c:v>
                </c:pt>
                <c:pt idx="217">
                  <c:v>0.50324552183487814</c:v>
                </c:pt>
                <c:pt idx="218">
                  <c:v>0.50323946126784158</c:v>
                </c:pt>
                <c:pt idx="219">
                  <c:v>0.50323343452620106</c:v>
                </c:pt>
                <c:pt idx="220">
                  <c:v>0.50322744129630925</c:v>
                </c:pt>
                <c:pt idx="221">
                  <c:v>0.50322148126966204</c:v>
                </c:pt>
                <c:pt idx="222">
                  <c:v>0.50321555413928754</c:v>
                </c:pt>
                <c:pt idx="223">
                  <c:v>0.50320965960497388</c:v>
                </c:pt>
                <c:pt idx="224">
                  <c:v>0.50320379736872123</c:v>
                </c:pt>
                <c:pt idx="225">
                  <c:v>0.50319796713660014</c:v>
                </c:pt>
                <c:pt idx="226">
                  <c:v>0.50319216861853666</c:v>
                </c:pt>
                <c:pt idx="227">
                  <c:v>0.50318640152779737</c:v>
                </c:pt>
                <c:pt idx="228">
                  <c:v>0.50318066558168217</c:v>
                </c:pt>
                <c:pt idx="229">
                  <c:v>0.50317496050105393</c:v>
                </c:pt>
                <c:pt idx="230">
                  <c:v>0.50316928600959243</c:v>
                </c:pt>
                <c:pt idx="231">
                  <c:v>0.5031636418352825</c:v>
                </c:pt>
                <c:pt idx="232">
                  <c:v>0.5031580277092087</c:v>
                </c:pt>
                <c:pt idx="233">
                  <c:v>0.50315244336513487</c:v>
                </c:pt>
                <c:pt idx="234">
                  <c:v>0.50314688854181155</c:v>
                </c:pt>
                <c:pt idx="235">
                  <c:v>0.50314136297855261</c:v>
                </c:pt>
                <c:pt idx="236">
                  <c:v>0.50313586642032915</c:v>
                </c:pt>
                <c:pt idx="237">
                  <c:v>0.50313039861424003</c:v>
                </c:pt>
                <c:pt idx="238">
                  <c:v>0.50312495931068535</c:v>
                </c:pt>
                <c:pt idx="239">
                  <c:v>0.50311954826227878</c:v>
                </c:pt>
                <c:pt idx="240">
                  <c:v>0.50311416522550367</c:v>
                </c:pt>
                <c:pt idx="241">
                  <c:v>0.50310880995917606</c:v>
                </c:pt>
                <c:pt idx="242">
                  <c:v>0.50310348222585188</c:v>
                </c:pt>
                <c:pt idx="243">
                  <c:v>0.50309818179055454</c:v>
                </c:pt>
                <c:pt idx="244">
                  <c:v>0.50309290842040133</c:v>
                </c:pt>
                <c:pt idx="245">
                  <c:v>0.50308766188617515</c:v>
                </c:pt>
                <c:pt idx="246">
                  <c:v>0.50308244196091179</c:v>
                </c:pt>
                <c:pt idx="247">
                  <c:v>0.50307724842050161</c:v>
                </c:pt>
                <c:pt idx="248">
                  <c:v>0.50307208104319801</c:v>
                </c:pt>
                <c:pt idx="249">
                  <c:v>0.50306693961021098</c:v>
                </c:pt>
                <c:pt idx="250">
                  <c:v>0.50306182390571108</c:v>
                </c:pt>
                <c:pt idx="251">
                  <c:v>0.50305673371497739</c:v>
                </c:pt>
                <c:pt idx="252">
                  <c:v>0.50305166882760566</c:v>
                </c:pt>
                <c:pt idx="253">
                  <c:v>0.50304662903336861</c:v>
                </c:pt>
                <c:pt idx="254">
                  <c:v>0.5030416141262144</c:v>
                </c:pt>
                <c:pt idx="255">
                  <c:v>0.50303662390268078</c:v>
                </c:pt>
                <c:pt idx="256">
                  <c:v>0.5030316581605776</c:v>
                </c:pt>
                <c:pt idx="257">
                  <c:v>0.50302671670000754</c:v>
                </c:pt>
                <c:pt idx="258">
                  <c:v>0.50302179932357904</c:v>
                </c:pt>
                <c:pt idx="259">
                  <c:v>0.50301690583699055</c:v>
                </c:pt>
                <c:pt idx="260">
                  <c:v>0.50301203604746747</c:v>
                </c:pt>
                <c:pt idx="261">
                  <c:v>0.50300718976381265</c:v>
                </c:pt>
                <c:pt idx="262">
                  <c:v>0.50300236679797394</c:v>
                </c:pt>
                <c:pt idx="263">
                  <c:v>0.50299756696329911</c:v>
                </c:pt>
                <c:pt idx="264">
                  <c:v>0.50299279007532527</c:v>
                </c:pt>
                <c:pt idx="265">
                  <c:v>0.50298803595144559</c:v>
                </c:pt>
                <c:pt idx="266">
                  <c:v>0.50298330441248063</c:v>
                </c:pt>
                <c:pt idx="267">
                  <c:v>0.50297859527975608</c:v>
                </c:pt>
                <c:pt idx="268">
                  <c:v>0.50297390837675571</c:v>
                </c:pt>
                <c:pt idx="269">
                  <c:v>0.50296924352949146</c:v>
                </c:pt>
                <c:pt idx="270">
                  <c:v>0.50296460056525882</c:v>
                </c:pt>
                <c:pt idx="271">
                  <c:v>0.5029599793131877</c:v>
                </c:pt>
                <c:pt idx="272">
                  <c:v>0.50295537960521186</c:v>
                </c:pt>
                <c:pt idx="273">
                  <c:v>0.50295080127415948</c:v>
                </c:pt>
                <c:pt idx="274">
                  <c:v>0.50294624415485611</c:v>
                </c:pt>
                <c:pt idx="275">
                  <c:v>0.50294170808418481</c:v>
                </c:pt>
                <c:pt idx="276">
                  <c:v>0.50293719290086691</c:v>
                </c:pt>
                <c:pt idx="277">
                  <c:v>0.50293269844493882</c:v>
                </c:pt>
                <c:pt idx="278">
                  <c:v>0.5029282245568496</c:v>
                </c:pt>
                <c:pt idx="279">
                  <c:v>0.50292377108339026</c:v>
                </c:pt>
                <c:pt idx="280">
                  <c:v>0.50291933786652798</c:v>
                </c:pt>
                <c:pt idx="281">
                  <c:v>0.50291492475457233</c:v>
                </c:pt>
                <c:pt idx="282">
                  <c:v>0.50291053159668597</c:v>
                </c:pt>
                <c:pt idx="283">
                  <c:v>0.50290615824143192</c:v>
                </c:pt>
                <c:pt idx="284">
                  <c:v>0.50290180454211719</c:v>
                </c:pt>
                <c:pt idx="285">
                  <c:v>0.50289747035047394</c:v>
                </c:pt>
                <c:pt idx="286">
                  <c:v>0.50289315552228431</c:v>
                </c:pt>
                <c:pt idx="287">
                  <c:v>0.50288885991290977</c:v>
                </c:pt>
                <c:pt idx="288">
                  <c:v>0.50288458338131314</c:v>
                </c:pt>
                <c:pt idx="289">
                  <c:v>0.50288032578582231</c:v>
                </c:pt>
                <c:pt idx="290">
                  <c:v>0.50287608698646935</c:v>
                </c:pt>
                <c:pt idx="291">
                  <c:v>0.50287186684674934</c:v>
                </c:pt>
                <c:pt idx="292">
                  <c:v>0.50286766522986559</c:v>
                </c:pt>
                <c:pt idx="293">
                  <c:v>0.50286348199999509</c:v>
                </c:pt>
                <c:pt idx="294">
                  <c:v>0.5028593170237875</c:v>
                </c:pt>
                <c:pt idx="295">
                  <c:v>0.50285517016915593</c:v>
                </c:pt>
                <c:pt idx="296">
                  <c:v>0.50285104130510827</c:v>
                </c:pt>
                <c:pt idx="297">
                  <c:v>0.50284693030053862</c:v>
                </c:pt>
                <c:pt idx="298">
                  <c:v>0.50284283702986599</c:v>
                </c:pt>
                <c:pt idx="299">
                  <c:v>0.50283876136300398</c:v>
                </c:pt>
                <c:pt idx="300">
                  <c:v>0.50283470317527545</c:v>
                </c:pt>
                <c:pt idx="301">
                  <c:v>0.50283066234330698</c:v>
                </c:pt>
                <c:pt idx="302">
                  <c:v>0.50282663874222089</c:v>
                </c:pt>
                <c:pt idx="303">
                  <c:v>0.50282263225007628</c:v>
                </c:pt>
                <c:pt idx="304">
                  <c:v>0.50281864274644628</c:v>
                </c:pt>
                <c:pt idx="305">
                  <c:v>0.50281467011125269</c:v>
                </c:pt>
                <c:pt idx="306">
                  <c:v>0.50281071422646406</c:v>
                </c:pt>
                <c:pt idx="307">
                  <c:v>0.50280677497412907</c:v>
                </c:pt>
                <c:pt idx="308">
                  <c:v>0.50280285223817178</c:v>
                </c:pt>
                <c:pt idx="309">
                  <c:v>0.50279894590418206</c:v>
                </c:pt>
                <c:pt idx="310">
                  <c:v>0.50279505585653361</c:v>
                </c:pt>
                <c:pt idx="311">
                  <c:v>0.50279118198446049</c:v>
                </c:pt>
                <c:pt idx="312">
                  <c:v>0.50278732417431715</c:v>
                </c:pt>
                <c:pt idx="313">
                  <c:v>0.50278348231674408</c:v>
                </c:pt>
                <c:pt idx="314">
                  <c:v>0.50277965630123189</c:v>
                </c:pt>
                <c:pt idx="315">
                  <c:v>0.50277584601897252</c:v>
                </c:pt>
                <c:pt idx="316">
                  <c:v>0.50277205136380709</c:v>
                </c:pt>
                <c:pt idx="317">
                  <c:v>0.50276827222797882</c:v>
                </c:pt>
                <c:pt idx="318">
                  <c:v>0.50276450850738674</c:v>
                </c:pt>
                <c:pt idx="319">
                  <c:v>0.50276076009557558</c:v>
                </c:pt>
                <c:pt idx="320">
                  <c:v>0.50275702689054147</c:v>
                </c:pt>
                <c:pt idx="321">
                  <c:v>0.50275330878799229</c:v>
                </c:pt>
                <c:pt idx="322">
                  <c:v>0.50274960568926608</c:v>
                </c:pt>
                <c:pt idx="323">
                  <c:v>0.50274591749053521</c:v>
                </c:pt>
                <c:pt idx="324">
                  <c:v>0.50274224409469837</c:v>
                </c:pt>
                <c:pt idx="325">
                  <c:v>0.50273858540160066</c:v>
                </c:pt>
                <c:pt idx="326">
                  <c:v>0.50273494131416085</c:v>
                </c:pt>
                <c:pt idx="327">
                  <c:v>0.50273131173481422</c:v>
                </c:pt>
                <c:pt idx="328">
                  <c:v>0.50272769656760152</c:v>
                </c:pt>
                <c:pt idx="329">
                  <c:v>0.50272409571818011</c:v>
                </c:pt>
                <c:pt idx="330">
                  <c:v>0.50272050909040855</c:v>
                </c:pt>
                <c:pt idx="331">
                  <c:v>0.50271693659325911</c:v>
                </c:pt>
                <c:pt idx="332">
                  <c:v>0.50271337813329953</c:v>
                </c:pt>
                <c:pt idx="333">
                  <c:v>0.50270983361902355</c:v>
                </c:pt>
                <c:pt idx="334">
                  <c:v>0.50270630295826313</c:v>
                </c:pt>
                <c:pt idx="335">
                  <c:v>0.50270278606191487</c:v>
                </c:pt>
                <c:pt idx="336">
                  <c:v>0.50269928284208665</c:v>
                </c:pt>
                <c:pt idx="337">
                  <c:v>0.50269579320770363</c:v>
                </c:pt>
                <c:pt idx="338">
                  <c:v>0.50269231707375051</c:v>
                </c:pt>
                <c:pt idx="339">
                  <c:v>0.50268885435119492</c:v>
                </c:pt>
                <c:pt idx="340">
                  <c:v>0.50268540495711445</c:v>
                </c:pt>
                <c:pt idx="341">
                  <c:v>0.50268196880223415</c:v>
                </c:pt>
                <c:pt idx="342">
                  <c:v>0.50267854580441385</c:v>
                </c:pt>
                <c:pt idx="343">
                  <c:v>0.50267513588050627</c:v>
                </c:pt>
                <c:pt idx="344">
                  <c:v>0.50267173894608341</c:v>
                </c:pt>
                <c:pt idx="345">
                  <c:v>0.50266835491908135</c:v>
                </c:pt>
                <c:pt idx="346">
                  <c:v>0.50266498371835178</c:v>
                </c:pt>
                <c:pt idx="347">
                  <c:v>0.50266162526207103</c:v>
                </c:pt>
                <c:pt idx="348">
                  <c:v>0.50265827947223063</c:v>
                </c:pt>
                <c:pt idx="349">
                  <c:v>0.50265494626813778</c:v>
                </c:pt>
                <c:pt idx="350">
                  <c:v>0.5026516255702731</c:v>
                </c:pt>
                <c:pt idx="351">
                  <c:v>0.50264831730233761</c:v>
                </c:pt>
                <c:pt idx="352">
                  <c:v>0.50264502138558798</c:v>
                </c:pt>
                <c:pt idx="353">
                  <c:v>0.50264173774390575</c:v>
                </c:pt>
                <c:pt idx="354">
                  <c:v>0.50263846630255249</c:v>
                </c:pt>
                <c:pt idx="355">
                  <c:v>0.50263520698363395</c:v>
                </c:pt>
                <c:pt idx="356">
                  <c:v>0.50263195971362096</c:v>
                </c:pt>
                <c:pt idx="357">
                  <c:v>0.50262872441922557</c:v>
                </c:pt>
                <c:pt idx="358">
                  <c:v>0.50262550102621273</c:v>
                </c:pt>
                <c:pt idx="359">
                  <c:v>0.50262228946147802</c:v>
                </c:pt>
                <c:pt idx="360">
                  <c:v>0.50261908965388646</c:v>
                </c:pt>
                <c:pt idx="361">
                  <c:v>0.50261590153125479</c:v>
                </c:pt>
                <c:pt idx="362">
                  <c:v>0.50261272502276333</c:v>
                </c:pt>
                <c:pt idx="363">
                  <c:v>0.50260956005730029</c:v>
                </c:pt>
                <c:pt idx="364">
                  <c:v>0.50260640656628319</c:v>
                </c:pt>
                <c:pt idx="365">
                  <c:v>0.50260326448026305</c:v>
                </c:pt>
                <c:pt idx="366">
                  <c:v>0.50260013373097634</c:v>
                </c:pt>
                <c:pt idx="367">
                  <c:v>0.50259701424999148</c:v>
                </c:pt>
                <c:pt idx="368">
                  <c:v>0.50259390596895515</c:v>
                </c:pt>
                <c:pt idx="369">
                  <c:v>0.5025908088225759</c:v>
                </c:pt>
                <c:pt idx="370">
                  <c:v>0.50258772274254293</c:v>
                </c:pt>
                <c:pt idx="371">
                  <c:v>0.50258464766596489</c:v>
                </c:pt>
                <c:pt idx="372">
                  <c:v>0.50258158352467963</c:v>
                </c:pt>
                <c:pt idx="373">
                  <c:v>0.50257853025636878</c:v>
                </c:pt>
                <c:pt idx="374">
                  <c:v>0.50257548779530714</c:v>
                </c:pt>
                <c:pt idx="375">
                  <c:v>0.50257245607896572</c:v>
                </c:pt>
                <c:pt idx="376">
                  <c:v>0.50256943504306473</c:v>
                </c:pt>
                <c:pt idx="377">
                  <c:v>0.502566424626394</c:v>
                </c:pt>
                <c:pt idx="378">
                  <c:v>0.50256342476625293</c:v>
                </c:pt>
                <c:pt idx="379">
                  <c:v>0.50256043540085715</c:v>
                </c:pt>
                <c:pt idx="380">
                  <c:v>0.50255745646984629</c:v>
                </c:pt>
                <c:pt idx="381">
                  <c:v>0.50255448791189861</c:v>
                </c:pt>
                <c:pt idx="382">
                  <c:v>0.50255152966690952</c:v>
                </c:pt>
                <c:pt idx="383">
                  <c:v>0.50254858167519401</c:v>
                </c:pt>
                <c:pt idx="384">
                  <c:v>0.50254564387894685</c:v>
                </c:pt>
                <c:pt idx="385">
                  <c:v>0.50254271621901958</c:v>
                </c:pt>
                <c:pt idx="386">
                  <c:v>0.502539798636218</c:v>
                </c:pt>
                <c:pt idx="387">
                  <c:v>0.50253689107384647</c:v>
                </c:pt>
                <c:pt idx="388">
                  <c:v>0.50253399347358985</c:v>
                </c:pt>
                <c:pt idx="389">
                  <c:v>0.50253110578033877</c:v>
                </c:pt>
                <c:pt idx="390">
                  <c:v>0.50252822793612584</c:v>
                </c:pt>
                <c:pt idx="391">
                  <c:v>0.50252535988668134</c:v>
                </c:pt>
                <c:pt idx="392">
                  <c:v>0.50252250157639367</c:v>
                </c:pt>
                <c:pt idx="393">
                  <c:v>0.50251965294875023</c:v>
                </c:pt>
                <c:pt idx="394">
                  <c:v>0.5025168139502928</c:v>
                </c:pt>
                <c:pt idx="395">
                  <c:v>0.50251398452602991</c:v>
                </c:pt>
                <c:pt idx="396">
                  <c:v>0.50251116462458345</c:v>
                </c:pt>
                <c:pt idx="397">
                  <c:v>0.50250835418980067</c:v>
                </c:pt>
                <c:pt idx="398">
                  <c:v>0.50250555317005485</c:v>
                </c:pt>
                <c:pt idx="399">
                  <c:v>0.50250276151281659</c:v>
                </c:pt>
                <c:pt idx="400">
                  <c:v>0.5024999791665703</c:v>
                </c:pt>
                <c:pt idx="401">
                  <c:v>0.50249720607947035</c:v>
                </c:pt>
                <c:pt idx="402">
                  <c:v>0.50249444219998396</c:v>
                </c:pt>
                <c:pt idx="403">
                  <c:v>0.50249168747733297</c:v>
                </c:pt>
                <c:pt idx="404">
                  <c:v>0.50248894186073334</c:v>
                </c:pt>
                <c:pt idx="405">
                  <c:v>0.50248620530044352</c:v>
                </c:pt>
                <c:pt idx="406">
                  <c:v>0.5024834777468381</c:v>
                </c:pt>
                <c:pt idx="407">
                  <c:v>0.50248075915078849</c:v>
                </c:pt>
                <c:pt idx="408">
                  <c:v>0.50247804946133046</c:v>
                </c:pt>
                <c:pt idx="409">
                  <c:v>0.50247534863426035</c:v>
                </c:pt>
                <c:pt idx="410">
                  <c:v>0.50247265661756546</c:v>
                </c:pt>
                <c:pt idx="411">
                  <c:v>0.50246997336570454</c:v>
                </c:pt>
                <c:pt idx="412">
                  <c:v>0.50246729883007157</c:v>
                </c:pt>
                <c:pt idx="413">
                  <c:v>0.50246463296289257</c:v>
                </c:pt>
                <c:pt idx="414">
                  <c:v>0.5024619757192087</c:v>
                </c:pt>
                <c:pt idx="415">
                  <c:v>0.50245932705169472</c:v>
                </c:pt>
                <c:pt idx="416">
                  <c:v>0.50245668691378231</c:v>
                </c:pt>
                <c:pt idx="417">
                  <c:v>0.50245405525956788</c:v>
                </c:pt>
                <c:pt idx="418">
                  <c:v>0.50245143204637677</c:v>
                </c:pt>
                <c:pt idx="419">
                  <c:v>0.50244881722721391</c:v>
                </c:pt>
                <c:pt idx="420">
                  <c:v>0.50244621075589957</c:v>
                </c:pt>
                <c:pt idx="421">
                  <c:v>0.50244361259072334</c:v>
                </c:pt>
                <c:pt idx="422">
                  <c:v>0.50244102268756774</c:v>
                </c:pt>
                <c:pt idx="423">
                  <c:v>0.50243844100011703</c:v>
                </c:pt>
                <c:pt idx="424">
                  <c:v>0.50243586748825875</c:v>
                </c:pt>
                <c:pt idx="425">
                  <c:v>0.50243330210621662</c:v>
                </c:pt>
                <c:pt idx="426">
                  <c:v>0.50243074481351568</c:v>
                </c:pt>
                <c:pt idx="427">
                  <c:v>0.50242819556709062</c:v>
                </c:pt>
                <c:pt idx="428">
                  <c:v>0.50242565432207542</c:v>
                </c:pt>
                <c:pt idx="429">
                  <c:v>0.50242312104209585</c:v>
                </c:pt>
                <c:pt idx="430">
                  <c:v>0.50242059568094621</c:v>
                </c:pt>
                <c:pt idx="431">
                  <c:v>0.50241807819903628</c:v>
                </c:pt>
                <c:pt idx="432">
                  <c:v>0.50241556855511804</c:v>
                </c:pt>
                <c:pt idx="433">
                  <c:v>0.50241306670976627</c:v>
                </c:pt>
                <c:pt idx="434">
                  <c:v>0.50241057262248856</c:v>
                </c:pt>
                <c:pt idx="435">
                  <c:v>0.50240808625233113</c:v>
                </c:pt>
                <c:pt idx="436">
                  <c:v>0.50240560756051822</c:v>
                </c:pt>
                <c:pt idx="437">
                  <c:v>0.50240313650612178</c:v>
                </c:pt>
                <c:pt idx="438">
                  <c:v>0.50240067305068969</c:v>
                </c:pt>
                <c:pt idx="439">
                  <c:v>0.5023982171566882</c:v>
                </c:pt>
                <c:pt idx="440">
                  <c:v>0.50239576878369352</c:v>
                </c:pt>
                <c:pt idx="441">
                  <c:v>0.50239332789511038</c:v>
                </c:pt>
                <c:pt idx="442">
                  <c:v>0.50239089445011487</c:v>
                </c:pt>
                <c:pt idx="443">
                  <c:v>0.5023884684138652</c:v>
                </c:pt>
                <c:pt idx="444">
                  <c:v>0.50238604974792744</c:v>
                </c:pt>
                <c:pt idx="445">
                  <c:v>0.50238363841555345</c:v>
                </c:pt>
                <c:pt idx="446">
                  <c:v>0.5023812343775681</c:v>
                </c:pt>
                <c:pt idx="447">
                  <c:v>0.50237883759989177</c:v>
                </c:pt>
                <c:pt idx="448">
                  <c:v>0.50237644804500159</c:v>
                </c:pt>
                <c:pt idx="449">
                  <c:v>0.50237406567652987</c:v>
                </c:pt>
                <c:pt idx="450">
                  <c:v>0.50237169045716346</c:v>
                </c:pt>
              </c:numCache>
            </c:numRef>
          </c:yVal>
          <c:smooth val="0"/>
          <c:extLst>
            <c:ext xmlns:c16="http://schemas.microsoft.com/office/drawing/2014/chart" uri="{C3380CC4-5D6E-409C-BE32-E72D297353CC}">
              <c16:uniqueId val="{00000001-7A47-FC4F-ABFC-1C26192B40AF}"/>
            </c:ext>
          </c:extLst>
        </c:ser>
        <c:dLbls>
          <c:showLegendKey val="0"/>
          <c:showVal val="0"/>
          <c:showCatName val="0"/>
          <c:showSerName val="0"/>
          <c:showPercent val="0"/>
          <c:showBubbleSize val="0"/>
        </c:dLbls>
        <c:axId val="3"/>
        <c:axId val="4"/>
      </c:scatterChart>
      <c:valAx>
        <c:axId val="1736154719"/>
        <c:scaling>
          <c:orientation val="minMax"/>
        </c:scaling>
        <c:delete val="0"/>
        <c:axPos val="b"/>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宋体"/>
                <a:ea typeface="宋体"/>
                <a:cs typeface="宋体"/>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1736154719"/>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scaling>
        <c:delete val="0"/>
        <c:axPos val="r"/>
        <c:numFmt formatCode="General" sourceLinked="1"/>
        <c:majorTickMark val="out"/>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3"/>
        <c:crosses val="max"/>
        <c:crossBetween val="midCat"/>
      </c:valAx>
      <c:spPr>
        <a:noFill/>
        <a:ln w="25400">
          <a:noFill/>
        </a:ln>
      </c:spPr>
    </c:plotArea>
    <c:legend>
      <c:legendPos val="r"/>
      <c:layout>
        <c:manualLayout>
          <c:xMode val="edge"/>
          <c:yMode val="edge"/>
          <c:x val="0.40776171659354388"/>
          <c:y val="0.91669711286089239"/>
          <c:w val="0.18635267455036753"/>
          <c:h val="5.6668503937007841E-2"/>
        </c:manualLayout>
      </c:layout>
      <c:overlay val="0"/>
      <c:spPr>
        <a:noFill/>
        <a:ln w="25400">
          <a:noFill/>
        </a:ln>
      </c:spPr>
      <c:txPr>
        <a:bodyPr/>
        <a:lstStyle/>
        <a:p>
          <a:pPr>
            <a:defRPr sz="82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Discretely Monitored Barrier Option:Error and Lambda</a:t>
            </a:r>
          </a:p>
        </c:rich>
      </c:tx>
      <c:overlay val="0"/>
      <c:spPr>
        <a:noFill/>
        <a:ln w="25400">
          <a:noFill/>
        </a:ln>
      </c:spPr>
    </c:title>
    <c:autoTitleDeleted val="0"/>
    <c:plotArea>
      <c:layout/>
      <c:scatterChart>
        <c:scatterStyle val="lineMarker"/>
        <c:varyColors val="0"/>
        <c:ser>
          <c:idx val="0"/>
          <c:order val="0"/>
          <c:tx>
            <c:strRef>
              <c:f>'Q4-a&amp;b'!$F$1</c:f>
              <c:strCache>
                <c:ptCount val="1"/>
                <c:pt idx="0">
                  <c:v>Error CRR</c:v>
                </c:pt>
              </c:strCache>
            </c:strRef>
          </c:tx>
          <c:spPr>
            <a:ln w="28575">
              <a:noFill/>
            </a:ln>
          </c:spPr>
          <c:marker>
            <c:symbol val="circle"/>
            <c:size val="5"/>
            <c:spPr>
              <a:solidFill>
                <a:srgbClr val="4F81BD"/>
              </a:solidFill>
              <a:ln>
                <a:solidFill>
                  <a:srgbClr val="666699"/>
                </a:solidFill>
                <a:prstDash val="solid"/>
              </a:ln>
            </c:spPr>
          </c:marker>
          <c:xVal>
            <c:numRef>
              <c:f>'Q4-a&amp;b'!$D$2:$D$97</c:f>
              <c:numCache>
                <c:formatCode>General</c:formatCode>
                <c:ptCount val="96"/>
                <c:pt idx="0">
                  <c:v>50</c:v>
                </c:pt>
                <c:pt idx="1">
                  <c:v>60</c:v>
                </c:pt>
                <c:pt idx="2">
                  <c:v>70</c:v>
                </c:pt>
                <c:pt idx="3">
                  <c:v>80</c:v>
                </c:pt>
                <c:pt idx="4">
                  <c:v>90</c:v>
                </c:pt>
                <c:pt idx="5">
                  <c:v>100</c:v>
                </c:pt>
                <c:pt idx="6">
                  <c:v>110</c:v>
                </c:pt>
                <c:pt idx="7">
                  <c:v>120</c:v>
                </c:pt>
                <c:pt idx="8">
                  <c:v>130</c:v>
                </c:pt>
                <c:pt idx="9">
                  <c:v>140</c:v>
                </c:pt>
                <c:pt idx="10">
                  <c:v>150</c:v>
                </c:pt>
                <c:pt idx="11">
                  <c:v>160</c:v>
                </c:pt>
                <c:pt idx="12">
                  <c:v>170</c:v>
                </c:pt>
                <c:pt idx="13">
                  <c:v>180</c:v>
                </c:pt>
                <c:pt idx="14">
                  <c:v>190</c:v>
                </c:pt>
                <c:pt idx="15">
                  <c:v>200</c:v>
                </c:pt>
                <c:pt idx="16">
                  <c:v>210</c:v>
                </c:pt>
                <c:pt idx="17">
                  <c:v>220</c:v>
                </c:pt>
                <c:pt idx="18">
                  <c:v>230</c:v>
                </c:pt>
                <c:pt idx="19">
                  <c:v>240</c:v>
                </c:pt>
                <c:pt idx="20">
                  <c:v>250</c:v>
                </c:pt>
                <c:pt idx="21">
                  <c:v>260</c:v>
                </c:pt>
                <c:pt idx="22">
                  <c:v>270</c:v>
                </c:pt>
                <c:pt idx="23">
                  <c:v>280</c:v>
                </c:pt>
                <c:pt idx="24">
                  <c:v>290</c:v>
                </c:pt>
                <c:pt idx="25">
                  <c:v>300</c:v>
                </c:pt>
                <c:pt idx="26">
                  <c:v>310</c:v>
                </c:pt>
                <c:pt idx="27">
                  <c:v>320</c:v>
                </c:pt>
                <c:pt idx="28">
                  <c:v>330</c:v>
                </c:pt>
                <c:pt idx="29">
                  <c:v>340</c:v>
                </c:pt>
                <c:pt idx="30">
                  <c:v>350</c:v>
                </c:pt>
                <c:pt idx="31">
                  <c:v>360</c:v>
                </c:pt>
                <c:pt idx="32">
                  <c:v>370</c:v>
                </c:pt>
                <c:pt idx="33">
                  <c:v>380</c:v>
                </c:pt>
                <c:pt idx="34">
                  <c:v>390</c:v>
                </c:pt>
                <c:pt idx="35">
                  <c:v>400</c:v>
                </c:pt>
                <c:pt idx="36">
                  <c:v>410</c:v>
                </c:pt>
                <c:pt idx="37">
                  <c:v>420</c:v>
                </c:pt>
                <c:pt idx="38">
                  <c:v>430</c:v>
                </c:pt>
                <c:pt idx="39">
                  <c:v>440</c:v>
                </c:pt>
                <c:pt idx="40">
                  <c:v>450</c:v>
                </c:pt>
                <c:pt idx="41">
                  <c:v>460</c:v>
                </c:pt>
                <c:pt idx="42">
                  <c:v>470</c:v>
                </c:pt>
                <c:pt idx="43">
                  <c:v>480</c:v>
                </c:pt>
                <c:pt idx="44">
                  <c:v>490</c:v>
                </c:pt>
                <c:pt idx="45">
                  <c:v>500</c:v>
                </c:pt>
                <c:pt idx="46">
                  <c:v>510</c:v>
                </c:pt>
                <c:pt idx="47">
                  <c:v>520</c:v>
                </c:pt>
                <c:pt idx="48">
                  <c:v>530</c:v>
                </c:pt>
                <c:pt idx="49">
                  <c:v>540</c:v>
                </c:pt>
                <c:pt idx="50">
                  <c:v>550</c:v>
                </c:pt>
                <c:pt idx="51">
                  <c:v>560</c:v>
                </c:pt>
                <c:pt idx="52">
                  <c:v>570</c:v>
                </c:pt>
                <c:pt idx="53">
                  <c:v>580</c:v>
                </c:pt>
                <c:pt idx="54">
                  <c:v>590</c:v>
                </c:pt>
                <c:pt idx="55">
                  <c:v>600</c:v>
                </c:pt>
                <c:pt idx="56">
                  <c:v>610</c:v>
                </c:pt>
                <c:pt idx="57">
                  <c:v>620</c:v>
                </c:pt>
                <c:pt idx="58">
                  <c:v>630</c:v>
                </c:pt>
                <c:pt idx="59">
                  <c:v>640</c:v>
                </c:pt>
                <c:pt idx="60">
                  <c:v>650</c:v>
                </c:pt>
                <c:pt idx="61">
                  <c:v>660</c:v>
                </c:pt>
                <c:pt idx="62">
                  <c:v>670</c:v>
                </c:pt>
                <c:pt idx="63">
                  <c:v>680</c:v>
                </c:pt>
                <c:pt idx="64">
                  <c:v>690</c:v>
                </c:pt>
                <c:pt idx="65">
                  <c:v>700</c:v>
                </c:pt>
                <c:pt idx="66">
                  <c:v>710</c:v>
                </c:pt>
                <c:pt idx="67">
                  <c:v>720</c:v>
                </c:pt>
                <c:pt idx="68">
                  <c:v>730</c:v>
                </c:pt>
                <c:pt idx="69">
                  <c:v>740</c:v>
                </c:pt>
                <c:pt idx="70">
                  <c:v>750</c:v>
                </c:pt>
                <c:pt idx="71">
                  <c:v>760</c:v>
                </c:pt>
                <c:pt idx="72">
                  <c:v>770</c:v>
                </c:pt>
                <c:pt idx="73">
                  <c:v>780</c:v>
                </c:pt>
                <c:pt idx="74">
                  <c:v>790</c:v>
                </c:pt>
                <c:pt idx="75">
                  <c:v>800</c:v>
                </c:pt>
                <c:pt idx="76">
                  <c:v>810</c:v>
                </c:pt>
                <c:pt idx="77">
                  <c:v>820</c:v>
                </c:pt>
                <c:pt idx="78">
                  <c:v>830</c:v>
                </c:pt>
                <c:pt idx="79">
                  <c:v>840</c:v>
                </c:pt>
                <c:pt idx="80">
                  <c:v>850</c:v>
                </c:pt>
                <c:pt idx="81">
                  <c:v>860</c:v>
                </c:pt>
                <c:pt idx="82">
                  <c:v>870</c:v>
                </c:pt>
                <c:pt idx="83">
                  <c:v>880</c:v>
                </c:pt>
                <c:pt idx="84">
                  <c:v>890</c:v>
                </c:pt>
                <c:pt idx="85">
                  <c:v>900</c:v>
                </c:pt>
                <c:pt idx="86">
                  <c:v>910</c:v>
                </c:pt>
                <c:pt idx="87">
                  <c:v>920</c:v>
                </c:pt>
                <c:pt idx="88">
                  <c:v>930</c:v>
                </c:pt>
                <c:pt idx="89">
                  <c:v>940</c:v>
                </c:pt>
                <c:pt idx="90">
                  <c:v>950</c:v>
                </c:pt>
                <c:pt idx="91">
                  <c:v>960</c:v>
                </c:pt>
                <c:pt idx="92">
                  <c:v>970</c:v>
                </c:pt>
                <c:pt idx="93">
                  <c:v>980</c:v>
                </c:pt>
                <c:pt idx="94">
                  <c:v>990</c:v>
                </c:pt>
                <c:pt idx="95">
                  <c:v>1000</c:v>
                </c:pt>
              </c:numCache>
            </c:numRef>
          </c:xVal>
          <c:yVal>
            <c:numRef>
              <c:f>'Q4-a&amp;b'!$F$2:$F$97</c:f>
              <c:numCache>
                <c:formatCode>General</c:formatCode>
                <c:ptCount val="96"/>
                <c:pt idx="0">
                  <c:v>0.11622362411957887</c:v>
                </c:pt>
                <c:pt idx="1">
                  <c:v>2.664005639820477E-2</c:v>
                </c:pt>
                <c:pt idx="2">
                  <c:v>-5.0674415578794374E-2</c:v>
                </c:pt>
                <c:pt idx="3">
                  <c:v>-0.11801166030389254</c:v>
                </c:pt>
                <c:pt idx="4">
                  <c:v>-0.17722372197031433</c:v>
                </c:pt>
                <c:pt idx="5">
                  <c:v>-0.22976238393331183</c:v>
                </c:pt>
                <c:pt idx="6">
                  <c:v>0.2195291601221907</c:v>
                </c:pt>
                <c:pt idx="7">
                  <c:v>0.17889154814771313</c:v>
                </c:pt>
                <c:pt idx="8">
                  <c:v>0.14062427953494794</c:v>
                </c:pt>
                <c:pt idx="9">
                  <c:v>0.10457320358183342</c:v>
                </c:pt>
                <c:pt idx="10">
                  <c:v>7.0578039745166521E-2</c:v>
                </c:pt>
                <c:pt idx="11">
                  <c:v>3.8482109172902845E-2</c:v>
                </c:pt>
                <c:pt idx="12">
                  <c:v>8.1371760498072376E-3</c:v>
                </c:pt>
                <c:pt idx="13">
                  <c:v>-2.0594421474286584E-2</c:v>
                </c:pt>
                <c:pt idx="14">
                  <c:v>-4.7839134198393474E-2</c:v>
                </c:pt>
                <c:pt idx="15">
                  <c:v>-7.3712370919143844E-2</c:v>
                </c:pt>
                <c:pt idx="16">
                  <c:v>-9.8319081811254705E-2</c:v>
                </c:pt>
                <c:pt idx="17">
                  <c:v>-0.12175453295637695</c:v>
                </c:pt>
                <c:pt idx="18">
                  <c:v>-0.14410514587087864</c:v>
                </c:pt>
                <c:pt idx="19">
                  <c:v>-0.16544933228268999</c:v>
                </c:pt>
                <c:pt idx="20">
                  <c:v>0.14767207260122373</c:v>
                </c:pt>
                <c:pt idx="21">
                  <c:v>0.12866137900123142</c:v>
                </c:pt>
                <c:pt idx="22">
                  <c:v>0.11022871685366376</c:v>
                </c:pt>
                <c:pt idx="23">
                  <c:v>9.2350965221993597E-2</c:v>
                </c:pt>
                <c:pt idx="24">
                  <c:v>7.5005453046841808E-2</c:v>
                </c:pt>
                <c:pt idx="25">
                  <c:v>5.8170129722298292E-2</c:v>
                </c:pt>
                <c:pt idx="26">
                  <c:v>4.1823677388352465E-2</c:v>
                </c:pt>
                <c:pt idx="27">
                  <c:v>2.594558038857997E-2</c:v>
                </c:pt>
                <c:pt idx="28">
                  <c:v>1.0516163359535646E-2</c:v>
                </c:pt>
                <c:pt idx="29">
                  <c:v>-4.4833935467201158E-3</c:v>
                </c:pt>
                <c:pt idx="30">
                  <c:v>-1.9071055893316036E-2</c:v>
                </c:pt>
                <c:pt idx="31">
                  <c:v>-3.3263947969901508E-2</c:v>
                </c:pt>
                <c:pt idx="32">
                  <c:v>-4.7078373976074062E-2</c:v>
                </c:pt>
                <c:pt idx="33">
                  <c:v>-6.0529844792963416E-2</c:v>
                </c:pt>
                <c:pt idx="34">
                  <c:v>-7.3633108287683768E-2</c:v>
                </c:pt>
                <c:pt idx="35">
                  <c:v>-8.6402181814754897E-2</c:v>
                </c:pt>
                <c:pt idx="36">
                  <c:v>-9.8850385702187182E-2</c:v>
                </c:pt>
                <c:pt idx="37">
                  <c:v>-0.11099037703531955</c:v>
                </c:pt>
                <c:pt idx="38">
                  <c:v>-0.12283418311053662</c:v>
                </c:pt>
                <c:pt idx="39">
                  <c:v>0.11628168352743184</c:v>
                </c:pt>
                <c:pt idx="40">
                  <c:v>0.10525990894919346</c:v>
                </c:pt>
                <c:pt idx="41">
                  <c:v>9.444081512688296E-2</c:v>
                </c:pt>
                <c:pt idx="42">
                  <c:v>8.3819254603238136E-2</c:v>
                </c:pt>
                <c:pt idx="43">
                  <c:v>7.339017309173812E-2</c:v>
                </c:pt>
                <c:pt idx="44">
                  <c:v>6.3148618584778937E-2</c:v>
                </c:pt>
                <c:pt idx="45">
                  <c:v>5.3089748141790238E-2</c:v>
                </c:pt>
                <c:pt idx="46">
                  <c:v>4.3208832817460241E-2</c:v>
                </c:pt>
                <c:pt idx="47">
                  <c:v>3.3501261009043048E-2</c:v>
                </c:pt>
                <c:pt idx="48">
                  <c:v>2.3962540524421705E-2</c:v>
                </c:pt>
                <c:pt idx="49">
                  <c:v>1.4588299586139719E-2</c:v>
                </c:pt>
                <c:pt idx="50">
                  <c:v>5.3742869534714188E-3</c:v>
                </c:pt>
                <c:pt idx="51">
                  <c:v>-3.683628622182411E-3</c:v>
                </c:pt>
                <c:pt idx="52">
                  <c:v>-1.2589459530248703E-2</c:v>
                </c:pt>
                <c:pt idx="53">
                  <c:v>-2.1347100932344709E-2</c:v>
                </c:pt>
                <c:pt idx="54">
                  <c:v>-2.9960332696206571E-2</c:v>
                </c:pt>
                <c:pt idx="55">
                  <c:v>-3.8432821632907732E-2</c:v>
                </c:pt>
                <c:pt idx="56">
                  <c:v>-4.6768124010645451E-2</c:v>
                </c:pt>
                <c:pt idx="57">
                  <c:v>-5.4969688121057736E-2</c:v>
                </c:pt>
                <c:pt idx="58">
                  <c:v>-6.304085708170426E-2</c:v>
                </c:pt>
                <c:pt idx="59">
                  <c:v>-7.0984871650472847E-2</c:v>
                </c:pt>
                <c:pt idx="60">
                  <c:v>-7.8804873077780613E-2</c:v>
                </c:pt>
                <c:pt idx="61">
                  <c:v>-8.6503906070705128E-2</c:v>
                </c:pt>
                <c:pt idx="62">
                  <c:v>-9.4084921646923725E-2</c:v>
                </c:pt>
                <c:pt idx="63">
                  <c:v>-0.10155078006002149</c:v>
                </c:pt>
                <c:pt idx="64">
                  <c:v>9.1915481620101325E-2</c:v>
                </c:pt>
                <c:pt idx="65">
                  <c:v>8.4804772334750034E-2</c:v>
                </c:pt>
                <c:pt idx="66">
                  <c:v>7.7780911939107966E-2</c:v>
                </c:pt>
                <c:pt idx="67">
                  <c:v>7.0842388833985304E-2</c:v>
                </c:pt>
                <c:pt idx="68">
                  <c:v>6.3987713821752834E-2</c:v>
                </c:pt>
                <c:pt idx="69">
                  <c:v>5.7215420863650834E-2</c:v>
                </c:pt>
                <c:pt idx="70">
                  <c:v>5.0524067604649225E-2</c:v>
                </c:pt>
                <c:pt idx="71">
                  <c:v>4.3912235876977235E-2</c:v>
                </c:pt>
                <c:pt idx="72">
                  <c:v>3.737853197263874E-2</c:v>
                </c:pt>
                <c:pt idx="73">
                  <c:v>3.0921586850569227E-2</c:v>
                </c:pt>
                <c:pt idx="74">
                  <c:v>2.4540056296956436E-2</c:v>
                </c:pt>
                <c:pt idx="75">
                  <c:v>1.8232620925855869E-2</c:v>
                </c:pt>
                <c:pt idx="76">
                  <c:v>1.1997986157948226E-2</c:v>
                </c:pt>
                <c:pt idx="77">
                  <c:v>5.8348821367202319E-3</c:v>
                </c:pt>
                <c:pt idx="78">
                  <c:v>-2.5793642513960435E-4</c:v>
                </c:pt>
                <c:pt idx="79">
                  <c:v>-6.2816904544344965E-3</c:v>
                </c:pt>
                <c:pt idx="80">
                  <c:v>-1.2237576707952336E-2</c:v>
                </c:pt>
                <c:pt idx="81">
                  <c:v>-1.812676809229341E-2</c:v>
                </c:pt>
                <c:pt idx="82">
                  <c:v>-2.3950413915141411E-2</c:v>
                </c:pt>
                <c:pt idx="83">
                  <c:v>-2.9709640210023203E-2</c:v>
                </c:pt>
                <c:pt idx="84">
                  <c:v>-3.5405550101492267E-2</c:v>
                </c:pt>
                <c:pt idx="85">
                  <c:v>-4.1039224150389408E-2</c:v>
                </c:pt>
                <c:pt idx="86">
                  <c:v>-4.6611720682763647E-2</c:v>
                </c:pt>
                <c:pt idx="87">
                  <c:v>-5.2124076232895611E-2</c:v>
                </c:pt>
                <c:pt idx="88">
                  <c:v>-5.75773059063307E-2</c:v>
                </c:pt>
                <c:pt idx="89">
                  <c:v>-6.297240373563362E-2</c:v>
                </c:pt>
                <c:pt idx="90">
                  <c:v>-6.8310343151657626E-2</c:v>
                </c:pt>
                <c:pt idx="91">
                  <c:v>-7.3592077337177209E-2</c:v>
                </c:pt>
                <c:pt idx="92">
                  <c:v>-7.8818539625409301E-2</c:v>
                </c:pt>
                <c:pt idx="93">
                  <c:v>-8.3990643936452614E-2</c:v>
                </c:pt>
                <c:pt idx="94">
                  <c:v>7.8320178183000522E-2</c:v>
                </c:pt>
                <c:pt idx="95">
                  <c:v>7.3335260139546499E-2</c:v>
                </c:pt>
              </c:numCache>
            </c:numRef>
          </c:yVal>
          <c:smooth val="0"/>
          <c:extLst>
            <c:ext xmlns:c16="http://schemas.microsoft.com/office/drawing/2014/chart" uri="{C3380CC4-5D6E-409C-BE32-E72D297353CC}">
              <c16:uniqueId val="{00000000-9575-DB46-B912-91BE4404F62D}"/>
            </c:ext>
          </c:extLst>
        </c:ser>
        <c:dLbls>
          <c:showLegendKey val="0"/>
          <c:showVal val="0"/>
          <c:showCatName val="0"/>
          <c:showSerName val="0"/>
          <c:showPercent val="0"/>
          <c:showBubbleSize val="0"/>
        </c:dLbls>
        <c:axId val="1906837119"/>
        <c:axId val="1"/>
      </c:scatterChart>
      <c:scatterChart>
        <c:scatterStyle val="lineMarker"/>
        <c:varyColors val="0"/>
        <c:ser>
          <c:idx val="1"/>
          <c:order val="1"/>
          <c:tx>
            <c:strRef>
              <c:f>'Q4-a&amp;b'!$I$1</c:f>
              <c:strCache>
                <c:ptCount val="1"/>
                <c:pt idx="0">
                  <c:v>Lambda</c:v>
                </c:pt>
              </c:strCache>
            </c:strRef>
          </c:tx>
          <c:spPr>
            <a:ln w="28575">
              <a:noFill/>
            </a:ln>
          </c:spPr>
          <c:marker>
            <c:symbol val="circle"/>
            <c:size val="5"/>
            <c:spPr>
              <a:solidFill>
                <a:srgbClr val="C0504D"/>
              </a:solidFill>
              <a:ln>
                <a:solidFill>
                  <a:srgbClr val="993366"/>
                </a:solidFill>
                <a:prstDash val="solid"/>
              </a:ln>
            </c:spPr>
          </c:marker>
          <c:xVal>
            <c:numRef>
              <c:f>'Q4-a&amp;b'!$D$2:$D$97</c:f>
              <c:numCache>
                <c:formatCode>General</c:formatCode>
                <c:ptCount val="96"/>
                <c:pt idx="0">
                  <c:v>50</c:v>
                </c:pt>
                <c:pt idx="1">
                  <c:v>60</c:v>
                </c:pt>
                <c:pt idx="2">
                  <c:v>70</c:v>
                </c:pt>
                <c:pt idx="3">
                  <c:v>80</c:v>
                </c:pt>
                <c:pt idx="4">
                  <c:v>90</c:v>
                </c:pt>
                <c:pt idx="5">
                  <c:v>100</c:v>
                </c:pt>
                <c:pt idx="6">
                  <c:v>110</c:v>
                </c:pt>
                <c:pt idx="7">
                  <c:v>120</c:v>
                </c:pt>
                <c:pt idx="8">
                  <c:v>130</c:v>
                </c:pt>
                <c:pt idx="9">
                  <c:v>140</c:v>
                </c:pt>
                <c:pt idx="10">
                  <c:v>150</c:v>
                </c:pt>
                <c:pt idx="11">
                  <c:v>160</c:v>
                </c:pt>
                <c:pt idx="12">
                  <c:v>170</c:v>
                </c:pt>
                <c:pt idx="13">
                  <c:v>180</c:v>
                </c:pt>
                <c:pt idx="14">
                  <c:v>190</c:v>
                </c:pt>
                <c:pt idx="15">
                  <c:v>200</c:v>
                </c:pt>
                <c:pt idx="16">
                  <c:v>210</c:v>
                </c:pt>
                <c:pt idx="17">
                  <c:v>220</c:v>
                </c:pt>
                <c:pt idx="18">
                  <c:v>230</c:v>
                </c:pt>
                <c:pt idx="19">
                  <c:v>240</c:v>
                </c:pt>
                <c:pt idx="20">
                  <c:v>250</c:v>
                </c:pt>
                <c:pt idx="21">
                  <c:v>260</c:v>
                </c:pt>
                <c:pt idx="22">
                  <c:v>270</c:v>
                </c:pt>
                <c:pt idx="23">
                  <c:v>280</c:v>
                </c:pt>
                <c:pt idx="24">
                  <c:v>290</c:v>
                </c:pt>
                <c:pt idx="25">
                  <c:v>300</c:v>
                </c:pt>
                <c:pt idx="26">
                  <c:v>310</c:v>
                </c:pt>
                <c:pt idx="27">
                  <c:v>320</c:v>
                </c:pt>
                <c:pt idx="28">
                  <c:v>330</c:v>
                </c:pt>
                <c:pt idx="29">
                  <c:v>340</c:v>
                </c:pt>
                <c:pt idx="30">
                  <c:v>350</c:v>
                </c:pt>
                <c:pt idx="31">
                  <c:v>360</c:v>
                </c:pt>
                <c:pt idx="32">
                  <c:v>370</c:v>
                </c:pt>
                <c:pt idx="33">
                  <c:v>380</c:v>
                </c:pt>
                <c:pt idx="34">
                  <c:v>390</c:v>
                </c:pt>
                <c:pt idx="35">
                  <c:v>400</c:v>
                </c:pt>
                <c:pt idx="36">
                  <c:v>410</c:v>
                </c:pt>
                <c:pt idx="37">
                  <c:v>420</c:v>
                </c:pt>
                <c:pt idx="38">
                  <c:v>430</c:v>
                </c:pt>
                <c:pt idx="39">
                  <c:v>440</c:v>
                </c:pt>
                <c:pt idx="40">
                  <c:v>450</c:v>
                </c:pt>
                <c:pt idx="41">
                  <c:v>460</c:v>
                </c:pt>
                <c:pt idx="42">
                  <c:v>470</c:v>
                </c:pt>
                <c:pt idx="43">
                  <c:v>480</c:v>
                </c:pt>
                <c:pt idx="44">
                  <c:v>490</c:v>
                </c:pt>
                <c:pt idx="45">
                  <c:v>500</c:v>
                </c:pt>
                <c:pt idx="46">
                  <c:v>510</c:v>
                </c:pt>
                <c:pt idx="47">
                  <c:v>520</c:v>
                </c:pt>
                <c:pt idx="48">
                  <c:v>530</c:v>
                </c:pt>
                <c:pt idx="49">
                  <c:v>540</c:v>
                </c:pt>
                <c:pt idx="50">
                  <c:v>550</c:v>
                </c:pt>
                <c:pt idx="51">
                  <c:v>560</c:v>
                </c:pt>
                <c:pt idx="52">
                  <c:v>570</c:v>
                </c:pt>
                <c:pt idx="53">
                  <c:v>580</c:v>
                </c:pt>
                <c:pt idx="54">
                  <c:v>590</c:v>
                </c:pt>
                <c:pt idx="55">
                  <c:v>600</c:v>
                </c:pt>
                <c:pt idx="56">
                  <c:v>610</c:v>
                </c:pt>
                <c:pt idx="57">
                  <c:v>620</c:v>
                </c:pt>
                <c:pt idx="58">
                  <c:v>630</c:v>
                </c:pt>
                <c:pt idx="59">
                  <c:v>640</c:v>
                </c:pt>
                <c:pt idx="60">
                  <c:v>650</c:v>
                </c:pt>
                <c:pt idx="61">
                  <c:v>660</c:v>
                </c:pt>
                <c:pt idx="62">
                  <c:v>670</c:v>
                </c:pt>
                <c:pt idx="63">
                  <c:v>680</c:v>
                </c:pt>
                <c:pt idx="64">
                  <c:v>690</c:v>
                </c:pt>
                <c:pt idx="65">
                  <c:v>700</c:v>
                </c:pt>
                <c:pt idx="66">
                  <c:v>710</c:v>
                </c:pt>
                <c:pt idx="67">
                  <c:v>720</c:v>
                </c:pt>
                <c:pt idx="68">
                  <c:v>730</c:v>
                </c:pt>
                <c:pt idx="69">
                  <c:v>740</c:v>
                </c:pt>
                <c:pt idx="70">
                  <c:v>750</c:v>
                </c:pt>
                <c:pt idx="71">
                  <c:v>760</c:v>
                </c:pt>
                <c:pt idx="72">
                  <c:v>770</c:v>
                </c:pt>
                <c:pt idx="73">
                  <c:v>780</c:v>
                </c:pt>
                <c:pt idx="74">
                  <c:v>790</c:v>
                </c:pt>
                <c:pt idx="75">
                  <c:v>800</c:v>
                </c:pt>
                <c:pt idx="76">
                  <c:v>810</c:v>
                </c:pt>
                <c:pt idx="77">
                  <c:v>820</c:v>
                </c:pt>
                <c:pt idx="78">
                  <c:v>830</c:v>
                </c:pt>
                <c:pt idx="79">
                  <c:v>840</c:v>
                </c:pt>
                <c:pt idx="80">
                  <c:v>850</c:v>
                </c:pt>
                <c:pt idx="81">
                  <c:v>860</c:v>
                </c:pt>
                <c:pt idx="82">
                  <c:v>870</c:v>
                </c:pt>
                <c:pt idx="83">
                  <c:v>880</c:v>
                </c:pt>
                <c:pt idx="84">
                  <c:v>890</c:v>
                </c:pt>
                <c:pt idx="85">
                  <c:v>900</c:v>
                </c:pt>
                <c:pt idx="86">
                  <c:v>910</c:v>
                </c:pt>
                <c:pt idx="87">
                  <c:v>920</c:v>
                </c:pt>
                <c:pt idx="88">
                  <c:v>930</c:v>
                </c:pt>
                <c:pt idx="89">
                  <c:v>940</c:v>
                </c:pt>
                <c:pt idx="90">
                  <c:v>950</c:v>
                </c:pt>
                <c:pt idx="91">
                  <c:v>960</c:v>
                </c:pt>
                <c:pt idx="92">
                  <c:v>970</c:v>
                </c:pt>
                <c:pt idx="93">
                  <c:v>980</c:v>
                </c:pt>
                <c:pt idx="94">
                  <c:v>990</c:v>
                </c:pt>
                <c:pt idx="95">
                  <c:v>1000</c:v>
                </c:pt>
              </c:numCache>
            </c:numRef>
          </c:xVal>
          <c:yVal>
            <c:numRef>
              <c:f>'Q4-a&amp;b'!$I$2:$I$97</c:f>
              <c:numCache>
                <c:formatCode>General</c:formatCode>
                <c:ptCount val="96"/>
                <c:pt idx="0">
                  <c:v>0.50474327419284237</c:v>
                </c:pt>
                <c:pt idx="1">
                  <c:v>0.50433001876898242</c:v>
                </c:pt>
                <c:pt idx="2">
                  <c:v>0.50400883272551977</c:v>
                </c:pt>
                <c:pt idx="3">
                  <c:v>0.5037499296890372</c:v>
                </c:pt>
                <c:pt idx="4">
                  <c:v>0.50353547498164297</c:v>
                </c:pt>
                <c:pt idx="5">
                  <c:v>0.50335405165559721</c:v>
                </c:pt>
                <c:pt idx="6">
                  <c:v>0.50319796713672982</c:v>
                </c:pt>
                <c:pt idx="7">
                  <c:v>0.50306182390574861</c:v>
                </c:pt>
                <c:pt idx="8">
                  <c:v>0.50294170808429284</c:v>
                </c:pt>
                <c:pt idx="9">
                  <c:v>0.50283470317559942</c:v>
                </c:pt>
                <c:pt idx="10">
                  <c:v>0.50273858540167482</c:v>
                </c:pt>
                <c:pt idx="11">
                  <c:v>0.5026516255704131</c:v>
                </c:pt>
                <c:pt idx="12">
                  <c:v>0.50257245607900691</c:v>
                </c:pt>
                <c:pt idx="13">
                  <c:v>0.5024999791667506</c:v>
                </c:pt>
                <c:pt idx="14">
                  <c:v>0.50243330210651449</c:v>
                </c:pt>
                <c:pt idx="15">
                  <c:v>0.50237169045735353</c:v>
                </c:pt>
                <c:pt idx="16">
                  <c:v>0.50231453371709922</c:v>
                </c:pt>
                <c:pt idx="17">
                  <c:v>0.50226131966661536</c:v>
                </c:pt>
                <c:pt idx="18">
                  <c:v>0.50221161491895461</c:v>
                </c:pt>
                <c:pt idx="19">
                  <c:v>0.50216504997799971</c:v>
                </c:pt>
                <c:pt idx="20">
                  <c:v>0.50212130761582496</c:v>
                </c:pt>
                <c:pt idx="21">
                  <c:v>0.50208011373528072</c:v>
                </c:pt>
                <c:pt idx="22">
                  <c:v>0.50204123011206925</c:v>
                </c:pt>
                <c:pt idx="23">
                  <c:v>0.50200444857644833</c:v>
                </c:pt>
                <c:pt idx="24">
                  <c:v>0.50196958630534527</c:v>
                </c:pt>
                <c:pt idx="25">
                  <c:v>0.50193648199089891</c:v>
                </c:pt>
                <c:pt idx="26">
                  <c:v>0.50190499268677713</c:v>
                </c:pt>
                <c:pt idx="27">
                  <c:v>0.50187499121054469</c:v>
                </c:pt>
                <c:pt idx="28">
                  <c:v>0.50184636397257287</c:v>
                </c:pt>
                <c:pt idx="29">
                  <c:v>0.5018190091631759</c:v>
                </c:pt>
                <c:pt idx="30">
                  <c:v>0.50179283523011164</c:v>
                </c:pt>
                <c:pt idx="31">
                  <c:v>0.50176775958658526</c:v>
                </c:pt>
                <c:pt idx="32">
                  <c:v>0.50174370751187991</c:v>
                </c:pt>
                <c:pt idx="33">
                  <c:v>0.50172061121231193</c:v>
                </c:pt>
                <c:pt idx="34">
                  <c:v>0.50169840901894902</c:v>
                </c:pt>
                <c:pt idx="35">
                  <c:v>0.50167704469380647</c:v>
                </c:pt>
                <c:pt idx="36">
                  <c:v>0.50165646683057052</c:v>
                </c:pt>
                <c:pt idx="37">
                  <c:v>0.50163662833246703</c:v>
                </c:pt>
                <c:pt idx="38">
                  <c:v>0.50161748595614897</c:v>
                </c:pt>
                <c:pt idx="39">
                  <c:v>0.50159899992198109</c:v>
                </c:pt>
                <c:pt idx="40">
                  <c:v>0.50158113356048306</c:v>
                </c:pt>
                <c:pt idx="41">
                  <c:v>0.50156385300701678</c:v>
                </c:pt>
                <c:pt idx="42">
                  <c:v>0.50154712693231562</c:v>
                </c:pt>
                <c:pt idx="43">
                  <c:v>0.50153092630479712</c:v>
                </c:pt>
                <c:pt idx="44">
                  <c:v>0.50151522417935379</c:v>
                </c:pt>
                <c:pt idx="45">
                  <c:v>0.50149999550075297</c:v>
                </c:pt>
                <c:pt idx="46">
                  <c:v>0.50148521694521964</c:v>
                </c:pt>
                <c:pt idx="47">
                  <c:v>0.50147086677211683</c:v>
                </c:pt>
                <c:pt idx="48">
                  <c:v>0.50145692466991354</c:v>
                </c:pt>
                <c:pt idx="49">
                  <c:v>0.50144337166245467</c:v>
                </c:pt>
                <c:pt idx="50">
                  <c:v>0.50143018998196431</c:v>
                </c:pt>
                <c:pt idx="51">
                  <c:v>0.50141736297796058</c:v>
                </c:pt>
                <c:pt idx="52">
                  <c:v>0.50140487501913555</c:v>
                </c:pt>
                <c:pt idx="53">
                  <c:v>0.50139271143358621</c:v>
                </c:pt>
                <c:pt idx="54">
                  <c:v>0.50138085841758573</c:v>
                </c:pt>
                <c:pt idx="55">
                  <c:v>0.50136930297073423</c:v>
                </c:pt>
                <c:pt idx="56">
                  <c:v>0.50135803285240299</c:v>
                </c:pt>
                <c:pt idx="57">
                  <c:v>0.50134703650553269</c:v>
                </c:pt>
                <c:pt idx="58">
                  <c:v>0.50133630302841148</c:v>
                </c:pt>
                <c:pt idx="59">
                  <c:v>0.50132582210827381</c:v>
                </c:pt>
                <c:pt idx="60">
                  <c:v>0.50131558399514409</c:v>
                </c:pt>
                <c:pt idx="61">
                  <c:v>0.50130557945130672</c:v>
                </c:pt>
                <c:pt idx="62">
                  <c:v>0.50129579973592298</c:v>
                </c:pt>
                <c:pt idx="63">
                  <c:v>0.50128623655061766</c:v>
                </c:pt>
                <c:pt idx="64">
                  <c:v>0.50127688201887854</c:v>
                </c:pt>
                <c:pt idx="65">
                  <c:v>0.50126772866668112</c:v>
                </c:pt>
                <c:pt idx="66">
                  <c:v>0.50125876937591052</c:v>
                </c:pt>
                <c:pt idx="67">
                  <c:v>0.50124999739408682</c:v>
                </c:pt>
                <c:pt idx="68">
                  <c:v>0.50124140627974556</c:v>
                </c:pt>
                <c:pt idx="69">
                  <c:v>0.50123298990335219</c:v>
                </c:pt>
                <c:pt idx="70">
                  <c:v>0.50122474242255732</c:v>
                </c:pt>
                <c:pt idx="71">
                  <c:v>0.50121665825719963</c:v>
                </c:pt>
                <c:pt idx="72">
                  <c:v>0.50120873209282946</c:v>
                </c:pt>
                <c:pt idx="73">
                  <c:v>0.50120095884340277</c:v>
                </c:pt>
                <c:pt idx="74">
                  <c:v>0.50119333366043362</c:v>
                </c:pt>
                <c:pt idx="75">
                  <c:v>0.50118585189868736</c:v>
                </c:pt>
                <c:pt idx="76">
                  <c:v>0.50117850912051343</c:v>
                </c:pt>
                <c:pt idx="77">
                  <c:v>0.50117130107087782</c:v>
                </c:pt>
                <c:pt idx="78">
                  <c:v>0.50116422368133029</c:v>
                </c:pt>
                <c:pt idx="79">
                  <c:v>0.50115727306047786</c:v>
                </c:pt>
                <c:pt idx="80">
                  <c:v>0.50115044545344678</c:v>
                </c:pt>
                <c:pt idx="81">
                  <c:v>0.50114373728452599</c:v>
                </c:pt>
                <c:pt idx="82">
                  <c:v>0.50113714510419383</c:v>
                </c:pt>
                <c:pt idx="83">
                  <c:v>0.50113066561545638</c:v>
                </c:pt>
                <c:pt idx="84">
                  <c:v>0.50112429563576455</c:v>
                </c:pt>
                <c:pt idx="85">
                  <c:v>0.50111803212816641</c:v>
                </c:pt>
                <c:pt idx="86">
                  <c:v>0.50111187214292474</c:v>
                </c:pt>
                <c:pt idx="87">
                  <c:v>0.50110581286548161</c:v>
                </c:pt>
                <c:pt idx="88">
                  <c:v>0.50109985159250414</c:v>
                </c:pt>
                <c:pt idx="89">
                  <c:v>0.50109398568782171</c:v>
                </c:pt>
                <c:pt idx="90">
                  <c:v>0.50108821265984138</c:v>
                </c:pt>
                <c:pt idx="91">
                  <c:v>0.5010825300591133</c:v>
                </c:pt>
                <c:pt idx="92">
                  <c:v>0.50107693557461708</c:v>
                </c:pt>
                <c:pt idx="93">
                  <c:v>0.50107142693265716</c:v>
                </c:pt>
                <c:pt idx="94">
                  <c:v>0.5010660019683314</c:v>
                </c:pt>
                <c:pt idx="95">
                  <c:v>0.50106065858123283</c:v>
                </c:pt>
              </c:numCache>
            </c:numRef>
          </c:yVal>
          <c:smooth val="0"/>
          <c:extLst>
            <c:ext xmlns:c16="http://schemas.microsoft.com/office/drawing/2014/chart" uri="{C3380CC4-5D6E-409C-BE32-E72D297353CC}">
              <c16:uniqueId val="{00000001-9575-DB46-B912-91BE4404F62D}"/>
            </c:ext>
          </c:extLst>
        </c:ser>
        <c:dLbls>
          <c:showLegendKey val="0"/>
          <c:showVal val="0"/>
          <c:showCatName val="0"/>
          <c:showSerName val="0"/>
          <c:showPercent val="0"/>
          <c:showBubbleSize val="0"/>
        </c:dLbls>
        <c:axId val="3"/>
        <c:axId val="4"/>
      </c:scatterChart>
      <c:valAx>
        <c:axId val="1906837119"/>
        <c:scaling>
          <c:orientation val="minMax"/>
        </c:scaling>
        <c:delete val="0"/>
        <c:axPos val="b"/>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宋体"/>
                <a:ea typeface="宋体"/>
                <a:cs typeface="宋体"/>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1906837119"/>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scaling>
        <c:delete val="0"/>
        <c:axPos val="r"/>
        <c:numFmt formatCode="General" sourceLinked="1"/>
        <c:majorTickMark val="out"/>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3"/>
        <c:crosses val="max"/>
        <c:crossBetween val="midCat"/>
      </c:valAx>
      <c:spPr>
        <a:noFill/>
        <a:ln w="25400">
          <a:noFill/>
        </a:ln>
      </c:spPr>
    </c:plotArea>
    <c:legend>
      <c:legendPos val="r"/>
      <c:layout>
        <c:manualLayout>
          <c:xMode val="edge"/>
          <c:yMode val="edge"/>
          <c:x val="0.41114378207212432"/>
          <c:y val="0.91231081641110645"/>
          <c:w val="0.18133420037037562"/>
          <c:h val="5.9651056775797739E-2"/>
        </c:manualLayout>
      </c:layout>
      <c:overlay val="0"/>
      <c:spPr>
        <a:noFill/>
        <a:ln w="25400">
          <a:noFill/>
        </a:ln>
      </c:spPr>
      <c:txPr>
        <a:bodyPr/>
        <a:lstStyle/>
        <a:p>
          <a:pPr>
            <a:defRPr sz="82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3</xdr:col>
      <xdr:colOff>38100</xdr:colOff>
      <xdr:row>1</xdr:row>
      <xdr:rowOff>50800</xdr:rowOff>
    </xdr:from>
    <xdr:to>
      <xdr:col>14</xdr:col>
      <xdr:colOff>495300</xdr:colOff>
      <xdr:row>26</xdr:row>
      <xdr:rowOff>152400</xdr:rowOff>
    </xdr:to>
    <xdr:graphicFrame macro="">
      <xdr:nvGraphicFramePr>
        <xdr:cNvPr id="1243" name="图表 1">
          <a:extLst>
            <a:ext uri="{FF2B5EF4-FFF2-40B4-BE49-F238E27FC236}">
              <a16:creationId xmlns:a16="http://schemas.microsoft.com/office/drawing/2014/main" id="{5BD168CE-112D-2A49-BA25-00E8F7B0BD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825500</xdr:colOff>
      <xdr:row>1</xdr:row>
      <xdr:rowOff>152400</xdr:rowOff>
    </xdr:from>
    <xdr:to>
      <xdr:col>17</xdr:col>
      <xdr:colOff>38100</xdr:colOff>
      <xdr:row>27</xdr:row>
      <xdr:rowOff>152400</xdr:rowOff>
    </xdr:to>
    <xdr:graphicFrame macro="">
      <xdr:nvGraphicFramePr>
        <xdr:cNvPr id="8394" name="图表 1">
          <a:extLst>
            <a:ext uri="{FF2B5EF4-FFF2-40B4-BE49-F238E27FC236}">
              <a16:creationId xmlns:a16="http://schemas.microsoft.com/office/drawing/2014/main" id="{9A26530C-3B79-D54B-9530-6350CF1F25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330200</xdr:colOff>
      <xdr:row>11</xdr:row>
      <xdr:rowOff>88900</xdr:rowOff>
    </xdr:from>
    <xdr:to>
      <xdr:col>18</xdr:col>
      <xdr:colOff>241300</xdr:colOff>
      <xdr:row>41</xdr:row>
      <xdr:rowOff>63500</xdr:rowOff>
    </xdr:to>
    <xdr:graphicFrame macro="">
      <xdr:nvGraphicFramePr>
        <xdr:cNvPr id="24776" name="图表 1">
          <a:extLst>
            <a:ext uri="{FF2B5EF4-FFF2-40B4-BE49-F238E27FC236}">
              <a16:creationId xmlns:a16="http://schemas.microsoft.com/office/drawing/2014/main" id="{81208205-5641-A84F-9316-627117ED8A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12700</xdr:colOff>
      <xdr:row>5</xdr:row>
      <xdr:rowOff>88900</xdr:rowOff>
    </xdr:from>
    <xdr:to>
      <xdr:col>12</xdr:col>
      <xdr:colOff>342900</xdr:colOff>
      <xdr:row>22</xdr:row>
      <xdr:rowOff>63500</xdr:rowOff>
    </xdr:to>
    <xdr:graphicFrame macro="">
      <xdr:nvGraphicFramePr>
        <xdr:cNvPr id="2100" name="图表 1">
          <a:extLst>
            <a:ext uri="{FF2B5EF4-FFF2-40B4-BE49-F238E27FC236}">
              <a16:creationId xmlns:a16="http://schemas.microsoft.com/office/drawing/2014/main" id="{99802F37-08A9-F64B-8AAE-4941FBC230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177800</xdr:colOff>
      <xdr:row>4</xdr:row>
      <xdr:rowOff>63500</xdr:rowOff>
    </xdr:from>
    <xdr:to>
      <xdr:col>11</xdr:col>
      <xdr:colOff>520700</xdr:colOff>
      <xdr:row>21</xdr:row>
      <xdr:rowOff>50800</xdr:rowOff>
    </xdr:to>
    <xdr:graphicFrame macro="">
      <xdr:nvGraphicFramePr>
        <xdr:cNvPr id="831539" name="图表 2">
          <a:extLst>
            <a:ext uri="{FF2B5EF4-FFF2-40B4-BE49-F238E27FC236}">
              <a16:creationId xmlns:a16="http://schemas.microsoft.com/office/drawing/2014/main" id="{C9E2C3B0-D5FA-CD48-B39B-B3EFE0BED9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292100</xdr:colOff>
      <xdr:row>6</xdr:row>
      <xdr:rowOff>12700</xdr:rowOff>
    </xdr:from>
    <xdr:to>
      <xdr:col>13</xdr:col>
      <xdr:colOff>635000</xdr:colOff>
      <xdr:row>23</xdr:row>
      <xdr:rowOff>0</xdr:rowOff>
    </xdr:to>
    <xdr:graphicFrame macro="">
      <xdr:nvGraphicFramePr>
        <xdr:cNvPr id="27669" name="图表 1">
          <a:extLst>
            <a:ext uri="{FF2B5EF4-FFF2-40B4-BE49-F238E27FC236}">
              <a16:creationId xmlns:a16="http://schemas.microsoft.com/office/drawing/2014/main" id="{E7D55D81-57B6-5041-9EA9-2884EE8A96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101600</xdr:colOff>
      <xdr:row>6</xdr:row>
      <xdr:rowOff>25400</xdr:rowOff>
    </xdr:from>
    <xdr:to>
      <xdr:col>11</xdr:col>
      <xdr:colOff>152400</xdr:colOff>
      <xdr:row>26</xdr:row>
      <xdr:rowOff>165100</xdr:rowOff>
    </xdr:to>
    <xdr:graphicFrame macro="">
      <xdr:nvGraphicFramePr>
        <xdr:cNvPr id="50347" name="图表 1">
          <a:extLst>
            <a:ext uri="{FF2B5EF4-FFF2-40B4-BE49-F238E27FC236}">
              <a16:creationId xmlns:a16="http://schemas.microsoft.com/office/drawing/2014/main" id="{378F2AD1-8463-AE49-8B2E-667B340165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571500</xdr:colOff>
      <xdr:row>3</xdr:row>
      <xdr:rowOff>63500</xdr:rowOff>
    </xdr:from>
    <xdr:to>
      <xdr:col>14</xdr:col>
      <xdr:colOff>88900</xdr:colOff>
      <xdr:row>26</xdr:row>
      <xdr:rowOff>25400</xdr:rowOff>
    </xdr:to>
    <xdr:graphicFrame macro="">
      <xdr:nvGraphicFramePr>
        <xdr:cNvPr id="291899" name="图表 1">
          <a:extLst>
            <a:ext uri="{FF2B5EF4-FFF2-40B4-BE49-F238E27FC236}">
              <a16:creationId xmlns:a16="http://schemas.microsoft.com/office/drawing/2014/main" id="{1824E3C9-E487-D541-A936-BACC408A6B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25400</xdr:colOff>
      <xdr:row>2</xdr:row>
      <xdr:rowOff>25400</xdr:rowOff>
    </xdr:from>
    <xdr:to>
      <xdr:col>14</xdr:col>
      <xdr:colOff>50800</xdr:colOff>
      <xdr:row>28</xdr:row>
      <xdr:rowOff>139700</xdr:rowOff>
    </xdr:to>
    <xdr:graphicFrame macro="">
      <xdr:nvGraphicFramePr>
        <xdr:cNvPr id="494654" name="图表 1">
          <a:extLst>
            <a:ext uri="{FF2B5EF4-FFF2-40B4-BE49-F238E27FC236}">
              <a16:creationId xmlns:a16="http://schemas.microsoft.com/office/drawing/2014/main" id="{B1F9E237-13A4-B347-BD58-13B12C9D9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330200</xdr:colOff>
      <xdr:row>14</xdr:row>
      <xdr:rowOff>63500</xdr:rowOff>
    </xdr:from>
    <xdr:to>
      <xdr:col>9</xdr:col>
      <xdr:colOff>88900</xdr:colOff>
      <xdr:row>37</xdr:row>
      <xdr:rowOff>63500</xdr:rowOff>
    </xdr:to>
    <xdr:graphicFrame macro="">
      <xdr:nvGraphicFramePr>
        <xdr:cNvPr id="292998" name="图表 2">
          <a:extLst>
            <a:ext uri="{FF2B5EF4-FFF2-40B4-BE49-F238E27FC236}">
              <a16:creationId xmlns:a16="http://schemas.microsoft.com/office/drawing/2014/main" id="{330368A0-84F7-E04B-8C0F-87F7383B8B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50800</xdr:colOff>
      <xdr:row>4</xdr:row>
      <xdr:rowOff>63500</xdr:rowOff>
    </xdr:from>
    <xdr:to>
      <xdr:col>11</xdr:col>
      <xdr:colOff>393700</xdr:colOff>
      <xdr:row>21</xdr:row>
      <xdr:rowOff>50800</xdr:rowOff>
    </xdr:to>
    <xdr:graphicFrame macro="">
      <xdr:nvGraphicFramePr>
        <xdr:cNvPr id="1008654" name="图表 1">
          <a:extLst>
            <a:ext uri="{FF2B5EF4-FFF2-40B4-BE49-F238E27FC236}">
              <a16:creationId xmlns:a16="http://schemas.microsoft.com/office/drawing/2014/main" id="{E8FC490D-9590-C948-976F-F24607980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406400</xdr:colOff>
      <xdr:row>4</xdr:row>
      <xdr:rowOff>25400</xdr:rowOff>
    </xdr:from>
    <xdr:to>
      <xdr:col>14</xdr:col>
      <xdr:colOff>76200</xdr:colOff>
      <xdr:row>21</xdr:row>
      <xdr:rowOff>12700</xdr:rowOff>
    </xdr:to>
    <xdr:graphicFrame macro="">
      <xdr:nvGraphicFramePr>
        <xdr:cNvPr id="1037326" name="图表 1">
          <a:extLst>
            <a:ext uri="{FF2B5EF4-FFF2-40B4-BE49-F238E27FC236}">
              <a16:creationId xmlns:a16="http://schemas.microsoft.com/office/drawing/2014/main" id="{5B700A08-AF5F-6D4F-86FD-0EFE4A9713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203200</xdr:colOff>
      <xdr:row>3</xdr:row>
      <xdr:rowOff>114300</xdr:rowOff>
    </xdr:from>
    <xdr:to>
      <xdr:col>14</xdr:col>
      <xdr:colOff>533400</xdr:colOff>
      <xdr:row>20</xdr:row>
      <xdr:rowOff>101600</xdr:rowOff>
    </xdr:to>
    <xdr:graphicFrame macro="">
      <xdr:nvGraphicFramePr>
        <xdr:cNvPr id="1038358" name="图表 1">
          <a:extLst>
            <a:ext uri="{FF2B5EF4-FFF2-40B4-BE49-F238E27FC236}">
              <a16:creationId xmlns:a16="http://schemas.microsoft.com/office/drawing/2014/main" id="{E5C69C0E-3366-734B-9849-A338CE0F76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495300</xdr:colOff>
      <xdr:row>8</xdr:row>
      <xdr:rowOff>76200</xdr:rowOff>
    </xdr:from>
    <xdr:to>
      <xdr:col>9</xdr:col>
      <xdr:colOff>114300</xdr:colOff>
      <xdr:row>31</xdr:row>
      <xdr:rowOff>25400</xdr:rowOff>
    </xdr:to>
    <xdr:graphicFrame macro="">
      <xdr:nvGraphicFramePr>
        <xdr:cNvPr id="520266" name="图表 2">
          <a:extLst>
            <a:ext uri="{FF2B5EF4-FFF2-40B4-BE49-F238E27FC236}">
              <a16:creationId xmlns:a16="http://schemas.microsoft.com/office/drawing/2014/main" id="{828BD709-4420-864C-A7ED-F5319C13A8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685800</xdr:colOff>
      <xdr:row>7</xdr:row>
      <xdr:rowOff>88900</xdr:rowOff>
    </xdr:from>
    <xdr:to>
      <xdr:col>8</xdr:col>
      <xdr:colOff>482600</xdr:colOff>
      <xdr:row>28</xdr:row>
      <xdr:rowOff>114300</xdr:rowOff>
    </xdr:to>
    <xdr:graphicFrame macro="">
      <xdr:nvGraphicFramePr>
        <xdr:cNvPr id="644161" name="图表 2">
          <a:extLst>
            <a:ext uri="{FF2B5EF4-FFF2-40B4-BE49-F238E27FC236}">
              <a16:creationId xmlns:a16="http://schemas.microsoft.com/office/drawing/2014/main" id="{390A04CA-B279-FC4B-ABC4-1FEE9FF6A6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454"/>
  <sheetViews>
    <sheetView tabSelected="1" workbookViewId="0">
      <selection activeCell="H1" sqref="H1:Q13"/>
    </sheetView>
  </sheetViews>
  <sheetFormatPr baseColWidth="10" defaultColWidth="8.83203125" defaultRowHeight="14"/>
  <cols>
    <col min="1" max="1" width="13" style="2" customWidth="1"/>
    <col min="2" max="2" width="8.83203125" style="2"/>
    <col min="3" max="3" width="2.6640625" style="2" customWidth="1"/>
    <col min="4" max="4" width="15.6640625" style="2" bestFit="1" customWidth="1"/>
    <col min="5" max="5" width="12.5" style="2" bestFit="1" customWidth="1"/>
    <col min="6" max="6" width="11.33203125" style="2" customWidth="1"/>
    <col min="7" max="12" width="8.83203125" style="2"/>
    <col min="13" max="13" width="11" style="2" bestFit="1" customWidth="1"/>
    <col min="14" max="14" width="12.5" style="2" bestFit="1" customWidth="1"/>
    <col min="15" max="16384" width="8.83203125" style="2"/>
  </cols>
  <sheetData>
    <row r="1" spans="1:6" ht="12.75" customHeight="1">
      <c r="A1" s="5" t="s">
        <v>39</v>
      </c>
      <c r="C1" s="5"/>
      <c r="D1" s="5" t="s">
        <v>5</v>
      </c>
      <c r="E1" s="5" t="s">
        <v>6</v>
      </c>
      <c r="F1" s="5" t="s">
        <v>7</v>
      </c>
    </row>
    <row r="2" spans="1:6" ht="12.75" customHeight="1">
      <c r="A2" s="2" t="s">
        <v>0</v>
      </c>
      <c r="B2" s="2">
        <v>50</v>
      </c>
      <c r="C2" s="4"/>
      <c r="D2" s="2">
        <v>50</v>
      </c>
      <c r="E2" s="4">
        <v>8.6956512230913923</v>
      </c>
      <c r="F2" s="4">
        <v>-5.9912267685895415E-3</v>
      </c>
    </row>
    <row r="3" spans="1:6" ht="12.75" customHeight="1">
      <c r="A3" s="2" t="s">
        <v>9</v>
      </c>
      <c r="B3" s="2">
        <v>55</v>
      </c>
      <c r="C3" s="4"/>
      <c r="D3" s="2">
        <v>51</v>
      </c>
      <c r="E3" s="4">
        <v>8.725518243900062</v>
      </c>
      <c r="F3" s="4">
        <v>2.3875794040080223E-2</v>
      </c>
    </row>
    <row r="4" spans="1:6" ht="12.75" customHeight="1">
      <c r="A4" s="2" t="s">
        <v>3</v>
      </c>
      <c r="B4" s="2">
        <v>0.3</v>
      </c>
      <c r="C4" s="4"/>
      <c r="D4" s="2">
        <v>52</v>
      </c>
      <c r="E4" s="4">
        <v>8.6995618450037071</v>
      </c>
      <c r="F4" s="4">
        <v>-2.0806048562747037E-3</v>
      </c>
    </row>
    <row r="5" spans="1:6" ht="12.75" customHeight="1">
      <c r="A5" s="2" t="s">
        <v>4</v>
      </c>
      <c r="B5" s="2">
        <v>0.01</v>
      </c>
      <c r="C5" s="4"/>
      <c r="D5" s="2">
        <v>53</v>
      </c>
      <c r="E5" s="4">
        <v>8.7232158309123804</v>
      </c>
      <c r="F5" s="4">
        <v>2.1573381052398588E-2</v>
      </c>
    </row>
    <row r="6" spans="1:6" ht="12.75" customHeight="1">
      <c r="A6" s="2" t="s">
        <v>1</v>
      </c>
      <c r="B6" s="2">
        <v>1</v>
      </c>
      <c r="C6" s="4"/>
      <c r="D6" s="2">
        <v>54</v>
      </c>
      <c r="E6" s="4">
        <v>8.7029182377115362</v>
      </c>
      <c r="F6" s="4">
        <v>1.2757878515543553E-3</v>
      </c>
    </row>
    <row r="7" spans="1:6" ht="12.75" customHeight="1">
      <c r="A7" s="2" t="s">
        <v>2</v>
      </c>
      <c r="B7" s="2">
        <v>0</v>
      </c>
      <c r="C7" s="4"/>
      <c r="D7" s="2">
        <v>55</v>
      </c>
      <c r="E7" s="4">
        <v>8.7208964818811339</v>
      </c>
      <c r="F7" s="4">
        <v>1.9254032021152057E-2</v>
      </c>
    </row>
    <row r="8" spans="1:6" ht="12.75" customHeight="1">
      <c r="A8" s="2" t="s">
        <v>19</v>
      </c>
      <c r="B8" s="2">
        <f>(LN(B2/B3)+(B5+B4^2/2)*B6)/(B4*SQRT(B6))</f>
        <v>-0.13436726601441631</v>
      </c>
      <c r="C8" s="4"/>
      <c r="D8" s="2">
        <v>56</v>
      </c>
      <c r="E8" s="4">
        <v>8.7057921242236755</v>
      </c>
      <c r="F8" s="4">
        <v>4.1496743636937339E-3</v>
      </c>
    </row>
    <row r="9" spans="1:6" ht="12.75" customHeight="1">
      <c r="A9" s="2" t="s">
        <v>20</v>
      </c>
      <c r="B9" s="2">
        <f>(LN(B2/B3)+(B5-B4^2/2)*B6)/(B4*SQRT(B6))</f>
        <v>-0.43436726601441628</v>
      </c>
      <c r="C9" s="4"/>
      <c r="D9" s="2">
        <v>57</v>
      </c>
      <c r="E9" s="4">
        <v>8.718571434593926</v>
      </c>
      <c r="F9" s="4">
        <v>1.6928984733944219E-2</v>
      </c>
    </row>
    <row r="10" spans="1:6" ht="12.75" customHeight="1">
      <c r="C10" s="4"/>
      <c r="D10" s="2">
        <v>58</v>
      </c>
      <c r="E10" s="4">
        <v>8.7082444536571799</v>
      </c>
      <c r="F10" s="4">
        <v>6.6020037971981083E-3</v>
      </c>
    </row>
    <row r="11" spans="1:6" ht="12.75" customHeight="1">
      <c r="C11" s="4"/>
      <c r="D11" s="2">
        <v>59</v>
      </c>
      <c r="E11" s="4">
        <v>8.7162496283501323</v>
      </c>
      <c r="F11" s="4">
        <v>1.4607178490150474E-2</v>
      </c>
    </row>
    <row r="12" spans="1:6" ht="12.75" customHeight="1">
      <c r="A12" s="3" t="s">
        <v>8</v>
      </c>
      <c r="B12" s="2">
        <f>B3*EXP(-B5*B6)*(1-NORMSDIST(B9))-B2*(1-NORMSDIST(B8))</f>
        <v>8.7016424498599818</v>
      </c>
      <c r="C12" s="4"/>
      <c r="D12" s="2">
        <v>60</v>
      </c>
      <c r="E12" s="4">
        <v>8.7103272767589814</v>
      </c>
      <c r="F12" s="4">
        <v>8.6848268989996313E-3</v>
      </c>
    </row>
    <row r="13" spans="1:6" ht="12.75" customHeight="1">
      <c r="C13" s="4"/>
      <c r="D13" s="2">
        <v>61</v>
      </c>
      <c r="E13" s="4">
        <v>8.7139381662028033</v>
      </c>
      <c r="F13" s="4">
        <v>1.229571634282145E-2</v>
      </c>
    </row>
    <row r="14" spans="1:6">
      <c r="C14" s="4"/>
      <c r="D14" s="2">
        <v>62</v>
      </c>
      <c r="E14" s="4">
        <v>8.7120852502666466</v>
      </c>
      <c r="F14" s="4">
        <v>1.0442800406664787E-2</v>
      </c>
    </row>
    <row r="15" spans="1:6">
      <c r="C15" s="4"/>
      <c r="D15" s="2">
        <v>63</v>
      </c>
      <c r="E15" s="4">
        <v>8.7116426774823523</v>
      </c>
      <c r="F15" s="4">
        <v>1.0000227622370517E-2</v>
      </c>
    </row>
    <row r="16" spans="1:6">
      <c r="C16" s="4"/>
      <c r="D16" s="2">
        <v>64</v>
      </c>
      <c r="E16" s="4">
        <v>8.7135568521042579</v>
      </c>
      <c r="F16" s="4">
        <v>1.191440224427609E-2</v>
      </c>
    </row>
    <row r="17" spans="3:6">
      <c r="C17" s="4"/>
      <c r="D17" s="2">
        <v>65</v>
      </c>
      <c r="E17" s="4">
        <v>8.7093676039603256</v>
      </c>
      <c r="F17" s="4">
        <v>7.7251541003438007E-3</v>
      </c>
    </row>
    <row r="18" spans="3:6">
      <c r="C18" s="4"/>
      <c r="D18" s="2">
        <v>66</v>
      </c>
      <c r="E18" s="4">
        <v>8.7147753694896011</v>
      </c>
      <c r="F18" s="4">
        <v>1.3132919629619266E-2</v>
      </c>
    </row>
    <row r="19" spans="3:6">
      <c r="C19" s="4"/>
      <c r="D19" s="2">
        <v>67</v>
      </c>
      <c r="E19" s="4">
        <v>8.7071164270882502</v>
      </c>
      <c r="F19" s="4">
        <v>5.4739772282683674E-3</v>
      </c>
    </row>
    <row r="20" spans="3:6">
      <c r="C20" s="4"/>
      <c r="D20" s="2">
        <v>68</v>
      </c>
      <c r="E20" s="4">
        <v>8.7157697073707912</v>
      </c>
      <c r="F20" s="4">
        <v>1.4127257510809343E-2</v>
      </c>
    </row>
    <row r="21" spans="3:6">
      <c r="C21" s="4"/>
      <c r="D21" s="2">
        <v>69</v>
      </c>
      <c r="E21" s="4">
        <v>8.7048918494400382</v>
      </c>
      <c r="F21" s="4">
        <v>3.2493995800564335E-3</v>
      </c>
    </row>
    <row r="22" spans="3:6">
      <c r="C22" s="4"/>
      <c r="D22" s="2">
        <v>70</v>
      </c>
      <c r="E22" s="4">
        <v>8.7165650537051356</v>
      </c>
      <c r="F22" s="4">
        <v>1.4922603845153759E-2</v>
      </c>
    </row>
    <row r="23" spans="3:6">
      <c r="C23" s="4"/>
      <c r="D23" s="2">
        <v>71</v>
      </c>
      <c r="E23" s="4">
        <v>8.7026959403143191</v>
      </c>
      <c r="F23" s="4">
        <v>1.0534904543373358E-3</v>
      </c>
    </row>
    <row r="24" spans="3:6">
      <c r="C24" s="4"/>
      <c r="D24" s="2">
        <v>72</v>
      </c>
      <c r="E24" s="4">
        <v>8.7171834299198618</v>
      </c>
      <c r="F24" s="4">
        <v>1.5540980059880027E-2</v>
      </c>
    </row>
    <row r="25" spans="3:6">
      <c r="C25" s="4"/>
      <c r="D25" s="2">
        <v>73</v>
      </c>
      <c r="E25" s="4">
        <v>8.7005302531284361</v>
      </c>
      <c r="F25" s="4">
        <v>-1.1121967315457226E-3</v>
      </c>
    </row>
    <row r="26" spans="3:6">
      <c r="C26" s="4"/>
      <c r="D26" s="2">
        <v>74</v>
      </c>
      <c r="E26" s="4">
        <v>8.7176441487220764</v>
      </c>
      <c r="F26" s="4">
        <v>1.6001698862094571E-2</v>
      </c>
    </row>
    <row r="27" spans="3:6">
      <c r="C27" s="4"/>
      <c r="D27" s="2">
        <v>75</v>
      </c>
      <c r="E27" s="4">
        <v>8.69839592046565</v>
      </c>
      <c r="F27" s="4">
        <v>-3.2465293943317874E-3</v>
      </c>
    </row>
    <row r="28" spans="3:6">
      <c r="C28" s="4"/>
      <c r="D28" s="2">
        <v>76</v>
      </c>
      <c r="E28" s="4">
        <v>8.7179641966937194</v>
      </c>
      <c r="F28" s="4">
        <v>1.6321746833737549E-2</v>
      </c>
    </row>
    <row r="29" spans="3:6">
      <c r="C29" s="4"/>
      <c r="D29" s="2">
        <v>77</v>
      </c>
      <c r="E29" s="4">
        <v>8.6962937313347872</v>
      </c>
      <c r="F29" s="4">
        <v>-5.3487185251945846E-3</v>
      </c>
    </row>
    <row r="30" spans="3:6">
      <c r="C30" s="4"/>
      <c r="D30" s="2">
        <v>78</v>
      </c>
      <c r="E30" s="4">
        <v>8.7181585554958438</v>
      </c>
      <c r="F30" s="4">
        <v>1.6516105635862033E-2</v>
      </c>
    </row>
    <row r="31" spans="3:6">
      <c r="C31" s="4"/>
      <c r="D31" s="2">
        <v>79</v>
      </c>
      <c r="E31" s="4">
        <v>8.6942241941923637</v>
      </c>
      <c r="F31" s="4">
        <v>-7.4182556676181122E-3</v>
      </c>
    </row>
    <row r="32" spans="3:6">
      <c r="C32" s="4"/>
      <c r="D32" s="2">
        <v>80</v>
      </c>
      <c r="E32" s="4">
        <v>8.7182404727104661</v>
      </c>
      <c r="F32" s="4">
        <v>1.6598022850484284E-2</v>
      </c>
    </row>
    <row r="33" spans="3:8">
      <c r="C33" s="4"/>
      <c r="D33" s="2">
        <v>81</v>
      </c>
      <c r="E33" s="4">
        <v>8.6921875885196123</v>
      </c>
      <c r="F33" s="4">
        <v>-9.454861340369547E-3</v>
      </c>
    </row>
    <row r="34" spans="3:8">
      <c r="C34" s="4"/>
      <c r="D34" s="2">
        <v>82</v>
      </c>
      <c r="E34" s="4">
        <v>8.7182216911439649</v>
      </c>
      <c r="F34" s="4">
        <v>1.6579241283983137E-2</v>
      </c>
    </row>
    <row r="35" spans="3:8">
      <c r="C35" s="4"/>
      <c r="D35" s="2">
        <v>83</v>
      </c>
      <c r="E35" s="4">
        <v>8.6901840071510765</v>
      </c>
      <c r="F35" s="4">
        <v>-1.1458442708905281E-2</v>
      </c>
    </row>
    <row r="36" spans="3:8">
      <c r="C36" s="4"/>
      <c r="D36" s="2">
        <v>84</v>
      </c>
      <c r="E36" s="4">
        <v>8.7181126437348269</v>
      </c>
      <c r="F36" s="4">
        <v>1.6470193874845052E-2</v>
      </c>
    </row>
    <row r="37" spans="3:8">
      <c r="C37" s="4"/>
      <c r="D37" s="2">
        <v>85</v>
      </c>
      <c r="E37" s="4">
        <v>8.688213391108448</v>
      </c>
      <c r="F37" s="4">
        <v>-1.3429058751533773E-2</v>
      </c>
    </row>
    <row r="38" spans="3:8">
      <c r="C38" s="4"/>
      <c r="D38" s="2">
        <v>86</v>
      </c>
      <c r="E38" s="4">
        <v>8.7179226198225752</v>
      </c>
      <c r="F38" s="4">
        <v>1.6280169962593405E-2</v>
      </c>
    </row>
    <row r="39" spans="3:8">
      <c r="C39" s="4"/>
      <c r="D39" s="2">
        <v>87</v>
      </c>
      <c r="E39" s="4">
        <v>8.6862755583295286</v>
      </c>
      <c r="F39" s="4">
        <v>-1.5366891530453231E-2</v>
      </c>
      <c r="H39" s="1"/>
    </row>
    <row r="40" spans="3:8">
      <c r="C40" s="4"/>
      <c r="D40" s="2">
        <v>88</v>
      </c>
      <c r="E40" s="4">
        <v>8.7176599075022452</v>
      </c>
      <c r="F40" s="4">
        <v>1.6017457642263366E-2</v>
      </c>
    </row>
    <row r="41" spans="3:8">
      <c r="C41" s="4"/>
      <c r="D41" s="2">
        <v>89</v>
      </c>
      <c r="E41" s="4">
        <v>8.6843702274093868</v>
      </c>
      <c r="F41" s="4">
        <v>-1.7272222450595009E-2</v>
      </c>
    </row>
    <row r="42" spans="3:8">
      <c r="C42" s="4"/>
      <c r="D42" s="2">
        <v>90</v>
      </c>
      <c r="E42" s="4">
        <v>8.7173319159014167</v>
      </c>
      <c r="F42" s="4">
        <v>1.5689466041434841E-2</v>
      </c>
    </row>
    <row r="43" spans="3:8">
      <c r="C43" s="4"/>
      <c r="D43" s="2">
        <v>91</v>
      </c>
      <c r="E43" s="4">
        <v>8.6864893449646612</v>
      </c>
      <c r="F43" s="4">
        <v>-1.5153104895320624E-2</v>
      </c>
    </row>
    <row r="44" spans="3:8">
      <c r="C44" s="4"/>
      <c r="D44" s="2">
        <v>92</v>
      </c>
      <c r="E44" s="4">
        <v>8.716945280554862</v>
      </c>
      <c r="F44" s="4">
        <v>1.5302830694880143E-2</v>
      </c>
    </row>
    <row r="45" spans="3:8">
      <c r="C45" s="4"/>
      <c r="D45" s="2">
        <v>93</v>
      </c>
      <c r="E45" s="4">
        <v>8.6887888609536201</v>
      </c>
      <c r="F45" s="4">
        <v>-1.2853588906361679E-2</v>
      </c>
    </row>
    <row r="46" spans="3:8">
      <c r="C46" s="4"/>
      <c r="D46" s="2">
        <v>94</v>
      </c>
      <c r="E46" s="4">
        <v>8.7165059544855694</v>
      </c>
      <c r="F46" s="4">
        <v>1.4863504625587609E-2</v>
      </c>
    </row>
    <row r="47" spans="3:8">
      <c r="C47" s="4"/>
      <c r="D47" s="2">
        <v>95</v>
      </c>
      <c r="E47" s="4">
        <v>8.6909086579947914</v>
      </c>
      <c r="F47" s="4">
        <v>-1.0733791865190412E-2</v>
      </c>
    </row>
    <row r="48" spans="3:8">
      <c r="C48" s="4"/>
      <c r="D48" s="2">
        <v>96</v>
      </c>
      <c r="E48" s="4">
        <v>8.7160192871655617</v>
      </c>
      <c r="F48" s="4">
        <v>1.4376837305579926E-2</v>
      </c>
    </row>
    <row r="49" spans="3:6">
      <c r="C49" s="4"/>
      <c r="D49" s="2">
        <v>97</v>
      </c>
      <c r="E49" s="4">
        <v>8.6928620560196705</v>
      </c>
      <c r="F49" s="4">
        <v>-8.7803938403112625E-3</v>
      </c>
    </row>
    <row r="50" spans="3:6">
      <c r="C50" s="4"/>
      <c r="D50" s="2">
        <v>98</v>
      </c>
      <c r="E50" s="4">
        <v>8.7154900931566193</v>
      </c>
      <c r="F50" s="4">
        <v>1.3847643296637457E-2</v>
      </c>
    </row>
    <row r="51" spans="3:6">
      <c r="C51" s="4"/>
      <c r="D51" s="2">
        <v>99</v>
      </c>
      <c r="E51" s="4">
        <v>8.6946612090251936</v>
      </c>
      <c r="F51" s="4">
        <v>-6.9812408347882382E-3</v>
      </c>
    </row>
    <row r="52" spans="3:6">
      <c r="C52" s="4"/>
      <c r="D52" s="2">
        <v>100</v>
      </c>
      <c r="E52" s="4">
        <v>8.7149227119389252</v>
      </c>
      <c r="F52" s="4">
        <v>1.3280262078943394E-2</v>
      </c>
    </row>
    <row r="53" spans="3:6">
      <c r="C53" s="4"/>
      <c r="D53" s="2">
        <v>101</v>
      </c>
      <c r="E53" s="4">
        <v>8.6963172250663252</v>
      </c>
      <c r="F53" s="4">
        <v>-5.3252247936566022E-3</v>
      </c>
    </row>
    <row r="54" spans="3:6">
      <c r="C54" s="4"/>
      <c r="D54" s="2">
        <v>102</v>
      </c>
      <c r="E54" s="4">
        <v>8.7143210601964096</v>
      </c>
      <c r="F54" s="4">
        <v>1.2678610336427809E-2</v>
      </c>
    </row>
    <row r="55" spans="3:6">
      <c r="C55" s="4"/>
      <c r="D55" s="2">
        <v>103</v>
      </c>
      <c r="E55" s="4">
        <v>8.6978402720184693</v>
      </c>
      <c r="F55" s="4">
        <v>-3.8021778415124885E-3</v>
      </c>
    </row>
    <row r="56" spans="3:6">
      <c r="C56" s="4"/>
      <c r="D56" s="2">
        <v>104</v>
      </c>
      <c r="E56" s="4">
        <v>8.7136886776178262</v>
      </c>
      <c r="F56" s="4">
        <v>1.2046227757844363E-2</v>
      </c>
    </row>
    <row r="57" spans="3:6">
      <c r="C57" s="4"/>
      <c r="D57" s="2">
        <v>105</v>
      </c>
      <c r="E57" s="4">
        <v>8.6992396710262216</v>
      </c>
      <c r="F57" s="4">
        <v>-2.4027788337601663E-3</v>
      </c>
    </row>
    <row r="58" spans="3:6">
      <c r="C58" s="4"/>
      <c r="D58" s="2">
        <v>106</v>
      </c>
      <c r="E58" s="4">
        <v>8.7130287671098188</v>
      </c>
      <c r="F58" s="4">
        <v>1.1386317249836964E-2</v>
      </c>
    </row>
    <row r="59" spans="3:6">
      <c r="C59" s="4"/>
      <c r="D59" s="2">
        <v>107</v>
      </c>
      <c r="E59" s="4">
        <v>8.7005239792507165</v>
      </c>
      <c r="F59" s="4">
        <v>-1.1184706092652874E-3</v>
      </c>
    </row>
    <row r="60" spans="3:6">
      <c r="C60" s="4"/>
      <c r="D60" s="2">
        <v>108</v>
      </c>
      <c r="E60" s="4">
        <v>8.7123442301929082</v>
      </c>
      <c r="F60" s="4">
        <v>1.0701780332926347E-2</v>
      </c>
    </row>
    <row r="61" spans="3:6">
      <c r="C61" s="4"/>
      <c r="D61" s="2">
        <v>109</v>
      </c>
      <c r="E61" s="4">
        <v>8.7017010633110399</v>
      </c>
      <c r="F61" s="4">
        <v>5.8613451058064925E-5</v>
      </c>
    </row>
    <row r="62" spans="3:6">
      <c r="C62" s="4"/>
      <c r="D62" s="2">
        <v>110</v>
      </c>
      <c r="E62" s="4">
        <v>8.7116376982127957</v>
      </c>
      <c r="F62" s="4">
        <v>9.9952483528138458E-3</v>
      </c>
    </row>
    <row r="63" spans="3:6">
      <c r="C63" s="4"/>
      <c r="D63" s="2">
        <v>111</v>
      </c>
      <c r="E63" s="4">
        <v>8.7027781645933437</v>
      </c>
      <c r="F63" s="4">
        <v>1.1357147333619366E-3</v>
      </c>
    </row>
    <row r="64" spans="3:6">
      <c r="C64" s="4"/>
      <c r="D64" s="2">
        <v>112</v>
      </c>
      <c r="E64" s="4">
        <v>8.710911559929599</v>
      </c>
      <c r="F64" s="4">
        <v>9.2691100696171702E-3</v>
      </c>
    </row>
    <row r="65" spans="3:8">
      <c r="C65" s="4"/>
      <c r="D65" s="2">
        <v>113</v>
      </c>
      <c r="E65" s="4">
        <v>8.7037619574482505</v>
      </c>
      <c r="F65" s="4">
        <v>2.119507588268732E-3</v>
      </c>
    </row>
    <row r="66" spans="3:8">
      <c r="C66" s="4"/>
      <c r="D66" s="2">
        <v>114</v>
      </c>
      <c r="E66" s="4">
        <v>8.7101679859438796</v>
      </c>
      <c r="F66" s="4">
        <v>8.5255360838978334E-3</v>
      </c>
    </row>
    <row r="67" spans="3:8">
      <c r="C67" s="4"/>
      <c r="D67" s="2">
        <v>115</v>
      </c>
      <c r="E67" s="4">
        <v>8.7046586011570266</v>
      </c>
      <c r="F67" s="4">
        <v>3.0161512970448001E-3</v>
      </c>
    </row>
    <row r="68" spans="3:8">
      <c r="C68" s="4"/>
      <c r="D68" s="2">
        <v>116</v>
      </c>
      <c r="E68" s="4">
        <v>8.7094089503757353</v>
      </c>
      <c r="F68" s="4">
        <v>7.7665005157534495E-3</v>
      </c>
    </row>
    <row r="69" spans="3:8">
      <c r="C69" s="4"/>
      <c r="D69" s="2">
        <v>117</v>
      </c>
      <c r="E69" s="4">
        <v>8.7054737864144993</v>
      </c>
      <c r="F69" s="4">
        <v>3.831336554517506E-3</v>
      </c>
    </row>
    <row r="70" spans="3:8">
      <c r="C70" s="4"/>
      <c r="D70" s="2">
        <v>118</v>
      </c>
      <c r="E70" s="4">
        <v>8.7086362501309083</v>
      </c>
      <c r="F70" s="4">
        <v>6.9938002709264424E-3</v>
      </c>
    </row>
    <row r="71" spans="3:8">
      <c r="C71" s="4"/>
      <c r="D71" s="2">
        <v>119</v>
      </c>
      <c r="E71" s="4">
        <v>8.7062127769864333</v>
      </c>
      <c r="F71" s="4">
        <v>4.5703271264514456E-3</v>
      </c>
      <c r="H71" s="1"/>
    </row>
    <row r="72" spans="3:8">
      <c r="C72" s="4"/>
      <c r="D72" s="2">
        <v>120</v>
      </c>
      <c r="E72" s="4">
        <v>8.7078515220582187</v>
      </c>
      <c r="F72" s="4">
        <v>6.2090721982368535E-3</v>
      </c>
    </row>
    <row r="73" spans="3:8">
      <c r="C73" s="4"/>
      <c r="D73" s="2">
        <v>121</v>
      </c>
      <c r="E73" s="4">
        <v>8.706880447105922</v>
      </c>
      <c r="F73" s="4">
        <v>5.2379972459402069E-3</v>
      </c>
    </row>
    <row r="74" spans="3:8">
      <c r="C74" s="4"/>
      <c r="D74" s="2">
        <v>122</v>
      </c>
      <c r="E74" s="4">
        <v>8.7070562582561539</v>
      </c>
      <c r="F74" s="4">
        <v>5.4138083961721151E-3</v>
      </c>
    </row>
    <row r="75" spans="3:8">
      <c r="C75" s="4"/>
      <c r="D75" s="2">
        <v>123</v>
      </c>
      <c r="E75" s="4">
        <v>8.7074813151022674</v>
      </c>
      <c r="F75" s="4">
        <v>5.8388652422856069E-3</v>
      </c>
    </row>
    <row r="76" spans="3:8">
      <c r="C76" s="4"/>
      <c r="D76" s="2">
        <v>124</v>
      </c>
      <c r="E76" s="4">
        <v>8.706251819746532</v>
      </c>
      <c r="F76" s="4">
        <v>4.6093698865501409E-3</v>
      </c>
    </row>
    <row r="77" spans="3:8">
      <c r="C77" s="4"/>
      <c r="D77" s="2">
        <v>125</v>
      </c>
      <c r="E77" s="4">
        <v>8.7080195736935639</v>
      </c>
      <c r="F77" s="4">
        <v>6.3771238335821323E-3</v>
      </c>
    </row>
    <row r="78" spans="3:8">
      <c r="C78" s="4"/>
      <c r="D78" s="2">
        <v>126</v>
      </c>
      <c r="E78" s="4">
        <v>8.7054394487154951</v>
      </c>
      <c r="F78" s="4">
        <v>3.7969988555133227E-3</v>
      </c>
    </row>
    <row r="79" spans="3:8">
      <c r="C79" s="4"/>
      <c r="D79" s="2">
        <v>127</v>
      </c>
      <c r="E79" s="4">
        <v>8.7084991173137336</v>
      </c>
      <c r="F79" s="4">
        <v>6.8566674537517969E-3</v>
      </c>
    </row>
    <row r="80" spans="3:8">
      <c r="C80" s="4"/>
      <c r="D80" s="2">
        <v>128</v>
      </c>
      <c r="E80" s="4">
        <v>8.7046202794803662</v>
      </c>
      <c r="F80" s="4">
        <v>2.9778296203843979E-3</v>
      </c>
    </row>
    <row r="81" spans="3:6">
      <c r="C81" s="4"/>
      <c r="D81" s="2">
        <v>129</v>
      </c>
      <c r="E81" s="4">
        <v>8.7089235668037652</v>
      </c>
      <c r="F81" s="4">
        <v>7.2811169437834167E-3</v>
      </c>
    </row>
    <row r="82" spans="3:6">
      <c r="C82" s="4"/>
      <c r="D82" s="2">
        <v>130</v>
      </c>
      <c r="E82" s="4">
        <v>8.7037953483426342</v>
      </c>
      <c r="F82" s="4">
        <v>2.1528984826524322E-3</v>
      </c>
    </row>
    <row r="83" spans="3:6">
      <c r="C83" s="4"/>
      <c r="D83" s="2">
        <v>131</v>
      </c>
      <c r="E83" s="4">
        <v>8.7092962917544554</v>
      </c>
      <c r="F83" s="4">
        <v>7.6538418944736009E-3</v>
      </c>
    </row>
    <row r="84" spans="3:6">
      <c r="C84" s="4"/>
      <c r="D84" s="2">
        <v>132</v>
      </c>
      <c r="E84" s="4">
        <v>8.7029656024339754</v>
      </c>
      <c r="F84" s="4">
        <v>1.3231525739936245E-3</v>
      </c>
    </row>
    <row r="85" spans="3:6">
      <c r="C85" s="4"/>
      <c r="D85" s="2">
        <v>133</v>
      </c>
      <c r="E85" s="4">
        <v>8.7096204307564573</v>
      </c>
      <c r="F85" s="4">
        <v>7.9779808964755006E-3</v>
      </c>
    </row>
    <row r="86" spans="3:6">
      <c r="C86" s="4"/>
      <c r="D86" s="2">
        <v>134</v>
      </c>
      <c r="E86" s="4">
        <v>8.7021319076889565</v>
      </c>
      <c r="F86" s="4">
        <v>4.8945782897469314E-4</v>
      </c>
    </row>
    <row r="87" spans="3:6">
      <c r="C87" s="4"/>
      <c r="D87" s="2">
        <v>135</v>
      </c>
      <c r="E87" s="4">
        <v>8.709898909770299</v>
      </c>
      <c r="F87" s="4">
        <v>8.2564599103172043E-3</v>
      </c>
    </row>
    <row r="88" spans="3:6">
      <c r="C88" s="4"/>
      <c r="D88" s="2">
        <v>136</v>
      </c>
      <c r="E88" s="4">
        <v>8.7012950560272255</v>
      </c>
      <c r="F88" s="4">
        <v>-3.4739383275628199E-4</v>
      </c>
    </row>
    <row r="89" spans="3:6">
      <c r="C89" s="4"/>
      <c r="D89" s="2">
        <v>137</v>
      </c>
      <c r="E89" s="4">
        <v>8.7101344588251486</v>
      </c>
      <c r="F89" s="4">
        <v>8.4920089651667752E-3</v>
      </c>
    </row>
    <row r="90" spans="3:6">
      <c r="C90" s="4"/>
      <c r="D90" s="2">
        <v>138</v>
      </c>
      <c r="E90" s="4">
        <v>8.7004557718399287</v>
      </c>
      <c r="F90" s="4">
        <v>-1.1866780200531224E-3</v>
      </c>
    </row>
    <row r="91" spans="3:6">
      <c r="C91" s="4"/>
      <c r="D91" s="2">
        <v>139</v>
      </c>
      <c r="E91" s="4">
        <v>8.7103296272119071</v>
      </c>
      <c r="F91" s="4">
        <v>8.6871773519252571E-3</v>
      </c>
    </row>
    <row r="92" spans="3:6">
      <c r="C92" s="4"/>
      <c r="D92" s="2">
        <v>140</v>
      </c>
      <c r="E92" s="4">
        <v>8.6996147178457832</v>
      </c>
      <c r="F92" s="4">
        <v>-2.0277320141985911E-3</v>
      </c>
    </row>
    <row r="93" spans="3:6">
      <c r="C93" s="4"/>
      <c r="D93" s="2">
        <v>141</v>
      </c>
      <c r="E93" s="4">
        <v>8.7104867973195343</v>
      </c>
      <c r="F93" s="4">
        <v>8.8443474595525373E-3</v>
      </c>
    </row>
    <row r="94" spans="3:6">
      <c r="C94" s="4"/>
      <c r="D94" s="2">
        <v>142</v>
      </c>
      <c r="E94" s="4">
        <v>8.6987725003944405</v>
      </c>
      <c r="F94" s="4">
        <v>-2.8699494655413105E-3</v>
      </c>
    </row>
    <row r="95" spans="3:6">
      <c r="C95" s="4"/>
      <c r="D95" s="2">
        <v>143</v>
      </c>
      <c r="E95" s="4">
        <v>8.7106081972616867</v>
      </c>
      <c r="F95" s="4">
        <v>8.96574740170486E-3</v>
      </c>
    </row>
    <row r="96" spans="3:6">
      <c r="C96" s="4"/>
      <c r="D96" s="2">
        <v>144</v>
      </c>
      <c r="E96" s="4">
        <v>8.6979296742710943</v>
      </c>
      <c r="F96" s="4">
        <v>-3.7127755888874958E-3</v>
      </c>
    </row>
    <row r="97" spans="3:15">
      <c r="C97" s="4"/>
      <c r="D97" s="2">
        <v>145</v>
      </c>
      <c r="E97" s="4">
        <v>8.7106959124091503</v>
      </c>
      <c r="F97" s="4">
        <v>9.0534625491685006E-3</v>
      </c>
    </row>
    <row r="98" spans="3:15">
      <c r="C98" s="4"/>
      <c r="D98" s="2">
        <v>146</v>
      </c>
      <c r="E98" s="4">
        <v>8.6970867470495978</v>
      </c>
      <c r="F98" s="4">
        <v>-4.555702810383977E-3</v>
      </c>
    </row>
    <row r="99" spans="3:15">
      <c r="C99" s="4"/>
      <c r="D99" s="2">
        <v>147</v>
      </c>
      <c r="E99" s="4">
        <v>8.7107518959310486</v>
      </c>
      <c r="F99" s="4">
        <v>9.1094460710667846E-3</v>
      </c>
    </row>
    <row r="100" spans="3:15">
      <c r="C100" s="4"/>
      <c r="D100" s="2">
        <v>148</v>
      </c>
      <c r="E100" s="4">
        <v>8.6962441830515349</v>
      </c>
      <c r="F100" s="4">
        <v>-5.3982668084469054E-3</v>
      </c>
    </row>
    <row r="101" spans="3:15">
      <c r="C101" s="4"/>
      <c r="D101" s="2">
        <v>149</v>
      </c>
      <c r="E101" s="4">
        <v>8.7107779784427262</v>
      </c>
      <c r="F101" s="4">
        <v>9.1355285827443566E-3</v>
      </c>
      <c r="L101" s="3"/>
      <c r="O101" s="3"/>
    </row>
    <row r="102" spans="3:15">
      <c r="C102" s="4"/>
      <c r="D102" s="2">
        <v>150</v>
      </c>
      <c r="E102" s="4">
        <v>8.6954024069357931</v>
      </c>
      <c r="F102" s="4">
        <v>-6.2400429241886712E-3</v>
      </c>
      <c r="L102" s="3"/>
      <c r="O102" s="3"/>
    </row>
    <row r="103" spans="3:15">
      <c r="C103" s="4"/>
      <c r="D103" s="2">
        <v>151</v>
      </c>
      <c r="E103" s="4">
        <v>8.7107758768550401</v>
      </c>
      <c r="F103" s="4">
        <v>9.1334269950582581E-3</v>
      </c>
      <c r="L103" s="3"/>
      <c r="O103" s="3"/>
    </row>
    <row r="104" spans="3:15">
      <c r="C104" s="4"/>
      <c r="D104" s="2">
        <v>152</v>
      </c>
      <c r="E104" s="4">
        <v>8.6945618069757398</v>
      </c>
      <c r="F104" s="4">
        <v>-7.0806428842420388E-3</v>
      </c>
      <c r="L104" s="3"/>
      <c r="O104" s="3"/>
    </row>
    <row r="105" spans="3:15">
      <c r="C105" s="4"/>
      <c r="D105" s="2">
        <v>153</v>
      </c>
      <c r="E105" s="4">
        <v>8.7107472024838266</v>
      </c>
      <c r="F105" s="4">
        <v>9.1047526238448029E-3</v>
      </c>
      <c r="L105" s="3"/>
      <c r="O105" s="3"/>
    </row>
    <row r="106" spans="3:15">
      <c r="C106" s="4"/>
      <c r="D106" s="2">
        <v>154</v>
      </c>
      <c r="E106" s="4">
        <v>8.6937227380301572</v>
      </c>
      <c r="F106" s="4">
        <v>-7.9197118298246494E-3</v>
      </c>
      <c r="L106" s="3"/>
      <c r="O106" s="3"/>
    </row>
    <row r="107" spans="3:15">
      <c r="C107" s="4"/>
      <c r="D107" s="2">
        <v>155</v>
      </c>
      <c r="E107" s="4">
        <v>8.7106934685021979</v>
      </c>
      <c r="F107" s="4">
        <v>9.0510186422161354E-3</v>
      </c>
    </row>
    <row r="108" spans="3:15">
      <c r="C108" s="4"/>
      <c r="D108" s="2">
        <v>156</v>
      </c>
      <c r="E108" s="4">
        <v>8.6928855242657885</v>
      </c>
      <c r="F108" s="4">
        <v>-8.7569255941932767E-3</v>
      </c>
      <c r="O108" s="3"/>
    </row>
    <row r="109" spans="3:15">
      <c r="C109" s="4"/>
      <c r="D109" s="2">
        <v>157</v>
      </c>
      <c r="E109" s="4">
        <v>8.7106160967905737</v>
      </c>
      <c r="F109" s="4">
        <v>8.9736469305918831E-3</v>
      </c>
    </row>
    <row r="110" spans="3:15">
      <c r="C110" s="4"/>
      <c r="D110" s="2">
        <v>158</v>
      </c>
      <c r="E110" s="4">
        <v>8.6920504616311014</v>
      </c>
      <c r="F110" s="4">
        <v>-9.5919882288804104E-3</v>
      </c>
      <c r="L110" s="3"/>
    </row>
    <row r="111" spans="3:15">
      <c r="C111" s="4"/>
      <c r="D111" s="2">
        <v>159</v>
      </c>
      <c r="E111" s="4">
        <v>8.7105164242370829</v>
      </c>
      <c r="F111" s="4">
        <v>8.8739743771011348E-3</v>
      </c>
      <c r="L111" s="3"/>
    </row>
    <row r="112" spans="3:15">
      <c r="C112" s="4"/>
      <c r="D112" s="2">
        <v>160</v>
      </c>
      <c r="E112" s="4">
        <v>8.6925976977117223</v>
      </c>
      <c r="F112" s="4">
        <v>-9.044752148259505E-3</v>
      </c>
      <c r="L112" s="3"/>
    </row>
    <row r="113" spans="3:13">
      <c r="C113" s="4"/>
      <c r="D113" s="2">
        <v>161</v>
      </c>
      <c r="E113" s="4">
        <v>8.7103957085483952</v>
      </c>
      <c r="F113" s="4">
        <v>8.7532586884133678E-3</v>
      </c>
      <c r="L113" s="3"/>
    </row>
    <row r="114" spans="3:13">
      <c r="C114" s="4"/>
      <c r="D114" s="2">
        <v>162</v>
      </c>
      <c r="E114" s="4">
        <v>8.6935841255675985</v>
      </c>
      <c r="F114" s="4">
        <v>-8.0583242923832898E-3</v>
      </c>
      <c r="L114" s="3"/>
    </row>
    <row r="115" spans="3:13">
      <c r="C115" s="4"/>
      <c r="D115" s="2">
        <v>163</v>
      </c>
      <c r="E115" s="4">
        <v>8.7102551336005156</v>
      </c>
      <c r="F115" s="4">
        <v>8.6126837405338108E-3</v>
      </c>
      <c r="L115" s="3"/>
    </row>
    <row r="116" spans="3:13">
      <c r="C116" s="4"/>
      <c r="D116" s="2">
        <v>164</v>
      </c>
      <c r="E116" s="4">
        <v>8.6945199683183407</v>
      </c>
      <c r="F116" s="4">
        <v>-7.1224815416410792E-3</v>
      </c>
    </row>
    <row r="117" spans="3:13">
      <c r="C117" s="4"/>
      <c r="D117" s="2">
        <v>165</v>
      </c>
      <c r="E117" s="4">
        <v>8.7100958143745988</v>
      </c>
      <c r="F117" s="4">
        <v>8.4533645146169789E-3</v>
      </c>
      <c r="M117" s="3"/>
    </row>
    <row r="118" spans="3:13">
      <c r="C118" s="4"/>
      <c r="D118" s="2">
        <v>166</v>
      </c>
      <c r="E118" s="4">
        <v>8.6954074755751964</v>
      </c>
      <c r="F118" s="4">
        <v>-6.2349742847853662E-3</v>
      </c>
    </row>
    <row r="119" spans="3:13">
      <c r="C119" s="4"/>
      <c r="D119" s="2">
        <v>167</v>
      </c>
      <c r="E119" s="4">
        <v>8.7099188015271007</v>
      </c>
      <c r="F119" s="4">
        <v>8.2763516671189308E-3</v>
      </c>
    </row>
    <row r="120" spans="3:13">
      <c r="C120" s="4"/>
      <c r="D120" s="2">
        <v>168</v>
      </c>
      <c r="E120" s="4">
        <v>8.6962487794071315</v>
      </c>
      <c r="F120" s="4">
        <v>-5.3936704528503299E-3</v>
      </c>
    </row>
    <row r="121" spans="3:13">
      <c r="C121" s="4"/>
      <c r="D121" s="2">
        <v>169</v>
      </c>
      <c r="E121" s="4">
        <v>8.7097250856003736</v>
      </c>
      <c r="F121" s="4">
        <v>8.0826357403918081E-3</v>
      </c>
    </row>
    <row r="122" spans="3:13">
      <c r="C122" s="4"/>
      <c r="D122" s="2">
        <v>170</v>
      </c>
      <c r="E122" s="4">
        <v>8.6970459015838841</v>
      </c>
      <c r="F122" s="4">
        <v>-4.5965482760976784E-3</v>
      </c>
    </row>
    <row r="123" spans="3:13">
      <c r="C123" s="4"/>
      <c r="D123" s="2">
        <v>171</v>
      </c>
      <c r="E123" s="4">
        <v>8.7095156009296648</v>
      </c>
      <c r="F123" s="4">
        <v>7.8731510696830043E-3</v>
      </c>
    </row>
    <row r="124" spans="3:13">
      <c r="C124" s="4"/>
      <c r="D124" s="2">
        <v>172</v>
      </c>
      <c r="E124" s="4">
        <v>8.6978007603046308</v>
      </c>
      <c r="F124" s="4">
        <v>-3.8416895553510244E-3</v>
      </c>
    </row>
    <row r="125" spans="3:13">
      <c r="C125" s="4"/>
      <c r="D125" s="2">
        <v>173</v>
      </c>
      <c r="E125" s="4">
        <v>8.70929122925671</v>
      </c>
      <c r="F125" s="4">
        <v>7.6487793967281448E-3</v>
      </c>
    </row>
    <row r="126" spans="3:13">
      <c r="C126" s="4"/>
      <c r="D126" s="2">
        <v>174</v>
      </c>
      <c r="E126" s="4">
        <v>8.6985151764480015</v>
      </c>
      <c r="F126" s="4">
        <v>-3.1272734119802692E-3</v>
      </c>
    </row>
    <row r="127" spans="3:13">
      <c r="C127" s="4"/>
      <c r="D127" s="2">
        <v>175</v>
      </c>
      <c r="E127" s="4">
        <v>8.7090528030764762</v>
      </c>
      <c r="F127" s="4">
        <v>7.4103532164944141E-3</v>
      </c>
    </row>
    <row r="128" spans="3:13">
      <c r="C128" s="4"/>
      <c r="D128" s="2">
        <v>176</v>
      </c>
      <c r="E128" s="4">
        <v>8.6991908793945925</v>
      </c>
      <c r="F128" s="4">
        <v>-2.4515704653893522E-3</v>
      </c>
    </row>
    <row r="129" spans="3:6">
      <c r="C129" s="4"/>
      <c r="D129" s="2">
        <v>177</v>
      </c>
      <c r="E129" s="4">
        <v>8.708801108747064</v>
      </c>
      <c r="F129" s="4">
        <v>7.1586588870822254E-3</v>
      </c>
    </row>
    <row r="130" spans="3:6">
      <c r="C130" s="4"/>
      <c r="D130" s="2">
        <v>178</v>
      </c>
      <c r="E130" s="4">
        <v>8.6998295124294138</v>
      </c>
      <c r="F130" s="4">
        <v>-1.8129374305679846E-3</v>
      </c>
    </row>
    <row r="131" spans="3:6">
      <c r="C131" s="4"/>
      <c r="D131" s="2">
        <v>179</v>
      </c>
      <c r="E131" s="4">
        <v>8.7085368893712491</v>
      </c>
      <c r="F131" s="4">
        <v>6.8944395112673362E-3</v>
      </c>
    </row>
    <row r="132" spans="3:6">
      <c r="C132" s="4"/>
      <c r="D132" s="2">
        <v>180</v>
      </c>
      <c r="E132" s="4">
        <v>8.7004326377972365</v>
      </c>
      <c r="F132" s="4">
        <v>-1.2098120627452857E-3</v>
      </c>
    </row>
    <row r="133" spans="3:6">
      <c r="C133" s="4"/>
      <c r="D133" s="2">
        <v>181</v>
      </c>
      <c r="E133" s="4">
        <v>8.7082608474768044</v>
      </c>
      <c r="F133" s="4">
        <v>6.6183976168225911E-3</v>
      </c>
    </row>
    <row r="134" spans="3:6">
      <c r="C134" s="4"/>
      <c r="D134" s="2">
        <v>182</v>
      </c>
      <c r="E134" s="4">
        <v>8.7010017413890477</v>
      </c>
      <c r="F134" s="4">
        <v>-6.4070847093411487E-4</v>
      </c>
    </row>
    <row r="135" spans="3:6">
      <c r="C135" s="4"/>
      <c r="D135" s="2">
        <v>183</v>
      </c>
      <c r="E135" s="4">
        <v>8.7079736475031897</v>
      </c>
      <c r="F135" s="4">
        <v>6.3311976432078865E-3</v>
      </c>
    </row>
    <row r="136" spans="3:6">
      <c r="C136" s="4"/>
      <c r="D136" s="2">
        <v>184</v>
      </c>
      <c r="E136" s="4">
        <v>8.7015382371401984</v>
      </c>
      <c r="F136" s="4">
        <v>-1.0421271978344748E-4</v>
      </c>
    </row>
    <row r="137" spans="3:6">
      <c r="C137" s="4"/>
      <c r="D137" s="2">
        <v>185</v>
      </c>
      <c r="E137" s="4">
        <v>8.7076759181214154</v>
      </c>
      <c r="F137" s="4">
        <v>6.0334682614335833E-3</v>
      </c>
    </row>
    <row r="138" spans="3:6">
      <c r="C138" s="4"/>
      <c r="D138" s="2">
        <v>186</v>
      </c>
      <c r="E138" s="4">
        <v>8.7020434711177952</v>
      </c>
      <c r="F138" s="4">
        <v>4.0102125781338316E-4</v>
      </c>
    </row>
    <row r="139" spans="3:6">
      <c r="C139" s="4"/>
      <c r="D139" s="2">
        <v>187</v>
      </c>
      <c r="E139" s="4">
        <v>8.7073682543928399</v>
      </c>
      <c r="F139" s="4">
        <v>5.725804532858092E-3</v>
      </c>
    </row>
    <row r="140" spans="3:6">
      <c r="C140" s="4"/>
      <c r="D140" s="2">
        <v>188</v>
      </c>
      <c r="E140" s="4">
        <v>8.7025187253440546</v>
      </c>
      <c r="F140" s="4">
        <v>8.7627548407276379E-4</v>
      </c>
    </row>
    <row r="141" spans="3:6">
      <c r="C141" s="4"/>
      <c r="D141" s="2">
        <v>189</v>
      </c>
      <c r="E141" s="4">
        <v>8.7070512197710226</v>
      </c>
      <c r="F141" s="4">
        <v>5.4087699110407783E-3</v>
      </c>
    </row>
    <row r="142" spans="3:6">
      <c r="C142" s="4"/>
      <c r="D142" s="2">
        <v>190</v>
      </c>
      <c r="E142" s="4">
        <v>8.7029652213786228</v>
      </c>
      <c r="F142" s="4">
        <v>1.3227715186410194E-3</v>
      </c>
    </row>
    <row r="143" spans="3:6">
      <c r="C143" s="4"/>
      <c r="D143" s="2">
        <v>191</v>
      </c>
      <c r="E143" s="4">
        <v>8.7067253479807487</v>
      </c>
      <c r="F143" s="4">
        <v>5.0828981207668988E-3</v>
      </c>
    </row>
    <row r="144" spans="3:6">
      <c r="C144" s="4"/>
      <c r="D144" s="2">
        <v>192</v>
      </c>
      <c r="E144" s="4">
        <v>8.7033841236523219</v>
      </c>
      <c r="F144" s="4">
        <v>1.7416737923401371E-3</v>
      </c>
    </row>
    <row r="145" spans="3:6">
      <c r="C145" s="4"/>
      <c r="D145" s="2">
        <v>193</v>
      </c>
      <c r="E145" s="4">
        <v>8.7063911447638862</v>
      </c>
      <c r="F145" s="4">
        <v>4.7486949039043935E-3</v>
      </c>
    </row>
    <row r="146" spans="3:6">
      <c r="C146" s="4"/>
      <c r="D146" s="2">
        <v>194</v>
      </c>
      <c r="E146" s="4">
        <v>8.7037765426075584</v>
      </c>
      <c r="F146" s="4">
        <v>2.1340927475765881E-3</v>
      </c>
    </row>
    <row r="147" spans="3:6">
      <c r="C147" s="4"/>
      <c r="D147" s="2">
        <v>195</v>
      </c>
      <c r="E147" s="4">
        <v>8.7060490895111862</v>
      </c>
      <c r="F147" s="4">
        <v>4.4066396512043582E-3</v>
      </c>
    </row>
    <row r="148" spans="3:6">
      <c r="C148" s="4"/>
      <c r="D148" s="2">
        <v>196</v>
      </c>
      <c r="E148" s="4">
        <v>8.7041435376266065</v>
      </c>
      <c r="F148" s="4">
        <v>2.5010877666247211E-3</v>
      </c>
    </row>
    <row r="149" spans="3:6">
      <c r="C149" s="4"/>
      <c r="D149" s="2">
        <v>197</v>
      </c>
      <c r="E149" s="4">
        <v>8.7056996367823771</v>
      </c>
      <c r="F149" s="4">
        <v>4.0571869223953172E-3</v>
      </c>
    </row>
    <row r="150" spans="3:6">
      <c r="C150" s="4"/>
      <c r="D150" s="2">
        <v>198</v>
      </c>
      <c r="E150" s="4">
        <v>8.7044861197794408</v>
      </c>
      <c r="F150" s="4">
        <v>2.8436699194589465E-3</v>
      </c>
    </row>
    <row r="151" spans="3:6">
      <c r="C151" s="4"/>
      <c r="D151" s="2">
        <v>199</v>
      </c>
      <c r="E151" s="4">
        <v>8.7053432177337147</v>
      </c>
      <c r="F151" s="4">
        <v>3.7007678737328575E-3</v>
      </c>
    </row>
    <row r="152" spans="3:6">
      <c r="C152" s="4"/>
      <c r="D152" s="2">
        <v>200</v>
      </c>
      <c r="E152" s="4">
        <v>8.7048052544024905</v>
      </c>
      <c r="F152" s="4">
        <v>3.1628045425087237E-3</v>
      </c>
    </row>
    <row r="153" spans="3:6">
      <c r="C153" s="4"/>
      <c r="D153" s="2">
        <v>201</v>
      </c>
      <c r="E153" s="4">
        <v>8.7049802414480606</v>
      </c>
      <c r="F153" s="4">
        <v>3.3377915880787867E-3</v>
      </c>
    </row>
    <row r="154" spans="3:6">
      <c r="C154" s="4"/>
      <c r="D154" s="2">
        <v>202</v>
      </c>
      <c r="E154" s="4">
        <v>8.7051018635158712</v>
      </c>
      <c r="F154" s="4">
        <v>3.4594136558894206E-3</v>
      </c>
    </row>
    <row r="155" spans="3:6">
      <c r="C155" s="4"/>
      <c r="D155" s="2">
        <v>203</v>
      </c>
      <c r="E155" s="4">
        <v>8.704611096179022</v>
      </c>
      <c r="F155" s="4">
        <v>2.9686463190401469E-3</v>
      </c>
    </row>
    <row r="156" spans="3:6">
      <c r="C156" s="4"/>
      <c r="D156" s="2">
        <v>204</v>
      </c>
      <c r="E156" s="4">
        <v>8.7053768280968846</v>
      </c>
      <c r="F156" s="4">
        <v>3.7343782369028133E-3</v>
      </c>
    </row>
    <row r="157" spans="3:6">
      <c r="C157" s="4"/>
      <c r="D157" s="2">
        <v>205</v>
      </c>
      <c r="E157" s="4">
        <v>8.7042361505212877</v>
      </c>
      <c r="F157" s="4">
        <v>2.593700661305931E-3</v>
      </c>
    </row>
    <row r="158" spans="3:6">
      <c r="C158" s="4"/>
      <c r="D158" s="2">
        <v>206</v>
      </c>
      <c r="E158" s="4">
        <v>8.7056309902098956</v>
      </c>
      <c r="F158" s="4">
        <v>3.988540349913805E-3</v>
      </c>
    </row>
    <row r="159" spans="3:6">
      <c r="C159" s="4"/>
      <c r="D159" s="2">
        <v>207</v>
      </c>
      <c r="E159" s="4">
        <v>8.7038557545012818</v>
      </c>
      <c r="F159" s="4">
        <v>2.2133046412999846E-3</v>
      </c>
    </row>
    <row r="160" spans="3:6">
      <c r="C160" s="4"/>
      <c r="D160" s="2">
        <v>208</v>
      </c>
      <c r="E160" s="4">
        <v>8.7058651550151449</v>
      </c>
      <c r="F160" s="4">
        <v>4.2227051551630979E-3</v>
      </c>
    </row>
    <row r="161" spans="3:6">
      <c r="C161" s="4"/>
      <c r="D161" s="2">
        <v>209</v>
      </c>
      <c r="E161" s="4">
        <v>8.7034702406035933</v>
      </c>
      <c r="F161" s="4">
        <v>1.8277907436115015E-3</v>
      </c>
    </row>
    <row r="162" spans="3:6">
      <c r="C162" s="4"/>
      <c r="D162" s="2">
        <v>210</v>
      </c>
      <c r="E162" s="4">
        <v>8.7060800926540018</v>
      </c>
      <c r="F162" s="4">
        <v>4.4376427940200358E-3</v>
      </c>
    </row>
    <row r="163" spans="3:6">
      <c r="C163" s="4"/>
      <c r="D163" s="2">
        <v>211</v>
      </c>
      <c r="E163" s="4">
        <v>8.7030799247270174</v>
      </c>
      <c r="F163" s="4">
        <v>1.4374748670356041E-3</v>
      </c>
    </row>
    <row r="164" spans="3:6">
      <c r="C164" s="4"/>
      <c r="D164" s="2">
        <v>212</v>
      </c>
      <c r="E164" s="4">
        <v>8.7062765400208377</v>
      </c>
      <c r="F164" s="4">
        <v>4.6340901608559193E-3</v>
      </c>
    </row>
    <row r="165" spans="3:6">
      <c r="C165" s="4"/>
      <c r="D165" s="2">
        <v>213</v>
      </c>
      <c r="E165" s="4">
        <v>8.7026851070916571</v>
      </c>
      <c r="F165" s="4">
        <v>1.0426572316752925E-3</v>
      </c>
    </row>
    <row r="166" spans="3:6">
      <c r="C166" s="4"/>
      <c r="D166" s="2">
        <v>214</v>
      </c>
      <c r="E166" s="4">
        <v>8.706455202439809</v>
      </c>
      <c r="F166" s="4">
        <v>4.812752579827162E-3</v>
      </c>
    </row>
    <row r="167" spans="3:6">
      <c r="C167" s="4"/>
      <c r="D167" s="2">
        <v>215</v>
      </c>
      <c r="E167" s="4">
        <v>8.7022860730831866</v>
      </c>
      <c r="F167" s="4">
        <v>6.4362322320477006E-4</v>
      </c>
    </row>
    <row r="168" spans="3:6">
      <c r="C168" s="4"/>
      <c r="D168" s="2">
        <v>216</v>
      </c>
      <c r="E168" s="4">
        <v>8.7066167552349683</v>
      </c>
      <c r="F168" s="4">
        <v>4.974305374986443E-3</v>
      </c>
    </row>
    <row r="169" spans="3:6">
      <c r="C169" s="4"/>
      <c r="D169" s="2">
        <v>217</v>
      </c>
      <c r="E169" s="4">
        <v>8.701883094045975</v>
      </c>
      <c r="F169" s="4">
        <v>2.406441859932329E-4</v>
      </c>
    </row>
    <row r="170" spans="3:6">
      <c r="C170" s="4"/>
      <c r="D170" s="2">
        <v>218</v>
      </c>
      <c r="E170" s="4">
        <v>8.7067618452161675</v>
      </c>
      <c r="F170" s="4">
        <v>5.1193953561856631E-3</v>
      </c>
    </row>
    <row r="171" spans="3:6">
      <c r="C171" s="4"/>
      <c r="D171" s="2">
        <v>219</v>
      </c>
      <c r="E171" s="4">
        <v>8.7014764280378021</v>
      </c>
      <c r="F171" s="4">
        <v>-1.6602182217972938E-4</v>
      </c>
    </row>
    <row r="172" spans="3:6">
      <c r="C172" s="4"/>
      <c r="D172" s="2">
        <v>220</v>
      </c>
      <c r="E172" s="4">
        <v>8.7068910920759564</v>
      </c>
      <c r="F172" s="4">
        <v>5.2486422159745416E-3</v>
      </c>
    </row>
    <row r="173" spans="3:6">
      <c r="C173" s="4"/>
      <c r="D173" s="2">
        <v>221</v>
      </c>
      <c r="E173" s="4">
        <v>8.7010663205197609</v>
      </c>
      <c r="F173" s="4">
        <v>-5.761293402208878E-4</v>
      </c>
    </row>
    <row r="174" spans="3:6">
      <c r="C174" s="4"/>
      <c r="D174" s="2">
        <v>222</v>
      </c>
      <c r="E174" s="4">
        <v>8.7070050897140732</v>
      </c>
      <c r="F174" s="4">
        <v>5.3626398540913556E-3</v>
      </c>
    </row>
    <row r="175" spans="3:6">
      <c r="C175" s="4"/>
      <c r="D175" s="2">
        <v>223</v>
      </c>
      <c r="E175" s="4">
        <v>8.7006530050313735</v>
      </c>
      <c r="F175" s="4">
        <v>-9.8944482860829908E-4</v>
      </c>
    </row>
    <row r="176" spans="3:6">
      <c r="C176" s="4"/>
      <c r="D176" s="2">
        <v>224</v>
      </c>
      <c r="E176" s="4">
        <v>8.7071044074757964</v>
      </c>
      <c r="F176" s="4">
        <v>5.4619576158145833E-3</v>
      </c>
    </row>
    <row r="177" spans="3:6">
      <c r="C177" s="4"/>
      <c r="D177" s="2">
        <v>225</v>
      </c>
      <c r="E177" s="4">
        <v>8.7002367038033519</v>
      </c>
      <c r="F177" s="4">
        <v>-1.4057460566299085E-3</v>
      </c>
    </row>
    <row r="178" spans="3:6">
      <c r="C178" s="4"/>
      <c r="D178" s="2">
        <v>226</v>
      </c>
      <c r="E178" s="4">
        <v>8.7071895913407236</v>
      </c>
      <c r="F178" s="4">
        <v>5.5471414807417574E-3</v>
      </c>
    </row>
    <row r="179" spans="3:6">
      <c r="C179" s="4"/>
      <c r="D179" s="2">
        <v>227</v>
      </c>
      <c r="E179" s="4">
        <v>8.6998176283441158</v>
      </c>
      <c r="F179" s="4">
        <v>-1.8248215158660486E-3</v>
      </c>
    </row>
    <row r="180" spans="3:6">
      <c r="C180" s="4"/>
      <c r="D180" s="2">
        <v>228</v>
      </c>
      <c r="E180" s="4">
        <v>8.7072611650229401</v>
      </c>
      <c r="F180" s="4">
        <v>5.6187151629583099E-3</v>
      </c>
    </row>
    <row r="181" spans="3:6">
      <c r="C181" s="4"/>
      <c r="D181" s="2">
        <v>229</v>
      </c>
      <c r="E181" s="4">
        <v>8.6993959799989096</v>
      </c>
      <c r="F181" s="4">
        <v>-2.2464698610722422E-3</v>
      </c>
    </row>
    <row r="182" spans="3:6">
      <c r="C182" s="4"/>
      <c r="D182" s="2">
        <v>230</v>
      </c>
      <c r="E182" s="4">
        <v>8.7073196310254808</v>
      </c>
      <c r="F182" s="4">
        <v>5.677181165498979E-3</v>
      </c>
    </row>
    <row r="183" spans="3:6">
      <c r="C183" s="4"/>
      <c r="D183" s="2">
        <v>231</v>
      </c>
      <c r="E183" s="4">
        <v>8.698971950461118</v>
      </c>
      <c r="F183" s="4">
        <v>-2.6704993988637682E-3</v>
      </c>
    </row>
    <row r="184" spans="3:6">
      <c r="C184" s="4"/>
      <c r="D184" s="2">
        <v>232</v>
      </c>
      <c r="E184" s="4">
        <v>8.7073654716392337</v>
      </c>
      <c r="F184" s="4">
        <v>5.72302177925188E-3</v>
      </c>
    </row>
    <row r="185" spans="3:6">
      <c r="C185" s="4"/>
      <c r="D185" s="2">
        <v>233</v>
      </c>
      <c r="E185" s="4">
        <v>8.698545722266978</v>
      </c>
      <c r="F185" s="4">
        <v>-3.096727593003834E-3</v>
      </c>
    </row>
    <row r="186" spans="3:6">
      <c r="C186" s="4"/>
      <c r="D186" s="2">
        <v>234</v>
      </c>
      <c r="E186" s="4">
        <v>8.707399149878583</v>
      </c>
      <c r="F186" s="4">
        <v>5.7567000186011796E-3</v>
      </c>
    </row>
    <row r="187" spans="3:6">
      <c r="C187" s="4"/>
      <c r="D187" s="2">
        <v>235</v>
      </c>
      <c r="E187" s="4">
        <v>8.6981174692598771</v>
      </c>
      <c r="F187" s="4">
        <v>-3.5249806001047546E-3</v>
      </c>
    </row>
    <row r="188" spans="3:6">
      <c r="C188" s="4"/>
      <c r="D188" s="2">
        <v>236</v>
      </c>
      <c r="E188" s="4">
        <v>8.7074211103680401</v>
      </c>
      <c r="F188" s="4">
        <v>5.7786605080583087E-3</v>
      </c>
    </row>
    <row r="189" spans="3:6">
      <c r="C189" s="4"/>
      <c r="D189" s="2">
        <v>237</v>
      </c>
      <c r="E189" s="4">
        <v>8.6976873570253908</v>
      </c>
      <c r="F189" s="4">
        <v>-3.9550928345910563E-3</v>
      </c>
    </row>
    <row r="190" spans="3:6">
      <c r="C190" s="4"/>
      <c r="D190" s="2">
        <v>238</v>
      </c>
      <c r="E190" s="4">
        <v>8.707431780193172</v>
      </c>
      <c r="F190" s="4">
        <v>5.7893303331901791E-3</v>
      </c>
    </row>
    <row r="191" spans="3:6">
      <c r="C191" s="4"/>
      <c r="D191" s="2">
        <v>239</v>
      </c>
      <c r="E191" s="4">
        <v>8.6972555432994607</v>
      </c>
      <c r="F191" s="4">
        <v>-4.3869065605210977E-3</v>
      </c>
    </row>
    <row r="192" spans="3:6">
      <c r="C192" s="4"/>
      <c r="D192" s="2">
        <v>240</v>
      </c>
      <c r="E192" s="4">
        <v>8.7074315696946751</v>
      </c>
      <c r="F192" s="4">
        <v>5.7891198346933237E-3</v>
      </c>
    </row>
    <row r="193" spans="3:6">
      <c r="C193" s="4"/>
      <c r="D193" s="2">
        <v>241</v>
      </c>
      <c r="E193" s="4">
        <v>8.6968221783662152</v>
      </c>
      <c r="F193" s="4">
        <v>-4.8202714937666258E-3</v>
      </c>
    </row>
    <row r="194" spans="3:6">
      <c r="C194" s="4"/>
      <c r="D194" s="2">
        <v>242</v>
      </c>
      <c r="E194" s="4">
        <v>8.7074208732233593</v>
      </c>
      <c r="F194" s="4">
        <v>5.7784233633775273E-3</v>
      </c>
    </row>
    <row r="195" spans="3:6">
      <c r="C195" s="4"/>
      <c r="D195" s="2">
        <v>243</v>
      </c>
      <c r="E195" s="4">
        <v>8.6963874054157575</v>
      </c>
      <c r="F195" s="4">
        <v>-5.2550444442243105E-3</v>
      </c>
    </row>
    <row r="196" spans="3:6">
      <c r="C196" s="4"/>
      <c r="D196" s="2">
        <v>244</v>
      </c>
      <c r="E196" s="4">
        <v>8.7074000698603591</v>
      </c>
      <c r="F196" s="4">
        <v>5.7576200003772726E-3</v>
      </c>
    </row>
    <row r="197" spans="3:6">
      <c r="C197" s="4"/>
      <c r="D197" s="2">
        <v>245</v>
      </c>
      <c r="E197" s="4">
        <v>8.6959513609031376</v>
      </c>
      <c r="F197" s="4">
        <v>-5.6910889568442258E-3</v>
      </c>
    </row>
    <row r="198" spans="3:6">
      <c r="C198" s="4"/>
      <c r="D198" s="2">
        <v>246</v>
      </c>
      <c r="E198" s="4">
        <v>8.7073695240944495</v>
      </c>
      <c r="F198" s="4">
        <v>5.7270742344677217E-3</v>
      </c>
    </row>
    <row r="199" spans="3:6">
      <c r="C199" s="4"/>
      <c r="D199" s="2">
        <v>247</v>
      </c>
      <c r="E199" s="4">
        <v>8.6955141748690181</v>
      </c>
      <c r="F199" s="4">
        <v>-6.1282749909636891E-3</v>
      </c>
    </row>
    <row r="200" spans="3:6">
      <c r="C200" s="4"/>
      <c r="D200" s="2">
        <v>248</v>
      </c>
      <c r="E200" s="4">
        <v>8.7073295864729108</v>
      </c>
      <c r="F200" s="4">
        <v>5.6871366129289669E-3</v>
      </c>
    </row>
    <row r="201" spans="3:6">
      <c r="C201" s="4"/>
      <c r="D201" s="2">
        <v>249</v>
      </c>
      <c r="E201" s="4">
        <v>8.6957058460840866</v>
      </c>
      <c r="F201" s="4">
        <v>-5.9366037758952217E-3</v>
      </c>
    </row>
    <row r="202" spans="3:6">
      <c r="C202" s="4"/>
      <c r="D202" s="2">
        <v>250</v>
      </c>
      <c r="E202" s="4">
        <v>8.7072805942060842</v>
      </c>
      <c r="F202" s="4">
        <v>5.6381443461024361E-3</v>
      </c>
    </row>
    <row r="203" spans="3:6">
      <c r="C203" s="4"/>
      <c r="D203" s="2">
        <v>251</v>
      </c>
      <c r="E203" s="4">
        <v>8.6962112366291962</v>
      </c>
      <c r="F203" s="4">
        <v>-5.4312132307856587E-3</v>
      </c>
    </row>
    <row r="204" spans="3:6">
      <c r="C204" s="4"/>
      <c r="D204" s="2">
        <v>252</v>
      </c>
      <c r="E204" s="4">
        <v>8.7072228717608908</v>
      </c>
      <c r="F204" s="4">
        <v>5.5804219009090161E-3</v>
      </c>
    </row>
    <row r="205" spans="3:6">
      <c r="C205" s="4"/>
      <c r="D205" s="2">
        <v>253</v>
      </c>
      <c r="E205" s="4">
        <v>8.6966978303467641</v>
      </c>
      <c r="F205" s="4">
        <v>-4.944619513217674E-3</v>
      </c>
    </row>
    <row r="206" spans="3:6">
      <c r="C206" s="4"/>
      <c r="D206" s="2">
        <v>254</v>
      </c>
      <c r="E206" s="4">
        <v>8.7071567313987099</v>
      </c>
      <c r="F206" s="4">
        <v>5.5142815387281274E-3</v>
      </c>
    </row>
    <row r="207" spans="3:6">
      <c r="C207" s="4"/>
      <c r="D207" s="2">
        <v>255</v>
      </c>
      <c r="E207" s="4">
        <v>8.6971661828063791</v>
      </c>
      <c r="F207" s="4">
        <v>-4.4762670536027116E-3</v>
      </c>
    </row>
    <row r="208" spans="3:6">
      <c r="C208" s="4"/>
      <c r="D208" s="2">
        <v>256</v>
      </c>
      <c r="E208" s="4">
        <v>8.7070824737143209</v>
      </c>
      <c r="F208" s="4">
        <v>5.44002385433906E-3</v>
      </c>
    </row>
    <row r="209" spans="3:6">
      <c r="C209" s="4"/>
      <c r="D209" s="2">
        <v>257</v>
      </c>
      <c r="E209" s="4">
        <v>8.697616830410734</v>
      </c>
      <c r="F209" s="4">
        <v>-4.0256194492478414E-3</v>
      </c>
    </row>
    <row r="210" spans="3:6">
      <c r="C210" s="4"/>
      <c r="D210" s="2">
        <v>258</v>
      </c>
      <c r="E210" s="4">
        <v>8.707000388129428</v>
      </c>
      <c r="F210" s="4">
        <v>5.3579382694461941E-3</v>
      </c>
    </row>
    <row r="211" spans="3:6">
      <c r="C211" s="4"/>
      <c r="D211" s="2">
        <v>259</v>
      </c>
      <c r="E211" s="4">
        <v>8.6980502911780277</v>
      </c>
      <c r="F211" s="4">
        <v>-3.5921586819540607E-3</v>
      </c>
    </row>
    <row r="212" spans="3:6">
      <c r="C212" s="4"/>
      <c r="D212" s="2">
        <v>260</v>
      </c>
      <c r="E212" s="4">
        <v>8.7069107533642622</v>
      </c>
      <c r="F212" s="4">
        <v>5.2683035042804249E-3</v>
      </c>
    </row>
    <row r="213" spans="3:6">
      <c r="C213" s="4"/>
      <c r="D213" s="2">
        <v>261</v>
      </c>
      <c r="E213" s="4">
        <v>8.6984670654901599</v>
      </c>
      <c r="F213" s="4">
        <v>-3.1753843698218986E-3</v>
      </c>
    </row>
    <row r="214" spans="3:6">
      <c r="C214" s="4"/>
      <c r="D214" s="2">
        <v>262</v>
      </c>
      <c r="E214" s="4">
        <v>8.7068138378962292</v>
      </c>
      <c r="F214" s="4">
        <v>5.171388036247393E-3</v>
      </c>
    </row>
    <row r="215" spans="3:6">
      <c r="C215" s="4"/>
      <c r="D215" s="2">
        <v>263</v>
      </c>
      <c r="E215" s="4">
        <v>8.69886763679437</v>
      </c>
      <c r="F215" s="4">
        <v>-2.7748130656117809E-3</v>
      </c>
    </row>
    <row r="216" spans="3:6">
      <c r="C216" s="4"/>
      <c r="D216" s="2">
        <v>264</v>
      </c>
      <c r="E216" s="4">
        <v>8.7067099003843875</v>
      </c>
      <c r="F216" s="4">
        <v>5.0674505244057144E-3</v>
      </c>
    </row>
    <row r="217" spans="3:6">
      <c r="C217" s="4"/>
      <c r="D217" s="2">
        <v>265</v>
      </c>
      <c r="E217" s="4">
        <v>8.6992524722815752</v>
      </c>
      <c r="F217" s="4">
        <v>-2.3899775784066435E-3</v>
      </c>
    </row>
    <row r="218" spans="3:6">
      <c r="C218" s="4"/>
      <c r="D218" s="2">
        <v>266</v>
      </c>
      <c r="E218" s="4">
        <v>8.7065991900818034</v>
      </c>
      <c r="F218" s="4">
        <v>4.9567402218215761E-3</v>
      </c>
    </row>
    <row r="219" spans="3:6">
      <c r="C219" s="4"/>
      <c r="D219" s="2">
        <v>267</v>
      </c>
      <c r="E219" s="4">
        <v>8.6996220235332107</v>
      </c>
      <c r="F219" s="4">
        <v>-2.0204263267711298E-3</v>
      </c>
    </row>
    <row r="220" spans="3:6">
      <c r="C220" s="4"/>
      <c r="D220" s="2">
        <v>268</v>
      </c>
      <c r="E220" s="4">
        <v>8.706481947222823</v>
      </c>
      <c r="F220" s="4">
        <v>4.8394973628411719E-3</v>
      </c>
    </row>
    <row r="221" spans="3:6">
      <c r="C221" s="4"/>
      <c r="D221" s="2">
        <v>269</v>
      </c>
      <c r="E221" s="4">
        <v>8.6999767271279893</v>
      </c>
      <c r="F221" s="4">
        <v>-1.6657227319925028E-3</v>
      </c>
    </row>
    <row r="222" spans="3:6">
      <c r="C222" s="4"/>
      <c r="D222" s="2">
        <v>270</v>
      </c>
      <c r="E222" s="4">
        <v>8.7063584033979993</v>
      </c>
      <c r="F222" s="4">
        <v>4.7159535380174589E-3</v>
      </c>
    </row>
    <row r="223" spans="3:6">
      <c r="C223" s="4"/>
      <c r="D223" s="2">
        <v>271</v>
      </c>
      <c r="E223" s="4">
        <v>8.7003170052399632</v>
      </c>
      <c r="F223" s="4">
        <v>-1.325444620018601E-3</v>
      </c>
    </row>
    <row r="224" spans="3:6">
      <c r="C224" s="4"/>
      <c r="D224" s="2">
        <v>272</v>
      </c>
      <c r="E224" s="4">
        <v>8.7062287819047981</v>
      </c>
      <c r="F224" s="4">
        <v>4.5863320448162881E-3</v>
      </c>
    </row>
    <row r="225" spans="3:6">
      <c r="C225" s="4"/>
      <c r="D225" s="2">
        <v>273</v>
      </c>
      <c r="E225" s="4">
        <v>8.7006432661859243</v>
      </c>
      <c r="F225" s="4">
        <v>-9.9918367405749109E-4</v>
      </c>
    </row>
    <row r="226" spans="3:6">
      <c r="C226" s="4"/>
      <c r="D226" s="2">
        <v>274</v>
      </c>
      <c r="E226" s="4">
        <v>8.7060932980817807</v>
      </c>
      <c r="F226" s="4">
        <v>4.4508482217988643E-3</v>
      </c>
    </row>
    <row r="227" spans="3:6">
      <c r="C227" s="4"/>
      <c r="D227" s="2">
        <v>275</v>
      </c>
      <c r="E227" s="4">
        <v>8.7009559049653866</v>
      </c>
      <c r="F227" s="4">
        <v>-6.8654489459518686E-4</v>
      </c>
    </row>
    <row r="228" spans="3:6">
      <c r="C228" s="4"/>
      <c r="D228" s="2">
        <v>276</v>
      </c>
      <c r="E228" s="4">
        <v>8.7059521596400753</v>
      </c>
      <c r="F228" s="4">
        <v>4.3097097800934847E-3</v>
      </c>
    </row>
    <row r="229" spans="3:6">
      <c r="C229" s="4"/>
      <c r="D229" s="2">
        <v>277</v>
      </c>
      <c r="E229" s="4">
        <v>8.7012553037778133</v>
      </c>
      <c r="F229" s="4">
        <v>-3.8714608216849911E-4</v>
      </c>
    </row>
    <row r="230" spans="3:6">
      <c r="C230" s="4"/>
      <c r="D230" s="2">
        <v>278</v>
      </c>
      <c r="E230" s="4">
        <v>8.7058055669596612</v>
      </c>
      <c r="F230" s="4">
        <v>4.1631170996794253E-3</v>
      </c>
    </row>
    <row r="231" spans="3:6">
      <c r="C231" s="4"/>
      <c r="D231" s="2">
        <v>279</v>
      </c>
      <c r="E231" s="4">
        <v>8.7015418324979574</v>
      </c>
      <c r="F231" s="4">
        <v>-1.0061736202437999E-4</v>
      </c>
    </row>
    <row r="232" spans="3:6">
      <c r="C232" s="4"/>
      <c r="D232" s="2">
        <v>280</v>
      </c>
      <c r="E232" s="4">
        <v>8.705653713389724</v>
      </c>
      <c r="F232" s="4">
        <v>4.0112635297422372E-3</v>
      </c>
    </row>
    <row r="233" spans="3:6">
      <c r="C233" s="4"/>
      <c r="D233" s="2">
        <v>281</v>
      </c>
      <c r="E233" s="4">
        <v>8.7018158491511226</v>
      </c>
      <c r="F233" s="4">
        <v>1.7339929114079666E-4</v>
      </c>
    </row>
    <row r="234" spans="3:6">
      <c r="C234" s="4"/>
      <c r="D234" s="2">
        <v>282</v>
      </c>
      <c r="E234" s="4">
        <v>8.7054967855195287</v>
      </c>
      <c r="F234" s="4">
        <v>3.8543356595468481E-3</v>
      </c>
    </row>
    <row r="235" spans="3:6">
      <c r="C235" s="4"/>
      <c r="D235" s="2">
        <v>283</v>
      </c>
      <c r="E235" s="4">
        <v>8.7020777003588918</v>
      </c>
      <c r="F235" s="4">
        <v>4.3525049891002254E-4</v>
      </c>
    </row>
    <row r="236" spans="3:6">
      <c r="C236" s="4"/>
      <c r="D236" s="2">
        <v>284</v>
      </c>
      <c r="E236" s="4">
        <v>8.7053349634563393</v>
      </c>
      <c r="F236" s="4">
        <v>3.6925135963574718E-3</v>
      </c>
    </row>
    <row r="237" spans="3:6">
      <c r="C237" s="4"/>
      <c r="D237" s="2">
        <v>285</v>
      </c>
      <c r="E237" s="4">
        <v>8.7023277217599588</v>
      </c>
      <c r="F237" s="4">
        <v>6.8527189997702465E-4</v>
      </c>
    </row>
    <row r="238" spans="3:6">
      <c r="C238" s="4"/>
      <c r="D238" s="2">
        <v>286</v>
      </c>
      <c r="E238" s="4">
        <v>8.7051684210673734</v>
      </c>
      <c r="F238" s="4">
        <v>3.5259712073916205E-3</v>
      </c>
    </row>
    <row r="239" spans="3:6">
      <c r="C239" s="4"/>
      <c r="D239" s="2">
        <v>287</v>
      </c>
      <c r="E239" s="4">
        <v>8.702566238422115</v>
      </c>
      <c r="F239" s="4">
        <v>9.237885621331543E-4</v>
      </c>
    </row>
    <row r="240" spans="3:6">
      <c r="C240" s="4"/>
      <c r="D240" s="2">
        <v>288</v>
      </c>
      <c r="E240" s="4">
        <v>8.7049973262374962</v>
      </c>
      <c r="F240" s="4">
        <v>3.3548763775144153E-3</v>
      </c>
    </row>
    <row r="241" spans="3:6">
      <c r="C241" s="4"/>
      <c r="D241" s="2">
        <v>289</v>
      </c>
      <c r="E241" s="4">
        <v>8.7027935652369592</v>
      </c>
      <c r="F241" s="4">
        <v>1.1511153769774296E-3</v>
      </c>
    </row>
    <row r="242" spans="3:6">
      <c r="C242" s="4"/>
      <c r="D242" s="2">
        <v>290</v>
      </c>
      <c r="E242" s="4">
        <v>8.7048218410847849</v>
      </c>
      <c r="F242" s="4">
        <v>3.1793912248030409E-3</v>
      </c>
    </row>
    <row r="243" spans="3:6">
      <c r="C243" s="4"/>
      <c r="D243" s="2">
        <v>291</v>
      </c>
      <c r="E243" s="4">
        <v>8.7030100072828507</v>
      </c>
      <c r="F243" s="4">
        <v>1.3675574228688703E-3</v>
      </c>
    </row>
    <row r="244" spans="3:6">
      <c r="C244" s="4"/>
      <c r="D244" s="2">
        <v>292</v>
      </c>
      <c r="E244" s="4">
        <v>8.7046421221970078</v>
      </c>
      <c r="F244" s="4">
        <v>2.999672337026027E-3</v>
      </c>
    </row>
    <row r="245" spans="3:6">
      <c r="C245" s="4"/>
      <c r="D245" s="2">
        <v>293</v>
      </c>
      <c r="E245" s="4">
        <v>8.7032158601926781</v>
      </c>
      <c r="F245" s="4">
        <v>1.5734103326963123E-3</v>
      </c>
    </row>
    <row r="246" spans="3:6">
      <c r="C246" s="4"/>
      <c r="D246" s="2">
        <v>294</v>
      </c>
      <c r="E246" s="4">
        <v>8.7044583208385102</v>
      </c>
      <c r="F246" s="4">
        <v>2.8158709785284231E-3</v>
      </c>
    </row>
    <row r="247" spans="3:6">
      <c r="C247" s="4"/>
      <c r="D247" s="2">
        <v>295</v>
      </c>
      <c r="E247" s="4">
        <v>8.7034114104926577</v>
      </c>
      <c r="F247" s="4">
        <v>1.7689606326758422E-3</v>
      </c>
    </row>
    <row r="248" spans="3:6">
      <c r="C248" s="4"/>
      <c r="D248" s="2">
        <v>296</v>
      </c>
      <c r="E248" s="4">
        <v>8.7042705831517111</v>
      </c>
      <c r="F248" s="4">
        <v>2.6281332917292843E-3</v>
      </c>
    </row>
    <row r="249" spans="3:6">
      <c r="C249" s="4"/>
      <c r="D249" s="2">
        <v>297</v>
      </c>
      <c r="E249" s="4">
        <v>8.7035969359286138</v>
      </c>
      <c r="F249" s="4">
        <v>1.954486068632022E-3</v>
      </c>
    </row>
    <row r="250" spans="3:6">
      <c r="C250" s="4"/>
      <c r="D250" s="2">
        <v>298</v>
      </c>
      <c r="E250" s="4">
        <v>8.7040790503522683</v>
      </c>
      <c r="F250" s="4">
        <v>2.4366004922864448E-3</v>
      </c>
    </row>
    <row r="251" spans="3:6">
      <c r="C251" s="4"/>
      <c r="D251" s="2">
        <v>299</v>
      </c>
      <c r="E251" s="4">
        <v>8.7037727057859442</v>
      </c>
      <c r="F251" s="4">
        <v>2.1302559259623877E-3</v>
      </c>
    </row>
    <row r="252" spans="3:6">
      <c r="C252" s="4"/>
      <c r="D252" s="2">
        <v>300</v>
      </c>
      <c r="E252" s="4">
        <v>8.7038838589179921</v>
      </c>
      <c r="F252" s="4">
        <v>2.2414090580102908E-3</v>
      </c>
    </row>
    <row r="253" spans="3:6">
      <c r="C253" s="4"/>
      <c r="D253" s="2">
        <v>301</v>
      </c>
      <c r="E253" s="4">
        <v>8.7039389811886938</v>
      </c>
      <c r="F253" s="4">
        <v>2.2965313287119926E-3</v>
      </c>
    </row>
    <row r="254" spans="3:6">
      <c r="C254" s="4"/>
      <c r="D254" s="2">
        <v>302</v>
      </c>
      <c r="E254" s="4">
        <v>8.7036851407638256</v>
      </c>
      <c r="F254" s="4">
        <v>2.0426909038437913E-3</v>
      </c>
    </row>
    <row r="255" spans="3:6">
      <c r="C255" s="4"/>
      <c r="D255" s="2">
        <v>303</v>
      </c>
      <c r="E255" s="4">
        <v>8.7040960153843301</v>
      </c>
      <c r="F255" s="4">
        <v>2.4535655243482779E-3</v>
      </c>
    </row>
    <row r="256" spans="3:6">
      <c r="C256" s="4"/>
      <c r="D256" s="2">
        <v>304</v>
      </c>
      <c r="E256" s="4">
        <v>8.7034830234136411</v>
      </c>
      <c r="F256" s="4">
        <v>1.8405735536592971E-3</v>
      </c>
    </row>
    <row r="257" spans="3:6">
      <c r="C257" s="4"/>
      <c r="D257" s="2">
        <v>305</v>
      </c>
      <c r="E257" s="4">
        <v>8.7042440540302337</v>
      </c>
      <c r="F257" s="4">
        <v>2.6016041702519033E-3</v>
      </c>
    </row>
    <row r="258" spans="3:6">
      <c r="C258" s="4"/>
      <c r="D258" s="2">
        <v>306</v>
      </c>
      <c r="E258" s="4">
        <v>8.7032776301593042</v>
      </c>
      <c r="F258" s="4">
        <v>1.635180299322414E-3</v>
      </c>
    </row>
    <row r="259" spans="3:6">
      <c r="C259" s="4"/>
      <c r="D259" s="2">
        <v>307</v>
      </c>
      <c r="E259" s="4">
        <v>8.7043833354501228</v>
      </c>
      <c r="F259" s="4">
        <v>2.7408855901409623E-3</v>
      </c>
    </row>
    <row r="260" spans="3:6">
      <c r="C260" s="4"/>
      <c r="D260" s="2">
        <v>308</v>
      </c>
      <c r="E260" s="4">
        <v>8.7030690802238571</v>
      </c>
      <c r="F260" s="4">
        <v>1.4266303638752476E-3</v>
      </c>
    </row>
    <row r="261" spans="3:6">
      <c r="C261" s="4"/>
      <c r="D261" s="2">
        <v>309</v>
      </c>
      <c r="E261" s="4">
        <v>8.7045140908957261</v>
      </c>
      <c r="F261" s="4">
        <v>2.8716410357443323E-3</v>
      </c>
    </row>
    <row r="262" spans="3:6">
      <c r="C262" s="4"/>
      <c r="D262" s="2">
        <v>310</v>
      </c>
      <c r="E262" s="4">
        <v>8.7028574889067354</v>
      </c>
      <c r="F262" s="4">
        <v>1.2150390467535743E-3</v>
      </c>
    </row>
    <row r="263" spans="3:6">
      <c r="C263" s="4"/>
      <c r="D263" s="2">
        <v>311</v>
      </c>
      <c r="E263" s="4">
        <v>8.7046365447921428</v>
      </c>
      <c r="F263" s="4">
        <v>2.9940949321609622E-3</v>
      </c>
    </row>
    <row r="264" spans="3:6">
      <c r="C264" s="4"/>
      <c r="D264" s="2">
        <v>312</v>
      </c>
      <c r="E264" s="4">
        <v>8.7026429677280142</v>
      </c>
      <c r="F264" s="4">
        <v>1.0005178680323468E-3</v>
      </c>
    </row>
    <row r="265" spans="3:6">
      <c r="C265" s="4"/>
      <c r="D265" s="2">
        <v>313</v>
      </c>
      <c r="E265" s="4">
        <v>8.7047509149664464</v>
      </c>
      <c r="F265" s="4">
        <v>3.1084651064645641E-3</v>
      </c>
    </row>
    <row r="266" spans="3:6">
      <c r="C266" s="4"/>
      <c r="D266" s="2">
        <v>314</v>
      </c>
      <c r="E266" s="4">
        <v>8.7024256245638849</v>
      </c>
      <c r="F266" s="4">
        <v>7.8317470390310007E-4</v>
      </c>
    </row>
    <row r="267" spans="3:6">
      <c r="C267" s="4"/>
      <c r="D267" s="2">
        <v>315</v>
      </c>
      <c r="E267" s="4">
        <v>8.7048574128795977</v>
      </c>
      <c r="F267" s="4">
        <v>3.2149630196158796E-3</v>
      </c>
    </row>
    <row r="268" spans="3:6">
      <c r="C268" s="4"/>
      <c r="D268" s="2">
        <v>316</v>
      </c>
      <c r="E268" s="4">
        <v>8.7022055637833056</v>
      </c>
      <c r="F268" s="4">
        <v>5.6311392332375476E-4</v>
      </c>
    </row>
    <row r="269" spans="3:6">
      <c r="C269" s="4"/>
      <c r="D269" s="2">
        <v>317</v>
      </c>
      <c r="E269" s="4">
        <v>8.7049562438435064</v>
      </c>
      <c r="F269" s="4">
        <v>3.3137939835246044E-3</v>
      </c>
    </row>
    <row r="270" spans="3:6">
      <c r="C270" s="4"/>
      <c r="D270" s="2">
        <v>318</v>
      </c>
      <c r="E270" s="4">
        <v>8.7019828863722761</v>
      </c>
      <c r="F270" s="4">
        <v>3.4043651229431759E-4</v>
      </c>
    </row>
    <row r="271" spans="3:6">
      <c r="C271" s="4"/>
      <c r="D271" s="2">
        <v>319</v>
      </c>
      <c r="E271" s="4">
        <v>8.7050476072251204</v>
      </c>
      <c r="F271" s="4">
        <v>3.405157365138578E-3</v>
      </c>
    </row>
    <row r="272" spans="3:6">
      <c r="C272" s="4"/>
      <c r="D272" s="2">
        <v>320</v>
      </c>
      <c r="E272" s="4">
        <v>8.7017576900518758</v>
      </c>
      <c r="F272" s="4">
        <v>1.1524019189401713E-4</v>
      </c>
    </row>
    <row r="273" spans="3:6">
      <c r="C273" s="4"/>
      <c r="D273" s="2">
        <v>321</v>
      </c>
      <c r="E273" s="4">
        <v>8.705131696647209</v>
      </c>
      <c r="F273" s="4">
        <v>3.4892467872271737E-3</v>
      </c>
    </row>
    <row r="274" spans="3:6">
      <c r="C274" s="4"/>
      <c r="D274" s="2">
        <v>322</v>
      </c>
      <c r="E274" s="4">
        <v>8.70153006939635</v>
      </c>
      <c r="F274" s="4">
        <v>-1.1238046363182264E-4</v>
      </c>
    </row>
    <row r="275" spans="3:6">
      <c r="C275" s="4"/>
      <c r="D275" s="2">
        <v>323</v>
      </c>
      <c r="E275" s="4">
        <v>8.7052087001852847</v>
      </c>
      <c r="F275" s="4">
        <v>3.5662503253028888E-3</v>
      </c>
    </row>
    <row r="276" spans="3:6">
      <c r="C276" s="4"/>
      <c r="D276" s="2">
        <v>324</v>
      </c>
      <c r="E276" s="4">
        <v>8.7013001159473351</v>
      </c>
      <c r="F276" s="4">
        <v>-3.4233391264670843E-4</v>
      </c>
    </row>
    <row r="277" spans="3:6">
      <c r="C277" s="4"/>
      <c r="D277" s="2">
        <v>325</v>
      </c>
      <c r="E277" s="4">
        <v>8.7052788005500084</v>
      </c>
      <c r="F277" s="4">
        <v>3.6363506900265463E-3</v>
      </c>
    </row>
    <row r="278" spans="3:6">
      <c r="C278" s="4"/>
      <c r="D278" s="2">
        <v>326</v>
      </c>
      <c r="E278" s="4">
        <v>8.7010679183221118</v>
      </c>
      <c r="F278" s="4">
        <v>-5.7453153787001554E-4</v>
      </c>
    </row>
    <row r="279" spans="3:6">
      <c r="C279" s="4"/>
      <c r="D279" s="2">
        <v>327</v>
      </c>
      <c r="E279" s="4">
        <v>8.7053421752628406</v>
      </c>
      <c r="F279" s="4">
        <v>3.6997254028587889E-3</v>
      </c>
    </row>
    <row r="280" spans="3:6">
      <c r="C280" s="4"/>
      <c r="D280" s="2">
        <v>328</v>
      </c>
      <c r="E280" s="4">
        <v>8.7008335623112849</v>
      </c>
      <c r="F280" s="4">
        <v>-8.088875486969016E-4</v>
      </c>
    </row>
    <row r="281" spans="3:6">
      <c r="C281" s="4"/>
      <c r="D281" s="2">
        <v>329</v>
      </c>
      <c r="E281" s="4">
        <v>8.7053989968292917</v>
      </c>
      <c r="F281" s="4">
        <v>3.7565469693099374E-3</v>
      </c>
    </row>
    <row r="282" spans="3:6">
      <c r="C282" s="4"/>
      <c r="D282" s="2">
        <v>330</v>
      </c>
      <c r="E282" s="4">
        <v>8.7005971309764352</v>
      </c>
      <c r="F282" s="4">
        <v>-1.045318883546642E-3</v>
      </c>
    </row>
    <row r="283" spans="3:6">
      <c r="C283" s="4"/>
      <c r="D283" s="2">
        <v>331</v>
      </c>
      <c r="E283" s="4">
        <v>8.7054494329027641</v>
      </c>
      <c r="F283" s="4">
        <v>3.8069830427822637E-3</v>
      </c>
    </row>
    <row r="284" spans="3:6">
      <c r="C284" s="4"/>
      <c r="D284" s="2">
        <v>332</v>
      </c>
      <c r="E284" s="4">
        <v>8.7003587047528868</v>
      </c>
      <c r="F284" s="4">
        <v>-1.2837451070950578E-3</v>
      </c>
    </row>
    <row r="285" spans="3:6">
      <c r="C285" s="4"/>
      <c r="D285" s="2">
        <v>333</v>
      </c>
      <c r="E285" s="4">
        <v>8.7054936464459676</v>
      </c>
      <c r="F285" s="4">
        <v>3.8511965859857611E-3</v>
      </c>
    </row>
    <row r="286" spans="3:6">
      <c r="C286" s="4"/>
      <c r="D286" s="2">
        <v>334</v>
      </c>
      <c r="E286" s="4">
        <v>8.7001183615374451</v>
      </c>
      <c r="F286" s="4">
        <v>-1.5240883225366986E-3</v>
      </c>
    </row>
    <row r="287" spans="3:6">
      <c r="C287" s="4"/>
      <c r="D287" s="2">
        <v>335</v>
      </c>
      <c r="E287" s="4">
        <v>8.7055317958785832</v>
      </c>
      <c r="F287" s="4">
        <v>3.8893460186013584E-3</v>
      </c>
    </row>
    <row r="288" spans="3:6">
      <c r="C288" s="4"/>
      <c r="D288" s="2">
        <v>336</v>
      </c>
      <c r="E288" s="4">
        <v>8.6998761767701875</v>
      </c>
      <c r="F288" s="4">
        <v>-1.766273089794268E-3</v>
      </c>
    </row>
    <row r="289" spans="3:6">
      <c r="C289" s="4"/>
      <c r="D289" s="2">
        <v>337</v>
      </c>
      <c r="E289" s="4">
        <v>8.7055640352258976</v>
      </c>
      <c r="F289" s="4">
        <v>3.9215853659158029E-3</v>
      </c>
    </row>
    <row r="290" spans="3:6">
      <c r="C290" s="4"/>
      <c r="D290" s="2">
        <v>338</v>
      </c>
      <c r="E290" s="4">
        <v>8.6996322235287646</v>
      </c>
      <c r="F290" s="4">
        <v>-2.0102263312171686E-3</v>
      </c>
    </row>
    <row r="291" spans="3:6">
      <c r="C291" s="4"/>
      <c r="D291" s="2">
        <v>339</v>
      </c>
      <c r="E291" s="4">
        <v>8.7055905142574677</v>
      </c>
      <c r="F291" s="4">
        <v>3.9480643974858509E-3</v>
      </c>
    </row>
    <row r="292" spans="3:6">
      <c r="C292" s="4"/>
      <c r="D292" s="2">
        <v>340</v>
      </c>
      <c r="E292" s="4">
        <v>8.6993865725988559</v>
      </c>
      <c r="F292" s="4">
        <v>-2.2558772611258604E-3</v>
      </c>
    </row>
    <row r="293" spans="3:6">
      <c r="C293" s="4"/>
      <c r="D293" s="2">
        <v>341</v>
      </c>
      <c r="E293" s="4">
        <v>8.7056113786292819</v>
      </c>
      <c r="F293" s="4">
        <v>3.9689287693001063E-3</v>
      </c>
    </row>
    <row r="294" spans="3:6">
      <c r="C294" s="4"/>
      <c r="D294" s="2">
        <v>342</v>
      </c>
      <c r="E294" s="4">
        <v>8.6991392925650342</v>
      </c>
      <c r="F294" s="4">
        <v>-2.5031572949476555E-3</v>
      </c>
    </row>
    <row r="295" spans="3:6">
      <c r="C295" s="4"/>
      <c r="D295" s="2">
        <v>343</v>
      </c>
      <c r="E295" s="4">
        <v>8.7056267700126586</v>
      </c>
      <c r="F295" s="4">
        <v>3.9843201526768013E-3</v>
      </c>
    </row>
    <row r="296" spans="3:6">
      <c r="C296" s="4"/>
      <c r="D296" s="2">
        <v>344</v>
      </c>
      <c r="E296" s="4">
        <v>8.6988904498688431</v>
      </c>
      <c r="F296" s="4">
        <v>-2.7519999911387316E-3</v>
      </c>
    </row>
    <row r="297" spans="3:6">
      <c r="C297" s="4"/>
      <c r="D297" s="2">
        <v>345</v>
      </c>
      <c r="E297" s="4">
        <v>8.7056368262106325</v>
      </c>
      <c r="F297" s="4">
        <v>3.9943763506506968E-3</v>
      </c>
    </row>
    <row r="298" spans="3:6">
      <c r="C298" s="4"/>
      <c r="D298" s="2">
        <v>346</v>
      </c>
      <c r="E298" s="4">
        <v>8.698640108896285</v>
      </c>
      <c r="F298" s="4">
        <v>-3.0023409636967813E-3</v>
      </c>
    </row>
    <row r="299" spans="3:6">
      <c r="C299" s="4"/>
      <c r="D299" s="2">
        <v>347</v>
      </c>
      <c r="E299" s="4">
        <v>8.7056416812990545</v>
      </c>
      <c r="F299" s="4">
        <v>3.9992314390726591E-3</v>
      </c>
    </row>
    <row r="300" spans="3:6">
      <c r="C300" s="4"/>
      <c r="D300" s="2">
        <v>348</v>
      </c>
      <c r="E300" s="4">
        <v>8.6983883320372275</v>
      </c>
      <c r="F300" s="4">
        <v>-3.2541178227543099E-3</v>
      </c>
    </row>
    <row r="301" spans="3:6">
      <c r="C301" s="4"/>
      <c r="D301" s="2">
        <v>349</v>
      </c>
      <c r="E301" s="4">
        <v>8.7056414657224597</v>
      </c>
      <c r="F301" s="4">
        <v>3.9990158624778616E-3</v>
      </c>
    </row>
    <row r="302" spans="3:6">
      <c r="C302" s="4"/>
      <c r="D302" s="2">
        <v>350</v>
      </c>
      <c r="E302" s="4">
        <v>8.6981351797572053</v>
      </c>
      <c r="F302" s="4">
        <v>-3.5072701027765163E-3</v>
      </c>
    </row>
    <row r="303" spans="3:6">
      <c r="C303" s="4"/>
      <c r="D303" s="2">
        <v>351</v>
      </c>
      <c r="E303" s="4">
        <v>8.7056363064178583</v>
      </c>
      <c r="F303" s="4">
        <v>3.9938565578765406E-3</v>
      </c>
    </row>
    <row r="304" spans="3:6">
      <c r="C304" s="4"/>
      <c r="D304" s="2">
        <v>352</v>
      </c>
      <c r="E304" s="4">
        <v>8.6978807106575982</v>
      </c>
      <c r="F304" s="4">
        <v>-3.7617392023836516E-3</v>
      </c>
    </row>
    <row r="305" spans="3:6">
      <c r="C305" s="4"/>
      <c r="D305" s="2">
        <v>353</v>
      </c>
      <c r="E305" s="4">
        <v>8.7056263269324248</v>
      </c>
      <c r="F305" s="4">
        <v>3.9838770724429651E-3</v>
      </c>
    </row>
    <row r="306" spans="3:6">
      <c r="C306" s="4"/>
      <c r="D306" s="2">
        <v>354</v>
      </c>
      <c r="E306" s="4">
        <v>8.69762498154223</v>
      </c>
      <c r="F306" s="4">
        <v>-4.0174683177518489E-3</v>
      </c>
    </row>
    <row r="307" spans="3:6">
      <c r="C307" s="4"/>
      <c r="D307" s="2">
        <v>355</v>
      </c>
      <c r="E307" s="4">
        <v>8.7056116475060126</v>
      </c>
      <c r="F307" s="4">
        <v>3.9691976460307643E-3</v>
      </c>
    </row>
    <row r="308" spans="3:6">
      <c r="C308" s="4"/>
      <c r="D308" s="2">
        <v>356</v>
      </c>
      <c r="E308" s="4">
        <v>8.6973680474725317</v>
      </c>
      <c r="F308" s="4">
        <v>-4.274402387450138E-3</v>
      </c>
    </row>
    <row r="309" spans="3:6">
      <c r="C309" s="4"/>
      <c r="D309" s="2">
        <v>357</v>
      </c>
      <c r="E309" s="4">
        <v>8.7055923851911814</v>
      </c>
      <c r="F309" s="4">
        <v>3.9499353311995833E-3</v>
      </c>
    </row>
    <row r="310" spans="3:6">
      <c r="C310" s="4"/>
      <c r="D310" s="2">
        <v>358</v>
      </c>
      <c r="E310" s="4">
        <v>8.6974801304264044</v>
      </c>
      <c r="F310" s="4">
        <v>-4.1623194335773661E-3</v>
      </c>
    </row>
    <row r="311" spans="3:6">
      <c r="C311" s="4"/>
      <c r="D311" s="2">
        <v>359</v>
      </c>
      <c r="E311" s="4">
        <v>8.7055686539459689</v>
      </c>
      <c r="F311" s="4">
        <v>3.926204085987095E-3</v>
      </c>
    </row>
    <row r="312" spans="3:6">
      <c r="C312" s="4"/>
      <c r="D312" s="2">
        <v>360</v>
      </c>
      <c r="E312" s="4">
        <v>8.697771336933755</v>
      </c>
      <c r="F312" s="4">
        <v>-3.8711129262267718E-3</v>
      </c>
    </row>
    <row r="313" spans="3:6">
      <c r="C313" s="4"/>
      <c r="D313" s="2">
        <v>361</v>
      </c>
      <c r="E313" s="4">
        <v>8.7055405647225772</v>
      </c>
      <c r="F313" s="4">
        <v>3.8981148625953921E-3</v>
      </c>
    </row>
    <row r="314" spans="3:6">
      <c r="C314" s="4"/>
      <c r="D314" s="2">
        <v>362</v>
      </c>
      <c r="E314" s="4">
        <v>8.6980541610429096</v>
      </c>
      <c r="F314" s="4">
        <v>-3.5882888170721827E-3</v>
      </c>
    </row>
    <row r="315" spans="3:6">
      <c r="C315" s="4"/>
      <c r="D315" s="2">
        <v>363</v>
      </c>
      <c r="E315" s="4">
        <v>8.7055082255684209</v>
      </c>
      <c r="F315" s="4">
        <v>3.8657757084390454E-3</v>
      </c>
    </row>
    <row r="316" spans="3:6">
      <c r="C316" s="4"/>
      <c r="D316" s="2">
        <v>364</v>
      </c>
      <c r="E316" s="4">
        <v>8.6983287792124688</v>
      </c>
      <c r="F316" s="4">
        <v>-3.3136706475129785E-3</v>
      </c>
    </row>
    <row r="317" spans="3:6">
      <c r="C317" s="4"/>
      <c r="D317" s="2">
        <v>365</v>
      </c>
      <c r="E317" s="4">
        <v>8.7054717417016345</v>
      </c>
      <c r="F317" s="4">
        <v>3.8292918416527044E-3</v>
      </c>
    </row>
    <row r="318" spans="3:6">
      <c r="C318" s="4"/>
      <c r="D318" s="2">
        <v>366</v>
      </c>
      <c r="E318" s="4">
        <v>8.6985953635999476</v>
      </c>
      <c r="F318" s="4">
        <v>-3.0470862600342485E-3</v>
      </c>
    </row>
    <row r="319" spans="3:6">
      <c r="C319" s="4"/>
      <c r="D319" s="2">
        <v>367</v>
      </c>
      <c r="E319" s="4">
        <v>8.7054312156044062</v>
      </c>
      <c r="F319" s="4">
        <v>3.7887657444244383E-3</v>
      </c>
    </row>
    <row r="320" spans="3:6">
      <c r="C320" s="4"/>
      <c r="D320" s="2">
        <v>368</v>
      </c>
      <c r="E320" s="4">
        <v>8.6988540821761227</v>
      </c>
      <c r="F320" s="4">
        <v>-2.7883676838591498E-3</v>
      </c>
    </row>
    <row r="321" spans="3:6">
      <c r="C321" s="4"/>
      <c r="D321" s="2">
        <v>369</v>
      </c>
      <c r="E321" s="4">
        <v>8.7053867471061626</v>
      </c>
      <c r="F321" s="4">
        <v>3.74429724618075E-3</v>
      </c>
    </row>
    <row r="322" spans="3:6">
      <c r="C322" s="4"/>
      <c r="D322" s="2">
        <v>370</v>
      </c>
      <c r="E322" s="4">
        <v>8.6991050988438872</v>
      </c>
      <c r="F322" s="4">
        <v>-2.5373510160946466E-3</v>
      </c>
    </row>
    <row r="323" spans="3:6">
      <c r="C323" s="4"/>
      <c r="D323" s="2">
        <v>371</v>
      </c>
      <c r="E323" s="4">
        <v>8.7053384334561077</v>
      </c>
      <c r="F323" s="4">
        <v>3.6959835961258847E-3</v>
      </c>
    </row>
    <row r="324" spans="3:6">
      <c r="C324" s="4"/>
      <c r="D324" s="2">
        <v>372</v>
      </c>
      <c r="E324" s="4">
        <v>8.6993485735674749</v>
      </c>
      <c r="F324" s="4">
        <v>-2.2938762925068801E-3</v>
      </c>
    </row>
    <row r="325" spans="3:6">
      <c r="C325" s="4"/>
      <c r="D325" s="2">
        <v>373</v>
      </c>
      <c r="E325" s="4">
        <v>8.7052863694004543</v>
      </c>
      <c r="F325" s="4">
        <v>3.6439195404724956E-3</v>
      </c>
    </row>
    <row r="326" spans="3:6">
      <c r="C326" s="4"/>
      <c r="D326" s="2">
        <v>374</v>
      </c>
      <c r="E326" s="4">
        <v>8.6995846624716098</v>
      </c>
      <c r="F326" s="4">
        <v>-2.0577873883720343E-3</v>
      </c>
    </row>
    <row r="327" spans="3:6">
      <c r="C327" s="4"/>
      <c r="D327" s="2">
        <v>375</v>
      </c>
      <c r="E327" s="4">
        <v>8.7052306472635657</v>
      </c>
      <c r="F327" s="4">
        <v>3.5881974035838482E-3</v>
      </c>
    </row>
    <row r="328" spans="3:6">
      <c r="C328" s="4"/>
      <c r="D328" s="2">
        <v>376</v>
      </c>
      <c r="E328" s="4">
        <v>8.6998135179554854</v>
      </c>
      <c r="F328" s="4">
        <v>-1.8289319044964003E-3</v>
      </c>
    </row>
    <row r="329" spans="3:6">
      <c r="C329" s="4"/>
      <c r="D329" s="2">
        <v>377</v>
      </c>
      <c r="E329" s="4">
        <v>8.705171357005435</v>
      </c>
      <c r="F329" s="4">
        <v>3.5289071454531751E-3</v>
      </c>
    </row>
    <row r="330" spans="3:6">
      <c r="C330" s="4"/>
      <c r="D330" s="2">
        <v>378</v>
      </c>
      <c r="E330" s="4">
        <v>8.7000352887933712</v>
      </c>
      <c r="F330" s="4">
        <v>-1.6071610666106295E-3</v>
      </c>
    </row>
    <row r="331" spans="3:6">
      <c r="C331" s="4"/>
      <c r="D331" s="2">
        <v>379</v>
      </c>
      <c r="E331" s="4">
        <v>8.7051085863091977</v>
      </c>
      <c r="F331" s="4">
        <v>3.4661364492158953E-3</v>
      </c>
    </row>
    <row r="332" spans="3:6">
      <c r="C332" s="4"/>
      <c r="D332" s="2">
        <v>380</v>
      </c>
      <c r="E332" s="4">
        <v>8.7002501202411455</v>
      </c>
      <c r="F332" s="4">
        <v>-1.3923296188362855E-3</v>
      </c>
    </row>
    <row r="333" spans="3:6">
      <c r="C333" s="4"/>
      <c r="D333" s="2">
        <v>381</v>
      </c>
      <c r="E333" s="4">
        <v>8.7050424206269792</v>
      </c>
      <c r="F333" s="4">
        <v>3.3999707669973844E-3</v>
      </c>
    </row>
    <row r="334" spans="3:6">
      <c r="C334" s="4"/>
      <c r="D334" s="2">
        <v>382</v>
      </c>
      <c r="E334" s="4">
        <v>8.7004581541304837</v>
      </c>
      <c r="F334" s="4">
        <v>-1.1842957294980749E-3</v>
      </c>
    </row>
    <row r="335" spans="3:6">
      <c r="C335" s="4"/>
      <c r="D335" s="2">
        <v>383</v>
      </c>
      <c r="E335" s="4">
        <v>8.7049729432640834</v>
      </c>
      <c r="F335" s="4">
        <v>3.330493404101631E-3</v>
      </c>
    </row>
    <row r="336" spans="3:6">
      <c r="C336" s="4"/>
      <c r="D336" s="2">
        <v>384</v>
      </c>
      <c r="E336" s="4">
        <v>8.7006595289689788</v>
      </c>
      <c r="F336" s="4">
        <v>-9.8292089100304736E-4</v>
      </c>
    </row>
    <row r="337" spans="3:6">
      <c r="C337" s="4"/>
      <c r="D337" s="2">
        <v>385</v>
      </c>
      <c r="E337" s="4">
        <v>8.7049002354208191</v>
      </c>
      <c r="F337" s="4">
        <v>3.2577855608373341E-3</v>
      </c>
    </row>
    <row r="338" spans="3:6">
      <c r="C338" s="4"/>
      <c r="D338" s="2">
        <v>386</v>
      </c>
      <c r="E338" s="4">
        <v>8.7008543800240723</v>
      </c>
      <c r="F338" s="4">
        <v>-7.8806983590951063E-4</v>
      </c>
    </row>
    <row r="339" spans="3:6">
      <c r="C339" s="4"/>
      <c r="D339" s="2">
        <v>387</v>
      </c>
      <c r="E339" s="4">
        <v>8.704824376273864</v>
      </c>
      <c r="F339" s="4">
        <v>3.1819264138821524E-3</v>
      </c>
    </row>
    <row r="340" spans="3:6">
      <c r="C340" s="4"/>
      <c r="D340" s="2">
        <v>388</v>
      </c>
      <c r="E340" s="4">
        <v>8.701042839418184</v>
      </c>
      <c r="F340" s="4">
        <v>-5.9961044179779321E-4</v>
      </c>
    </row>
    <row r="341" spans="3:6">
      <c r="C341" s="4"/>
      <c r="D341" s="2">
        <v>389</v>
      </c>
      <c r="E341" s="4">
        <v>8.7047454430160727</v>
      </c>
      <c r="F341" s="4">
        <v>3.1029931560908608E-3</v>
      </c>
    </row>
    <row r="342" spans="3:6">
      <c r="C342" s="4"/>
      <c r="D342" s="2">
        <v>390</v>
      </c>
      <c r="E342" s="4">
        <v>8.7012250362139074</v>
      </c>
      <c r="F342" s="4">
        <v>-4.174136460743938E-4</v>
      </c>
    </row>
    <row r="343" spans="3:6">
      <c r="C343" s="4"/>
      <c r="D343" s="2">
        <v>391</v>
      </c>
      <c r="E343" s="4">
        <v>8.7046635109262116</v>
      </c>
      <c r="F343" s="4">
        <v>3.021061066229791E-3</v>
      </c>
    </row>
    <row r="344" spans="3:6">
      <c r="C344" s="4"/>
      <c r="D344" s="2">
        <v>392</v>
      </c>
      <c r="E344" s="4">
        <v>8.7014010964883575</v>
      </c>
      <c r="F344" s="4">
        <v>-2.4135337162434212E-4</v>
      </c>
    </row>
    <row r="345" spans="3:6">
      <c r="C345" s="4"/>
      <c r="D345" s="2">
        <v>393</v>
      </c>
      <c r="E345" s="4">
        <v>8.7045786534102163</v>
      </c>
      <c r="F345" s="4">
        <v>2.9362035502344952E-3</v>
      </c>
    </row>
    <row r="346" spans="3:6">
      <c r="C346" s="4"/>
      <c r="D346" s="2">
        <v>394</v>
      </c>
      <c r="E346" s="4">
        <v>8.7015711434349896</v>
      </c>
      <c r="F346" s="4">
        <v>-7.13064249922013E-5</v>
      </c>
    </row>
    <row r="347" spans="3:6">
      <c r="C347" s="4"/>
      <c r="D347" s="2">
        <v>395</v>
      </c>
      <c r="E347" s="4">
        <v>8.704490942068956</v>
      </c>
      <c r="F347" s="4">
        <v>2.8484922089742071E-3</v>
      </c>
    </row>
    <row r="348" spans="3:6">
      <c r="C348" s="4"/>
      <c r="D348" s="2">
        <v>396</v>
      </c>
      <c r="E348" s="4">
        <v>8.7017352974151745</v>
      </c>
      <c r="F348" s="4">
        <v>9.2847555192676623E-5</v>
      </c>
    </row>
    <row r="349" spans="3:6">
      <c r="C349" s="4"/>
      <c r="D349" s="2">
        <v>397</v>
      </c>
      <c r="E349" s="4">
        <v>8.7044004467350149</v>
      </c>
      <c r="F349" s="4">
        <v>2.7579968750330863E-3</v>
      </c>
    </row>
    <row r="350" spans="3:6">
      <c r="C350" s="4"/>
      <c r="D350" s="2">
        <v>398</v>
      </c>
      <c r="E350" s="4">
        <v>8.70189367605572</v>
      </c>
      <c r="F350" s="4">
        <v>2.512261957381412E-4</v>
      </c>
    </row>
    <row r="351" spans="3:6">
      <c r="C351" s="4"/>
      <c r="D351" s="2">
        <v>399</v>
      </c>
      <c r="E351" s="4">
        <v>8.7043072355355022</v>
      </c>
      <c r="F351" s="4">
        <v>2.6647856755204202E-3</v>
      </c>
    </row>
    <row r="352" spans="3:6">
      <c r="C352" s="4"/>
      <c r="D352" s="2">
        <v>400</v>
      </c>
      <c r="E352" s="4">
        <v>8.7020463943117221</v>
      </c>
      <c r="F352" s="4">
        <v>4.0394445174030125E-4</v>
      </c>
    </row>
    <row r="353" spans="3:6">
      <c r="C353" s="4"/>
      <c r="D353" s="2">
        <v>401</v>
      </c>
      <c r="E353" s="4">
        <v>8.704211374924121</v>
      </c>
      <c r="F353" s="4">
        <v>2.5689250641391936E-3</v>
      </c>
    </row>
    <row r="354" spans="3:6">
      <c r="C354" s="4"/>
      <c r="D354" s="2">
        <v>402</v>
      </c>
      <c r="E354" s="4">
        <v>8.7021935645380815</v>
      </c>
      <c r="F354" s="4">
        <v>5.511146780996512E-4</v>
      </c>
    </row>
    <row r="355" spans="3:6">
      <c r="C355" s="4"/>
      <c r="D355" s="2">
        <v>403</v>
      </c>
      <c r="E355" s="4">
        <v>8.7041129297398179</v>
      </c>
      <c r="F355" s="4">
        <v>2.4704798798360628E-3</v>
      </c>
    </row>
    <row r="356" spans="3:6">
      <c r="C356" s="4"/>
      <c r="D356" s="2">
        <v>404</v>
      </c>
      <c r="E356" s="4">
        <v>8.7023352965570133</v>
      </c>
      <c r="F356" s="4">
        <v>6.928466970315128E-4</v>
      </c>
    </row>
    <row r="357" spans="3:6">
      <c r="C357" s="4"/>
      <c r="D357" s="2">
        <v>405</v>
      </c>
      <c r="E357" s="4">
        <v>8.7040119632508492</v>
      </c>
      <c r="F357" s="4">
        <v>2.3695133908674393E-3</v>
      </c>
    </row>
    <row r="358" spans="3:6">
      <c r="C358" s="4"/>
      <c r="D358" s="2">
        <v>406</v>
      </c>
      <c r="E358" s="4">
        <v>8.7024716977379377</v>
      </c>
      <c r="F358" s="4">
        <v>8.292478779559076E-4</v>
      </c>
    </row>
    <row r="359" spans="3:6">
      <c r="C359" s="4"/>
      <c r="D359" s="2">
        <v>407</v>
      </c>
      <c r="E359" s="4">
        <v>8.7039085371894327</v>
      </c>
      <c r="F359" s="4">
        <v>2.2660873294508832E-3</v>
      </c>
    </row>
    <row r="360" spans="3:6">
      <c r="C360" s="4"/>
      <c r="D360" s="2">
        <v>408</v>
      </c>
      <c r="E360" s="4">
        <v>8.7026028730378773</v>
      </c>
      <c r="F360" s="4">
        <v>9.6042317789546416E-4</v>
      </c>
    </row>
    <row r="361" spans="3:6">
      <c r="C361" s="4"/>
      <c r="D361" s="2">
        <v>409</v>
      </c>
      <c r="E361" s="4">
        <v>8.7038027117984971</v>
      </c>
      <c r="F361" s="4">
        <v>2.1602619385152622E-3</v>
      </c>
    </row>
    <row r="362" spans="3:6">
      <c r="C362" s="4"/>
      <c r="D362" s="2">
        <v>410</v>
      </c>
      <c r="E362" s="4">
        <v>8.7027289250912041</v>
      </c>
      <c r="F362" s="4">
        <v>1.0864752312222947E-3</v>
      </c>
    </row>
    <row r="363" spans="3:6">
      <c r="C363" s="4"/>
      <c r="D363" s="2">
        <v>411</v>
      </c>
      <c r="E363" s="4">
        <v>8.7036945458794239</v>
      </c>
      <c r="F363" s="4">
        <v>2.0520960194421178E-3</v>
      </c>
    </row>
    <row r="364" spans="3:6">
      <c r="C364" s="4"/>
      <c r="D364" s="2">
        <v>412</v>
      </c>
      <c r="E364" s="4">
        <v>8.7028499542483377</v>
      </c>
      <c r="F364" s="4">
        <v>1.2075043883559289E-3</v>
      </c>
    </row>
    <row r="365" spans="3:6">
      <c r="C365" s="4"/>
      <c r="D365" s="2">
        <v>413</v>
      </c>
      <c r="E365" s="4">
        <v>8.7035840968175062</v>
      </c>
      <c r="F365" s="4">
        <v>1.9416469575244122E-3</v>
      </c>
    </row>
    <row r="366" spans="3:6">
      <c r="C366" s="4"/>
      <c r="D366" s="2">
        <v>414</v>
      </c>
      <c r="E366" s="4">
        <v>8.7029660586510396</v>
      </c>
      <c r="F366" s="4">
        <v>1.323608791057751E-3</v>
      </c>
    </row>
    <row r="367" spans="3:6">
      <c r="C367" s="4"/>
      <c r="D367" s="2">
        <v>415</v>
      </c>
      <c r="E367" s="4">
        <v>8.7034714206309314</v>
      </c>
      <c r="F367" s="4">
        <v>1.8289707709495673E-3</v>
      </c>
    </row>
    <row r="368" spans="3:6">
      <c r="C368" s="4"/>
      <c r="D368" s="2">
        <v>416</v>
      </c>
      <c r="E368" s="4">
        <v>8.7030773342754735</v>
      </c>
      <c r="F368" s="4">
        <v>1.4348844154916662E-3</v>
      </c>
    </row>
    <row r="369" spans="3:6">
      <c r="C369" s="4"/>
      <c r="D369" s="2">
        <v>417</v>
      </c>
      <c r="E369" s="4">
        <v>8.7033565720058803</v>
      </c>
      <c r="F369" s="4">
        <v>1.7141221458985001E-3</v>
      </c>
    </row>
    <row r="370" spans="3:6">
      <c r="C370" s="4"/>
      <c r="D370" s="2">
        <v>418</v>
      </c>
      <c r="E370" s="4">
        <v>8.7031838750026651</v>
      </c>
      <c r="F370" s="4">
        <v>1.5414251426832948E-3</v>
      </c>
    </row>
    <row r="371" spans="3:6">
      <c r="C371" s="4"/>
      <c r="D371" s="2">
        <v>419</v>
      </c>
      <c r="E371" s="4">
        <v>8.7032396043258426</v>
      </c>
      <c r="F371" s="4">
        <v>1.5971544658608394E-3</v>
      </c>
    </row>
    <row r="372" spans="3:6">
      <c r="C372" s="4"/>
      <c r="D372" s="2">
        <v>420</v>
      </c>
      <c r="E372" s="4">
        <v>8.7032857726561073</v>
      </c>
      <c r="F372" s="4">
        <v>1.643322796125446E-3</v>
      </c>
    </row>
    <row r="373" spans="3:6">
      <c r="C373" s="4"/>
      <c r="D373" s="2">
        <v>421</v>
      </c>
      <c r="E373" s="4">
        <v>8.7031205697137324</v>
      </c>
      <c r="F373" s="4">
        <v>1.4781198537505702E-3</v>
      </c>
    </row>
    <row r="374" spans="3:6">
      <c r="C374" s="4"/>
      <c r="D374" s="2">
        <v>422</v>
      </c>
      <c r="E374" s="4">
        <v>8.7033831170694977</v>
      </c>
      <c r="F374" s="4">
        <v>1.7406672095159337E-3</v>
      </c>
    </row>
    <row r="375" spans="3:6">
      <c r="C375" s="4"/>
      <c r="D375" s="2">
        <v>423</v>
      </c>
      <c r="E375" s="4">
        <v>8.7029995190629794</v>
      </c>
      <c r="F375" s="4">
        <v>1.3570692029976072E-3</v>
      </c>
    </row>
    <row r="376" spans="3:6">
      <c r="C376" s="4"/>
      <c r="D376" s="2">
        <v>424</v>
      </c>
      <c r="E376" s="4">
        <v>8.7034759961269774</v>
      </c>
      <c r="F376" s="4">
        <v>1.8335462669956115E-3</v>
      </c>
    </row>
    <row r="377" spans="3:6">
      <c r="C377" s="4"/>
      <c r="D377" s="2">
        <v>425</v>
      </c>
      <c r="E377" s="4">
        <v>8.7028765020703815</v>
      </c>
      <c r="F377" s="4">
        <v>1.2340522103997387E-3</v>
      </c>
    </row>
    <row r="378" spans="3:6">
      <c r="C378" s="4"/>
      <c r="D378" s="2">
        <v>426</v>
      </c>
      <c r="E378" s="4">
        <v>8.7035644958166021</v>
      </c>
      <c r="F378" s="4">
        <v>1.9220459566202663E-3</v>
      </c>
    </row>
    <row r="379" spans="3:6">
      <c r="C379" s="4"/>
      <c r="D379" s="2">
        <v>427</v>
      </c>
      <c r="E379" s="4">
        <v>8.7027515672700577</v>
      </c>
      <c r="F379" s="4">
        <v>1.1091174100759105E-3</v>
      </c>
    </row>
    <row r="380" spans="3:6">
      <c r="C380" s="4"/>
      <c r="D380" s="2">
        <v>428</v>
      </c>
      <c r="E380" s="4">
        <v>8.7036487002802954</v>
      </c>
      <c r="F380" s="4">
        <v>2.0062504203135489E-3</v>
      </c>
    </row>
    <row r="381" spans="3:6">
      <c r="C381" s="4"/>
      <c r="D381" s="2">
        <v>429</v>
      </c>
      <c r="E381" s="4">
        <v>8.7026247620535564</v>
      </c>
      <c r="F381" s="4">
        <v>9.8231219357458599E-4</v>
      </c>
    </row>
    <row r="382" spans="3:6">
      <c r="C382" s="4"/>
      <c r="D382" s="2">
        <v>430</v>
      </c>
      <c r="E382" s="4">
        <v>8.703728691849415</v>
      </c>
      <c r="F382" s="4">
        <v>2.0862419894331907E-3</v>
      </c>
    </row>
    <row r="383" spans="3:6">
      <c r="C383" s="4"/>
      <c r="D383" s="2">
        <v>431</v>
      </c>
      <c r="E383" s="4">
        <v>8.7024961327153196</v>
      </c>
      <c r="F383" s="4">
        <v>8.5368285533782284E-4</v>
      </c>
    </row>
    <row r="384" spans="3:6">
      <c r="C384" s="4"/>
      <c r="D384" s="2">
        <v>432</v>
      </c>
      <c r="E384" s="4">
        <v>8.7038045511061206</v>
      </c>
      <c r="F384" s="4">
        <v>2.1621012461388034E-3</v>
      </c>
    </row>
    <row r="385" spans="3:6">
      <c r="C385" s="4"/>
      <c r="D385" s="2">
        <v>433</v>
      </c>
      <c r="E385" s="4">
        <v>8.7023657244738999</v>
      </c>
      <c r="F385" s="4">
        <v>7.2327461391807901E-4</v>
      </c>
    </row>
    <row r="386" spans="3:6">
      <c r="C386" s="4"/>
      <c r="D386" s="2">
        <v>434</v>
      </c>
      <c r="E386" s="4">
        <v>8.7038763569162452</v>
      </c>
      <c r="F386" s="4">
        <v>2.2339070562633623E-3</v>
      </c>
    </row>
    <row r="387" spans="3:6">
      <c r="C387" s="4"/>
      <c r="D387" s="2">
        <v>435</v>
      </c>
      <c r="E387" s="4">
        <v>8.7022335814950313</v>
      </c>
      <c r="F387" s="4">
        <v>5.9113163504953548E-4</v>
      </c>
    </row>
    <row r="388" spans="3:6">
      <c r="C388" s="4"/>
      <c r="D388" s="2">
        <v>436</v>
      </c>
      <c r="E388" s="4">
        <v>8.7039441864734926</v>
      </c>
      <c r="F388" s="4">
        <v>2.3017366135107409E-3</v>
      </c>
    </row>
    <row r="389" spans="3:6">
      <c r="C389" s="4"/>
      <c r="D389" s="2">
        <v>437</v>
      </c>
      <c r="E389" s="4">
        <v>8.7020997469256631</v>
      </c>
      <c r="F389" s="4">
        <v>4.5729706568131689E-4</v>
      </c>
    </row>
    <row r="390" spans="3:6">
      <c r="C390" s="4"/>
      <c r="D390" s="2">
        <v>438</v>
      </c>
      <c r="E390" s="4">
        <v>8.7040081153378814</v>
      </c>
      <c r="F390" s="4">
        <v>2.3656654778996256E-3</v>
      </c>
    </row>
    <row r="391" spans="3:6">
      <c r="C391" s="4"/>
      <c r="D391" s="2">
        <v>439</v>
      </c>
      <c r="E391" s="4">
        <v>8.7019642629210061</v>
      </c>
      <c r="F391" s="4">
        <v>3.2181306102430085E-4</v>
      </c>
    </row>
    <row r="392" spans="3:6">
      <c r="C392" s="4"/>
      <c r="D392" s="2">
        <v>440</v>
      </c>
      <c r="E392" s="4">
        <v>8.7040682174893949</v>
      </c>
      <c r="F392" s="4">
        <v>2.4257676294130448E-3</v>
      </c>
    </row>
    <row r="393" spans="3:6">
      <c r="C393" s="4"/>
      <c r="D393" s="2">
        <v>441</v>
      </c>
      <c r="E393" s="4">
        <v>8.7018271706664656</v>
      </c>
      <c r="F393" s="4">
        <v>1.8472080648379574E-4</v>
      </c>
    </row>
    <row r="394" spans="3:6">
      <c r="C394" s="4"/>
      <c r="D394" s="2">
        <v>442</v>
      </c>
      <c r="E394" s="4">
        <v>8.7041245653450368</v>
      </c>
      <c r="F394" s="4">
        <v>2.4821154850549476E-3</v>
      </c>
    </row>
    <row r="395" spans="3:6">
      <c r="C395" s="4"/>
      <c r="D395" s="2">
        <v>443</v>
      </c>
      <c r="E395" s="4">
        <v>8.7016885104014499</v>
      </c>
      <c r="F395" s="4">
        <v>4.6060541468051497E-5</v>
      </c>
    </row>
    <row r="396" spans="3:6">
      <c r="C396" s="4"/>
      <c r="D396" s="2">
        <v>444</v>
      </c>
      <c r="E396" s="4">
        <v>8.7041772298205409</v>
      </c>
      <c r="F396" s="4">
        <v>2.5347799605590637E-3</v>
      </c>
    </row>
    <row r="397" spans="3:6">
      <c r="C397" s="4"/>
      <c r="D397" s="2">
        <v>445</v>
      </c>
      <c r="E397" s="4">
        <v>8.7015483214466691</v>
      </c>
      <c r="F397" s="4">
        <v>-9.4128413312688508E-5</v>
      </c>
    </row>
    <row r="398" spans="3:6">
      <c r="C398" s="4"/>
      <c r="D398" s="2">
        <v>446</v>
      </c>
      <c r="E398" s="4">
        <v>8.7042262803439705</v>
      </c>
      <c r="F398" s="4">
        <v>2.5838304839886916E-3</v>
      </c>
    </row>
    <row r="399" spans="3:6">
      <c r="C399" s="4"/>
      <c r="D399" s="2">
        <v>447</v>
      </c>
      <c r="E399" s="4">
        <v>8.7014066422298963</v>
      </c>
      <c r="F399" s="4">
        <v>-2.3580763008546057E-4</v>
      </c>
    </row>
    <row r="400" spans="3:6">
      <c r="C400" s="4"/>
      <c r="D400" s="2">
        <v>448</v>
      </c>
      <c r="E400" s="4">
        <v>8.7042717849088405</v>
      </c>
      <c r="F400" s="4">
        <v>2.6293350488586498E-3</v>
      </c>
    </row>
    <row r="401" spans="3:6">
      <c r="C401" s="4"/>
      <c r="D401" s="2">
        <v>449</v>
      </c>
      <c r="E401" s="4">
        <v>8.7012635103032672</v>
      </c>
      <c r="F401" s="4">
        <v>-3.7893955671464141E-4</v>
      </c>
    </row>
    <row r="402" spans="3:6">
      <c r="C402" s="4"/>
      <c r="D402" s="2">
        <v>450</v>
      </c>
      <c r="E402" s="4">
        <v>8.7043138101077506</v>
      </c>
      <c r="F402" s="4">
        <v>2.671360247768817E-3</v>
      </c>
    </row>
    <row r="403" spans="3:6">
      <c r="C403" s="4"/>
      <c r="D403" s="2">
        <v>451</v>
      </c>
      <c r="E403" s="4">
        <v>8.7011189623678238</v>
      </c>
      <c r="F403" s="4">
        <v>-5.234874921580257E-4</v>
      </c>
    </row>
    <row r="404" spans="3:6">
      <c r="C404" s="4"/>
      <c r="D404" s="2">
        <v>452</v>
      </c>
      <c r="E404" s="4">
        <v>8.7043524211465702</v>
      </c>
      <c r="F404" s="4">
        <v>2.7099712865883419E-3</v>
      </c>
    </row>
    <row r="405" spans="3:6">
      <c r="C405" s="4"/>
      <c r="D405" s="2">
        <v>453</v>
      </c>
      <c r="E405" s="4">
        <v>8.700973034288463</v>
      </c>
      <c r="F405" s="4">
        <v>-6.6941557151878328E-4</v>
      </c>
    </row>
    <row r="406" spans="3:6">
      <c r="C406" s="4"/>
      <c r="D406" s="2">
        <v>454</v>
      </c>
      <c r="E406" s="4">
        <v>8.7043876819090542</v>
      </c>
      <c r="F406" s="4">
        <v>2.7452320490723991E-3</v>
      </c>
    </row>
    <row r="407" spans="3:6">
      <c r="C407" s="4"/>
      <c r="D407" s="2">
        <v>455</v>
      </c>
      <c r="E407" s="4">
        <v>8.7008257611351247</v>
      </c>
      <c r="F407" s="4">
        <v>-8.1668872485707311E-4</v>
      </c>
    </row>
    <row r="408" spans="3:6">
      <c r="C408" s="4"/>
      <c r="D408" s="2">
        <v>456</v>
      </c>
      <c r="E408" s="4">
        <v>8.7044196549593362</v>
      </c>
      <c r="F408" s="4">
        <v>2.7772050993544184E-3</v>
      </c>
    </row>
    <row r="409" spans="3:6">
      <c r="C409" s="4"/>
      <c r="D409" s="2">
        <v>457</v>
      </c>
      <c r="E409" s="4">
        <v>8.7006771771757272</v>
      </c>
      <c r="F409" s="4">
        <v>-9.6527268425461443E-4</v>
      </c>
    </row>
    <row r="410" spans="3:6">
      <c r="C410" s="4"/>
      <c r="D410" s="2">
        <v>458</v>
      </c>
      <c r="E410" s="4">
        <v>8.704448401590053</v>
      </c>
      <c r="F410" s="4">
        <v>2.8059517300711434E-3</v>
      </c>
    </row>
    <row r="411" spans="3:6">
      <c r="C411" s="4"/>
      <c r="D411" s="2">
        <v>459</v>
      </c>
      <c r="E411" s="4">
        <v>8.7005273159143002</v>
      </c>
      <c r="F411" s="4">
        <v>-1.1151339456816345E-3</v>
      </c>
    </row>
    <row r="412" spans="3:6">
      <c r="C412" s="4"/>
      <c r="D412" s="2">
        <v>460</v>
      </c>
      <c r="E412" s="4">
        <v>8.7044739818469843</v>
      </c>
      <c r="F412" s="4">
        <v>2.831531987002478E-3</v>
      </c>
    </row>
    <row r="413" spans="3:6">
      <c r="C413" s="4"/>
      <c r="D413" s="2">
        <v>461</v>
      </c>
      <c r="E413" s="4">
        <v>8.7003762101068709</v>
      </c>
      <c r="F413" s="4">
        <v>-1.2662397531109093E-3</v>
      </c>
    </row>
    <row r="414" spans="3:6">
      <c r="C414" s="4"/>
      <c r="D414" s="2">
        <v>462</v>
      </c>
      <c r="E414" s="4">
        <v>8.7044964545633192</v>
      </c>
      <c r="F414" s="4">
        <v>2.8540047033374094E-3</v>
      </c>
    </row>
    <row r="415" spans="3:6">
      <c r="C415" s="4"/>
      <c r="D415" s="2">
        <v>463</v>
      </c>
      <c r="E415" s="4">
        <v>8.7002238917736943</v>
      </c>
      <c r="F415" s="4">
        <v>-1.4185580862875469E-3</v>
      </c>
    </row>
    <row r="416" spans="3:6">
      <c r="C416" s="4"/>
      <c r="D416" s="2">
        <v>464</v>
      </c>
      <c r="E416" s="4">
        <v>8.7045158773747975</v>
      </c>
      <c r="F416" s="4">
        <v>2.873427514815674E-3</v>
      </c>
    </row>
    <row r="417" spans="3:6">
      <c r="C417" s="4"/>
      <c r="D417" s="2">
        <v>465</v>
      </c>
      <c r="E417" s="4">
        <v>8.7000703922275076</v>
      </c>
      <c r="F417" s="4">
        <v>-1.5720576324742552E-3</v>
      </c>
    </row>
    <row r="418" spans="3:6">
      <c r="C418" s="4"/>
      <c r="D418" s="2">
        <v>466</v>
      </c>
      <c r="E418" s="4">
        <v>8.7045323067670317</v>
      </c>
      <c r="F418" s="4">
        <v>2.8898569070499036E-3</v>
      </c>
    </row>
    <row r="419" spans="3:6">
      <c r="C419" s="4"/>
      <c r="D419" s="2">
        <v>467</v>
      </c>
      <c r="E419" s="4">
        <v>8.6999157420787867</v>
      </c>
      <c r="F419" s="4">
        <v>-1.7267077811951026E-3</v>
      </c>
    </row>
    <row r="420" spans="3:6">
      <c r="C420" s="4"/>
      <c r="D420" s="2">
        <v>468</v>
      </c>
      <c r="E420" s="4">
        <v>8.704545798085638</v>
      </c>
      <c r="F420" s="4">
        <v>2.9033482256561882E-3</v>
      </c>
    </row>
    <row r="421" spans="3:6">
      <c r="C421" s="4"/>
      <c r="D421" s="2">
        <v>469</v>
      </c>
      <c r="E421" s="4">
        <v>8.6997599712610327</v>
      </c>
      <c r="F421" s="4">
        <v>-1.8824785989490778E-3</v>
      </c>
    </row>
    <row r="422" spans="3:6">
      <c r="C422" s="4"/>
      <c r="D422" s="2">
        <v>470</v>
      </c>
      <c r="E422" s="4">
        <v>8.7045564055704823</v>
      </c>
      <c r="F422" s="4">
        <v>2.9139557105004599E-3</v>
      </c>
    </row>
    <row r="423" spans="3:6">
      <c r="C423" s="4"/>
      <c r="D423" s="2">
        <v>471</v>
      </c>
      <c r="E423" s="4">
        <v>8.6996031090497663</v>
      </c>
      <c r="F423" s="4">
        <v>-2.0393408102155064E-3</v>
      </c>
    </row>
    <row r="424" spans="3:6">
      <c r="C424" s="4"/>
      <c r="D424" s="2">
        <v>472</v>
      </c>
      <c r="E424" s="4">
        <v>8.7045641823863935</v>
      </c>
      <c r="F424" s="4">
        <v>2.9217325264117022E-3</v>
      </c>
    </row>
    <row r="425" spans="3:6">
      <c r="C425" s="4"/>
      <c r="D425" s="2">
        <v>473</v>
      </c>
      <c r="E425" s="4">
        <v>8.6994451840713971</v>
      </c>
      <c r="F425" s="4">
        <v>-2.1972657885847013E-3</v>
      </c>
    </row>
    <row r="426" spans="3:6">
      <c r="C426" s="4"/>
      <c r="D426" s="2">
        <v>474</v>
      </c>
      <c r="E426" s="4">
        <v>8.7045691806291501</v>
      </c>
      <c r="F426" s="4">
        <v>2.9267307691682731E-3</v>
      </c>
    </row>
    <row r="427" spans="3:6">
      <c r="C427" s="4"/>
      <c r="D427" s="2">
        <v>475</v>
      </c>
      <c r="E427" s="4">
        <v>8.6992862243216997</v>
      </c>
      <c r="F427" s="4">
        <v>-2.3562255382820751E-3</v>
      </c>
    </row>
    <row r="428" spans="3:6">
      <c r="C428" s="4"/>
      <c r="D428" s="2">
        <v>476</v>
      </c>
      <c r="E428" s="4">
        <v>8.7045714513799144</v>
      </c>
      <c r="F428" s="4">
        <v>2.9290015199325836E-3</v>
      </c>
    </row>
    <row r="429" spans="3:6">
      <c r="C429" s="4"/>
      <c r="D429" s="2">
        <v>477</v>
      </c>
      <c r="E429" s="4">
        <v>8.699126257181744</v>
      </c>
      <c r="F429" s="4">
        <v>-2.5161926782377719E-3</v>
      </c>
    </row>
    <row r="430" spans="3:6">
      <c r="C430" s="4"/>
      <c r="D430" s="2">
        <v>478</v>
      </c>
      <c r="E430" s="4">
        <v>8.7045710446938198</v>
      </c>
      <c r="F430" s="4">
        <v>2.9285948338380052E-3</v>
      </c>
    </row>
    <row r="431" spans="3:6">
      <c r="C431" s="4"/>
      <c r="D431" s="2">
        <v>479</v>
      </c>
      <c r="E431" s="4">
        <v>8.6989653094346284</v>
      </c>
      <c r="F431" s="4">
        <v>-2.6771404253533859E-3</v>
      </c>
    </row>
    <row r="432" spans="3:6">
      <c r="C432" s="4"/>
      <c r="D432" s="2">
        <v>480</v>
      </c>
      <c r="E432" s="4">
        <v>8.7045680096504192</v>
      </c>
      <c r="F432" s="4">
        <v>2.9255597904374042E-3</v>
      </c>
    </row>
    <row r="433" spans="3:6">
      <c r="C433" s="4"/>
      <c r="D433" s="2">
        <v>481</v>
      </c>
      <c r="E433" s="4">
        <v>8.6988034072737683</v>
      </c>
      <c r="F433" s="4">
        <v>-2.8390425862134805E-3</v>
      </c>
    </row>
    <row r="434" spans="3:6">
      <c r="C434" s="4"/>
      <c r="D434" s="2">
        <v>482</v>
      </c>
      <c r="E434" s="4">
        <v>8.7045623943636574</v>
      </c>
      <c r="F434" s="4">
        <v>2.9199445036756089E-3</v>
      </c>
    </row>
    <row r="435" spans="3:6">
      <c r="C435" s="4"/>
      <c r="D435" s="2">
        <v>483</v>
      </c>
      <c r="E435" s="4">
        <v>8.6986405763242267</v>
      </c>
      <c r="F435" s="4">
        <v>-3.0018735357550952E-3</v>
      </c>
    </row>
    <row r="436" spans="3:6">
      <c r="C436" s="4"/>
      <c r="D436" s="2">
        <v>484</v>
      </c>
      <c r="E436" s="4">
        <v>8.704554246008378</v>
      </c>
      <c r="F436" s="4">
        <v>2.9117961483962063E-3</v>
      </c>
    </row>
    <row r="437" spans="3:6">
      <c r="C437" s="4"/>
      <c r="D437" s="2">
        <v>485</v>
      </c>
      <c r="E437" s="4">
        <v>8.6984768416518072</v>
      </c>
      <c r="F437" s="4">
        <v>-3.1656082081745751E-3</v>
      </c>
    </row>
    <row r="438" spans="3:6">
      <c r="C438" s="4"/>
      <c r="D438" s="2">
        <v>486</v>
      </c>
      <c r="E438" s="4">
        <v>8.7045436108392895</v>
      </c>
      <c r="F438" s="4">
        <v>2.9011609793077042E-3</v>
      </c>
    </row>
    <row r="439" spans="3:6">
      <c r="C439" s="4"/>
      <c r="D439" s="2">
        <v>487</v>
      </c>
      <c r="E439" s="4">
        <v>8.6985810580958205</v>
      </c>
      <c r="F439" s="4">
        <v>-3.0613917641613142E-3</v>
      </c>
    </row>
    <row r="440" spans="3:6">
      <c r="C440" s="4"/>
      <c r="D440" s="2">
        <v>488</v>
      </c>
      <c r="E440" s="4">
        <v>8.7045305342090149</v>
      </c>
      <c r="F440" s="4">
        <v>2.8880843490330932E-3</v>
      </c>
    </row>
    <row r="441" spans="3:6">
      <c r="C441" s="4"/>
      <c r="D441" s="2">
        <v>489</v>
      </c>
      <c r="E441" s="4">
        <v>8.6987633369795496</v>
      </c>
      <c r="F441" s="4">
        <v>-2.8791128804321886E-3</v>
      </c>
    </row>
    <row r="442" spans="3:6">
      <c r="C442" s="4"/>
      <c r="D442" s="2">
        <v>490</v>
      </c>
      <c r="E442" s="4">
        <v>8.7045150605935753</v>
      </c>
      <c r="F442" s="4">
        <v>2.8726107335934614E-3</v>
      </c>
    </row>
    <row r="443" spans="3:6">
      <c r="C443" s="4"/>
      <c r="D443" s="2">
        <v>491</v>
      </c>
      <c r="E443" s="4">
        <v>8.6989413686887112</v>
      </c>
      <c r="F443" s="4">
        <v>-2.7010811712706584E-3</v>
      </c>
    </row>
    <row r="444" spans="3:6">
      <c r="C444" s="4"/>
      <c r="D444" s="2">
        <v>492</v>
      </c>
      <c r="E444" s="4">
        <v>8.7044972336047639</v>
      </c>
      <c r="F444" s="4">
        <v>2.8547837447820967E-3</v>
      </c>
    </row>
    <row r="445" spans="3:6">
      <c r="C445" s="4"/>
      <c r="D445" s="2">
        <v>493</v>
      </c>
      <c r="E445" s="4">
        <v>8.699115220137827</v>
      </c>
      <c r="F445" s="4">
        <v>-2.5272297221548001E-3</v>
      </c>
    </row>
    <row r="446" spans="3:6">
      <c r="C446" s="4"/>
      <c r="D446" s="2">
        <v>494</v>
      </c>
      <c r="E446" s="4">
        <v>8.7044770960189481</v>
      </c>
      <c r="F446" s="4">
        <v>2.8346461589663363E-3</v>
      </c>
    </row>
    <row r="447" spans="3:6">
      <c r="C447" s="4"/>
      <c r="D447" s="2">
        <v>495</v>
      </c>
      <c r="E447" s="4">
        <v>8.6992849570237496</v>
      </c>
      <c r="F447" s="4">
        <v>-2.3574928362322112E-3</v>
      </c>
    </row>
    <row r="448" spans="3:6">
      <c r="C448" s="4"/>
      <c r="D448" s="2">
        <v>496</v>
      </c>
      <c r="E448" s="4">
        <v>8.7044546897967425</v>
      </c>
      <c r="F448" s="4">
        <v>2.8122399367607187E-3</v>
      </c>
    </row>
    <row r="449" spans="3:6">
      <c r="C449" s="4"/>
      <c r="D449" s="2">
        <v>497</v>
      </c>
      <c r="E449" s="4">
        <v>8.6994506438487882</v>
      </c>
      <c r="F449" s="4">
        <v>-2.19180601119362E-3</v>
      </c>
    </row>
    <row r="450" spans="3:6">
      <c r="C450" s="4"/>
      <c r="D450" s="2">
        <v>498</v>
      </c>
      <c r="E450" s="4">
        <v>8.7044300560790582</v>
      </c>
      <c r="F450" s="4">
        <v>2.7876062190763662E-3</v>
      </c>
    </row>
    <row r="451" spans="3:6">
      <c r="C451" s="4"/>
      <c r="D451" s="2">
        <v>499</v>
      </c>
      <c r="E451" s="4">
        <v>8.6996123439603856</v>
      </c>
      <c r="F451" s="4">
        <v>-2.0301058995961796E-3</v>
      </c>
    </row>
    <row r="452" spans="3:6">
      <c r="C452" s="4"/>
      <c r="D452" s="2">
        <v>500</v>
      </c>
      <c r="E452" s="4">
        <v>8.7044032352330447</v>
      </c>
      <c r="F452" s="4">
        <v>2.7607853730629017E-3</v>
      </c>
    </row>
    <row r="454" spans="3:6">
      <c r="E454" s="4"/>
    </row>
  </sheetData>
  <phoneticPr fontId="5" type="noConversion"/>
  <pageMargins left="0.75" right="0.75" top="1" bottom="1"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52"/>
  <sheetViews>
    <sheetView workbookViewId="0">
      <selection activeCell="A2" sqref="A2"/>
    </sheetView>
  </sheetViews>
  <sheetFormatPr baseColWidth="10" defaultColWidth="8.83203125" defaultRowHeight="13"/>
  <cols>
    <col min="4" max="4" width="15.6640625" customWidth="1"/>
  </cols>
  <sheetData>
    <row r="1" spans="1:6" ht="14">
      <c r="A1" s="5" t="s">
        <v>39</v>
      </c>
      <c r="B1" s="2"/>
      <c r="D1" s="5" t="s">
        <v>5</v>
      </c>
      <c r="E1" s="5" t="s">
        <v>11</v>
      </c>
      <c r="F1" s="5" t="s">
        <v>10</v>
      </c>
    </row>
    <row r="2" spans="1:6" ht="14">
      <c r="A2" s="2" t="s">
        <v>0</v>
      </c>
      <c r="B2" s="2">
        <v>50</v>
      </c>
      <c r="D2">
        <v>50</v>
      </c>
      <c r="E2">
        <v>8.7271558408836434</v>
      </c>
      <c r="F2">
        <v>2.5513391023661569E-2</v>
      </c>
    </row>
    <row r="3" spans="1:6" ht="14">
      <c r="A3" s="2" t="s">
        <v>9</v>
      </c>
      <c r="B3" s="2">
        <v>55</v>
      </c>
      <c r="D3">
        <v>51</v>
      </c>
      <c r="E3">
        <v>8.6795939031235143</v>
      </c>
      <c r="F3">
        <v>-2.20485467364675E-2</v>
      </c>
    </row>
    <row r="4" spans="1:6" ht="14">
      <c r="A4" s="2" t="s">
        <v>3</v>
      </c>
      <c r="B4" s="2">
        <v>0.3</v>
      </c>
      <c r="D4">
        <v>52</v>
      </c>
      <c r="E4">
        <v>8.7255452241092737</v>
      </c>
      <c r="F4">
        <v>2.390277424929188E-2</v>
      </c>
    </row>
    <row r="5" spans="1:6" ht="14">
      <c r="A5" s="2" t="s">
        <v>4</v>
      </c>
      <c r="B5" s="2">
        <v>0.01</v>
      </c>
      <c r="D5">
        <v>53</v>
      </c>
      <c r="E5">
        <v>8.6861669370566776</v>
      </c>
      <c r="F5">
        <v>-1.547551280330417E-2</v>
      </c>
    </row>
    <row r="6" spans="1:6" ht="14">
      <c r="A6" s="2" t="s">
        <v>1</v>
      </c>
      <c r="B6" s="2">
        <v>1</v>
      </c>
      <c r="D6">
        <v>54</v>
      </c>
      <c r="E6">
        <v>8.7236622645908692</v>
      </c>
      <c r="F6">
        <v>2.2019814730887433E-2</v>
      </c>
    </row>
    <row r="7" spans="1:6" ht="14">
      <c r="A7" s="2" t="s">
        <v>2</v>
      </c>
      <c r="B7" s="2">
        <v>0</v>
      </c>
      <c r="D7">
        <v>55</v>
      </c>
      <c r="E7">
        <v>8.6918104346451219</v>
      </c>
      <c r="F7">
        <v>-9.8320152148598794E-3</v>
      </c>
    </row>
    <row r="8" spans="1:6" ht="14">
      <c r="A8" s="2" t="s">
        <v>19</v>
      </c>
      <c r="B8" s="2">
        <f>(LN(B2/B3)+(B5+B4^2/2)*B6)/(B4*SQRT(B6))</f>
        <v>-0.13436726601441631</v>
      </c>
      <c r="D8">
        <v>56</v>
      </c>
      <c r="E8">
        <v>8.7215559747947626</v>
      </c>
      <c r="F8">
        <v>1.9913524934780824E-2</v>
      </c>
    </row>
    <row r="9" spans="1:6" ht="14">
      <c r="A9" s="2" t="s">
        <v>20</v>
      </c>
      <c r="B9" s="2">
        <f>(LN(B2/B3)+(B5-B4^2/2)*B6)/(B4*SQRT(B6))</f>
        <v>-0.43436726601441628</v>
      </c>
      <c r="D9">
        <v>57</v>
      </c>
      <c r="E9">
        <v>8.6966416967802846</v>
      </c>
      <c r="F9">
        <v>-5.0007530796971622E-3</v>
      </c>
    </row>
    <row r="10" spans="1:6" ht="14">
      <c r="A10" s="2"/>
      <c r="B10" s="2"/>
      <c r="D10">
        <v>58</v>
      </c>
      <c r="E10">
        <v>8.719267030042305</v>
      </c>
      <c r="F10">
        <v>1.7624580182323157E-2</v>
      </c>
    </row>
    <row r="11" spans="1:6" ht="14">
      <c r="A11" s="2"/>
      <c r="B11" s="2"/>
      <c r="D11">
        <v>59</v>
      </c>
      <c r="E11">
        <v>8.7007609116951734</v>
      </c>
      <c r="F11">
        <v>-8.8153816480840419E-4</v>
      </c>
    </row>
    <row r="12" spans="1:6" ht="14">
      <c r="A12" s="3" t="s">
        <v>8</v>
      </c>
      <c r="B12" s="2">
        <f>B3*EXP(-B5*B6)*(1-NORMSDIST(B9))-B2*(1-NORMSDIST(B8))</f>
        <v>8.7016424498599818</v>
      </c>
      <c r="D12">
        <v>60</v>
      </c>
      <c r="E12">
        <v>8.7168293239599492</v>
      </c>
      <c r="F12">
        <v>1.518687409996744E-2</v>
      </c>
    </row>
    <row r="13" spans="1:6">
      <c r="D13">
        <v>61</v>
      </c>
      <c r="E13">
        <v>8.7042540436550091</v>
      </c>
      <c r="F13">
        <v>2.6115937950272894E-3</v>
      </c>
    </row>
    <row r="14" spans="1:6">
      <c r="D14">
        <v>62</v>
      </c>
      <c r="E14">
        <v>8.7142712016376436</v>
      </c>
      <c r="F14">
        <v>1.2628751777661762E-2</v>
      </c>
    </row>
    <row r="15" spans="1:6">
      <c r="D15">
        <v>63</v>
      </c>
      <c r="E15">
        <v>8.7071951676885977</v>
      </c>
      <c r="F15">
        <v>5.5527178286158829E-3</v>
      </c>
    </row>
    <row r="16" spans="1:6">
      <c r="D16">
        <v>64</v>
      </c>
      <c r="E16">
        <v>8.7116164441339219</v>
      </c>
      <c r="F16">
        <v>9.9739942739400789E-3</v>
      </c>
    </row>
    <row r="17" spans="4:6">
      <c r="D17">
        <v>65</v>
      </c>
      <c r="E17">
        <v>8.7096483689143867</v>
      </c>
      <c r="F17">
        <v>8.005919054404842E-3</v>
      </c>
    </row>
    <row r="18" spans="4:6">
      <c r="D18">
        <v>66</v>
      </c>
      <c r="E18">
        <v>8.708885059596728</v>
      </c>
      <c r="F18">
        <v>7.242609736746175E-3</v>
      </c>
    </row>
    <row r="19" spans="4:6">
      <c r="D19">
        <v>67</v>
      </c>
      <c r="E19">
        <v>8.7116692971218512</v>
      </c>
      <c r="F19">
        <v>1.002684726186942E-2</v>
      </c>
    </row>
    <row r="20" spans="4:6">
      <c r="D20">
        <v>68</v>
      </c>
      <c r="E20">
        <v>8.7060939228634862</v>
      </c>
      <c r="F20">
        <v>4.451473003504347E-3</v>
      </c>
    </row>
    <row r="21" spans="4:6">
      <c r="D21">
        <v>69</v>
      </c>
      <c r="E21">
        <v>8.7133064464979544</v>
      </c>
      <c r="F21">
        <v>1.1663996637972573E-2</v>
      </c>
    </row>
    <row r="22" spans="4:6">
      <c r="D22">
        <v>70</v>
      </c>
      <c r="E22">
        <v>8.7032572955018033</v>
      </c>
      <c r="F22">
        <v>1.6148456418214607E-3</v>
      </c>
    </row>
    <row r="23" spans="4:6">
      <c r="D23">
        <v>71</v>
      </c>
      <c r="E23">
        <v>8.714602214787039</v>
      </c>
      <c r="F23">
        <v>1.2959764927057194E-2</v>
      </c>
    </row>
    <row r="24" spans="4:6">
      <c r="D24">
        <v>72</v>
      </c>
      <c r="E24">
        <v>8.7003872508910209</v>
      </c>
      <c r="F24">
        <v>-1.2551989689608689E-3</v>
      </c>
    </row>
    <row r="25" spans="4:6">
      <c r="D25">
        <v>73</v>
      </c>
      <c r="E25">
        <v>8.7155937843772868</v>
      </c>
      <c r="F25">
        <v>1.3951334517305014E-2</v>
      </c>
    </row>
    <row r="26" spans="4:6">
      <c r="D26">
        <v>74</v>
      </c>
      <c r="E26">
        <v>8.6974940234253264</v>
      </c>
      <c r="F26">
        <v>-4.1484264346554056E-3</v>
      </c>
    </row>
    <row r="27" spans="4:6">
      <c r="D27">
        <v>75</v>
      </c>
      <c r="E27">
        <v>8.7163138587723967</v>
      </c>
      <c r="F27">
        <v>1.4671408912414918E-2</v>
      </c>
    </row>
    <row r="28" spans="4:6">
      <c r="D28">
        <v>76</v>
      </c>
      <c r="E28">
        <v>8.6945862967213667</v>
      </c>
      <c r="F28">
        <v>-7.0561531386150733E-3</v>
      </c>
    </row>
    <row r="29" spans="4:6">
      <c r="D29">
        <v>77</v>
      </c>
      <c r="E29">
        <v>8.7167912809908135</v>
      </c>
      <c r="F29">
        <v>1.5148831130831653E-2</v>
      </c>
    </row>
    <row r="30" spans="4:6">
      <c r="D30">
        <v>78</v>
      </c>
      <c r="E30">
        <v>8.6916714425307902</v>
      </c>
      <c r="F30">
        <v>-9.9710073291916501E-3</v>
      </c>
    </row>
    <row r="31" spans="4:6">
      <c r="D31">
        <v>79</v>
      </c>
      <c r="E31">
        <v>8.7170515550569867</v>
      </c>
      <c r="F31">
        <v>1.5409105197004891E-2</v>
      </c>
    </row>
    <row r="32" spans="4:6">
      <c r="D32">
        <v>80</v>
      </c>
      <c r="E32">
        <v>8.6887557196173049</v>
      </c>
      <c r="F32">
        <v>-1.2886730242676947E-2</v>
      </c>
    </row>
    <row r="33" spans="4:6">
      <c r="D33">
        <v>81</v>
      </c>
      <c r="E33">
        <v>8.7171172875686729</v>
      </c>
      <c r="F33">
        <v>1.5474837708691069E-2</v>
      </c>
    </row>
    <row r="34" spans="4:6">
      <c r="D34">
        <v>82</v>
      </c>
      <c r="E34">
        <v>8.6858444399388972</v>
      </c>
      <c r="F34">
        <v>-1.5798009921084599E-2</v>
      </c>
    </row>
    <row r="35" spans="4:6">
      <c r="D35">
        <v>83</v>
      </c>
      <c r="E35">
        <v>8.7170085630366696</v>
      </c>
      <c r="F35">
        <v>1.536611317668779E-2</v>
      </c>
    </row>
    <row r="36" spans="4:6">
      <c r="D36">
        <v>84</v>
      </c>
      <c r="E36">
        <v>8.6829421080357712</v>
      </c>
      <c r="F36">
        <v>-1.8700341824210653E-2</v>
      </c>
    </row>
    <row r="37" spans="4:6">
      <c r="D37">
        <v>85</v>
      </c>
      <c r="E37">
        <v>8.7167432641098799</v>
      </c>
      <c r="F37">
        <v>1.5100814249898065E-2</v>
      </c>
    </row>
    <row r="38" spans="4:6">
      <c r="D38">
        <v>86</v>
      </c>
      <c r="E38">
        <v>8.6839318583278011</v>
      </c>
      <c r="F38">
        <v>-1.7710591532180686E-2</v>
      </c>
    </row>
    <row r="39" spans="4:6">
      <c r="D39">
        <v>87</v>
      </c>
      <c r="E39">
        <v>8.7163373457344395</v>
      </c>
      <c r="F39">
        <v>1.4694895874457714E-2</v>
      </c>
    </row>
    <row r="40" spans="4:6">
      <c r="D40">
        <v>88</v>
      </c>
      <c r="E40">
        <v>8.6872546227034757</v>
      </c>
      <c r="F40">
        <v>-1.4387827156506106E-2</v>
      </c>
    </row>
    <row r="41" spans="4:6">
      <c r="D41">
        <v>89</v>
      </c>
      <c r="E41">
        <v>8.7158050706587602</v>
      </c>
      <c r="F41">
        <v>1.4162620798778391E-2</v>
      </c>
    </row>
    <row r="42" spans="4:6">
      <c r="D42">
        <v>90</v>
      </c>
      <c r="E42">
        <v>8.6902672627526005</v>
      </c>
      <c r="F42">
        <v>-1.1375187107381279E-2</v>
      </c>
    </row>
    <row r="43" spans="4:6">
      <c r="D43">
        <v>91</v>
      </c>
      <c r="E43">
        <v>8.7151592123781487</v>
      </c>
      <c r="F43">
        <v>1.3516762518166914E-2</v>
      </c>
    </row>
    <row r="44" spans="4:6">
      <c r="D44">
        <v>92</v>
      </c>
      <c r="E44">
        <v>8.6929943896263637</v>
      </c>
      <c r="F44">
        <v>-8.6480602336180823E-3</v>
      </c>
    </row>
    <row r="45" spans="4:6">
      <c r="D45">
        <v>93</v>
      </c>
      <c r="E45">
        <v>8.7144112305559105</v>
      </c>
      <c r="F45">
        <v>1.2768780695928683E-2</v>
      </c>
    </row>
    <row r="46" spans="4:6">
      <c r="D46">
        <v>94</v>
      </c>
      <c r="E46">
        <v>8.6954583473589064</v>
      </c>
      <c r="F46">
        <v>-6.1841025010753725E-3</v>
      </c>
    </row>
    <row r="47" spans="4:6">
      <c r="D47">
        <v>95</v>
      </c>
      <c r="E47">
        <v>8.7135714230883163</v>
      </c>
      <c r="F47">
        <v>1.1928973228334527E-2</v>
      </c>
    </row>
    <row r="48" spans="4:6">
      <c r="D48">
        <v>96</v>
      </c>
      <c r="E48">
        <v>8.6976794566333062</v>
      </c>
      <c r="F48">
        <v>-3.962993226675593E-3</v>
      </c>
    </row>
    <row r="49" spans="4:6">
      <c r="D49">
        <v>97</v>
      </c>
      <c r="E49">
        <v>8.7126490582997409</v>
      </c>
      <c r="F49">
        <v>1.1006608439759091E-2</v>
      </c>
    </row>
    <row r="50" spans="4:6">
      <c r="D50">
        <v>98</v>
      </c>
      <c r="E50">
        <v>8.6996762284834794</v>
      </c>
      <c r="F50">
        <v>-1.9662213765023751E-3</v>
      </c>
    </row>
    <row r="51" spans="4:6">
      <c r="D51">
        <v>99</v>
      </c>
      <c r="E51">
        <v>8.7116524901554424</v>
      </c>
      <c r="F51">
        <v>1.0010040295460598E-2</v>
      </c>
    </row>
    <row r="52" spans="4:6">
      <c r="D52">
        <v>100</v>
      </c>
      <c r="E52">
        <v>8.7014655521114399</v>
      </c>
      <c r="F52">
        <v>-1.7689774854190432E-4</v>
      </c>
    </row>
    <row r="53" spans="4:6">
      <c r="D53">
        <v>101</v>
      </c>
      <c r="E53">
        <v>8.7105892589454328</v>
      </c>
      <c r="F53">
        <v>8.9468090854509796E-3</v>
      </c>
    </row>
    <row r="54" spans="4:6">
      <c r="D54">
        <v>102</v>
      </c>
      <c r="E54">
        <v>8.7030628603566331</v>
      </c>
      <c r="F54">
        <v>1.4204104966513142E-3</v>
      </c>
    </row>
    <row r="55" spans="4:6">
      <c r="D55">
        <v>103</v>
      </c>
      <c r="E55">
        <v>8.7094661794746973</v>
      </c>
      <c r="F55">
        <v>7.8237296147154467E-3</v>
      </c>
    </row>
    <row r="56" spans="4:6">
      <c r="D56">
        <v>104</v>
      </c>
      <c r="E56">
        <v>8.7044822758086351</v>
      </c>
      <c r="F56">
        <v>2.8398259486532851E-3</v>
      </c>
    </row>
    <row r="57" spans="4:6">
      <c r="D57">
        <v>105</v>
      </c>
      <c r="E57">
        <v>8.7082894184979374</v>
      </c>
      <c r="F57">
        <v>6.6469686379555526E-3</v>
      </c>
    </row>
    <row r="58" spans="4:6">
      <c r="D58">
        <v>106</v>
      </c>
      <c r="E58">
        <v>8.7057367401159489</v>
      </c>
      <c r="F58">
        <v>4.0942902559670813E-3</v>
      </c>
    </row>
    <row r="59" spans="4:6">
      <c r="D59">
        <v>107</v>
      </c>
      <c r="E59">
        <v>8.7070645628578873</v>
      </c>
      <c r="F59">
        <v>5.4221129979055149E-3</v>
      </c>
    </row>
    <row r="60" spans="4:6">
      <c r="D60">
        <v>108</v>
      </c>
      <c r="E60">
        <v>8.7068381286746757</v>
      </c>
      <c r="F60">
        <v>5.1956788146938493E-3</v>
      </c>
    </row>
    <row r="61" spans="4:6">
      <c r="D61">
        <v>109</v>
      </c>
      <c r="E61">
        <v>8.7057966795813737</v>
      </c>
      <c r="F61">
        <v>4.1542297213918999E-3</v>
      </c>
    </row>
    <row r="62" spans="4:6">
      <c r="D62">
        <v>110</v>
      </c>
      <c r="E62">
        <v>8.7077973525514825</v>
      </c>
      <c r="F62">
        <v>6.1549026915006522E-3</v>
      </c>
    </row>
    <row r="63" spans="4:6">
      <c r="D63">
        <v>111</v>
      </c>
      <c r="E63">
        <v>8.7044903689830502</v>
      </c>
      <c r="F63">
        <v>2.8479191230683654E-3</v>
      </c>
    </row>
    <row r="64" spans="4:6">
      <c r="D64">
        <v>112</v>
      </c>
      <c r="E64">
        <v>8.7086244492516958</v>
      </c>
      <c r="F64">
        <v>6.9819993917139556E-3</v>
      </c>
    </row>
    <row r="65" spans="4:6">
      <c r="D65">
        <v>113</v>
      </c>
      <c r="E65">
        <v>8.7031498116897055</v>
      </c>
      <c r="F65">
        <v>1.5073618297236635E-3</v>
      </c>
    </row>
    <row r="66" spans="4:6">
      <c r="D66">
        <v>114</v>
      </c>
      <c r="E66">
        <v>8.7093286636967058</v>
      </c>
      <c r="F66">
        <v>7.6862138367239652E-3</v>
      </c>
    </row>
    <row r="67" spans="4:6">
      <c r="D67">
        <v>115</v>
      </c>
      <c r="E67">
        <v>8.7017788103610076</v>
      </c>
      <c r="F67">
        <v>1.3636050102583397E-4</v>
      </c>
    </row>
    <row r="68" spans="4:6">
      <c r="D68">
        <v>116</v>
      </c>
      <c r="E68">
        <v>8.7099185206165437</v>
      </c>
      <c r="F68">
        <v>8.2760707565618929E-3</v>
      </c>
    </row>
    <row r="69" spans="4:6">
      <c r="D69">
        <v>117</v>
      </c>
      <c r="E69">
        <v>8.7003808267723599</v>
      </c>
      <c r="F69">
        <v>-1.2616230876218992E-3</v>
      </c>
    </row>
    <row r="70" spans="4:6">
      <c r="D70">
        <v>118</v>
      </c>
      <c r="E70">
        <v>8.7104018893693294</v>
      </c>
      <c r="F70">
        <v>8.7594395093475441E-3</v>
      </c>
    </row>
    <row r="71" spans="4:6">
      <c r="D71">
        <v>119</v>
      </c>
      <c r="E71">
        <v>8.69895901483447</v>
      </c>
      <c r="F71">
        <v>-2.6834350255118267E-3</v>
      </c>
    </row>
    <row r="72" spans="4:6">
      <c r="D72">
        <v>120</v>
      </c>
      <c r="E72">
        <v>8.7107860420874346</v>
      </c>
      <c r="F72">
        <v>9.143592227452757E-3</v>
      </c>
    </row>
    <row r="73" spans="4:6">
      <c r="D73">
        <v>121</v>
      </c>
      <c r="E73">
        <v>8.6975162500447798</v>
      </c>
      <c r="F73">
        <v>-4.1261998152020141E-3</v>
      </c>
    </row>
    <row r="74" spans="4:6">
      <c r="D74">
        <v>122</v>
      </c>
      <c r="E74">
        <v>8.7110777059250424</v>
      </c>
      <c r="F74">
        <v>9.435256065060571E-3</v>
      </c>
    </row>
    <row r="75" spans="4:6">
      <c r="D75">
        <v>123</v>
      </c>
      <c r="E75">
        <v>8.6960551558006713</v>
      </c>
      <c r="F75">
        <v>-5.5872940593104659E-3</v>
      </c>
    </row>
    <row r="76" spans="4:6">
      <c r="D76">
        <v>124</v>
      </c>
      <c r="E76">
        <v>8.7112831100770638</v>
      </c>
      <c r="F76">
        <v>9.6406602170819866E-3</v>
      </c>
    </row>
    <row r="77" spans="4:6">
      <c r="D77">
        <v>125</v>
      </c>
      <c r="E77">
        <v>8.6945781269486098</v>
      </c>
      <c r="F77">
        <v>-7.0643229113720452E-3</v>
      </c>
    </row>
    <row r="78" spans="4:6">
      <c r="D78">
        <v>126</v>
      </c>
      <c r="E78">
        <v>8.711408028165442</v>
      </c>
      <c r="F78">
        <v>9.7655783054602097E-3</v>
      </c>
    </row>
    <row r="79" spans="4:6">
      <c r="D79">
        <v>127</v>
      </c>
      <c r="E79">
        <v>8.6930873508877777</v>
      </c>
      <c r="F79">
        <v>-8.5550989722040782E-3</v>
      </c>
    </row>
    <row r="80" spans="4:6">
      <c r="D80">
        <v>128</v>
      </c>
      <c r="E80">
        <v>8.711457816498914</v>
      </c>
      <c r="F80">
        <v>9.8153666389322325E-3</v>
      </c>
    </row>
    <row r="81" spans="4:6">
      <c r="D81">
        <v>129</v>
      </c>
      <c r="E81">
        <v>8.6915848265138251</v>
      </c>
      <c r="F81">
        <v>-1.0057623346156674E-2</v>
      </c>
    </row>
    <row r="82" spans="4:6">
      <c r="D82">
        <v>130</v>
      </c>
      <c r="E82">
        <v>8.7114374486709636</v>
      </c>
      <c r="F82">
        <v>9.7949988109817809E-3</v>
      </c>
    </row>
    <row r="83" spans="4:6">
      <c r="D83">
        <v>131</v>
      </c>
      <c r="E83">
        <v>8.6900723812457485</v>
      </c>
      <c r="F83">
        <v>-1.1570068614233264E-2</v>
      </c>
    </row>
    <row r="84" spans="4:6">
      <c r="D84">
        <v>132</v>
      </c>
      <c r="E84">
        <v>8.7113515468736313</v>
      </c>
      <c r="F84">
        <v>9.7090970136495258E-3</v>
      </c>
    </row>
    <row r="85" spans="4:6">
      <c r="D85">
        <v>133</v>
      </c>
      <c r="E85">
        <v>8.6893862787223899</v>
      </c>
      <c r="F85">
        <v>-1.225617113759192E-2</v>
      </c>
    </row>
    <row r="86" spans="4:6">
      <c r="D86">
        <v>134</v>
      </c>
      <c r="E86">
        <v>8.7112044102956698</v>
      </c>
      <c r="F86">
        <v>9.5619604356880217E-3</v>
      </c>
    </row>
    <row r="87" spans="4:6">
      <c r="D87">
        <v>135</v>
      </c>
      <c r="E87">
        <v>8.6911438507486434</v>
      </c>
      <c r="F87">
        <v>-1.0498599111338436E-2</v>
      </c>
    </row>
    <row r="88" spans="4:6">
      <c r="D88">
        <v>136</v>
      </c>
      <c r="E88">
        <v>8.7110000409002808</v>
      </c>
      <c r="F88">
        <v>9.3575910402989848E-3</v>
      </c>
    </row>
    <row r="89" spans="4:6">
      <c r="D89">
        <v>137</v>
      </c>
      <c r="E89">
        <v>8.692781934533631</v>
      </c>
      <c r="F89">
        <v>-8.860515326350793E-3</v>
      </c>
    </row>
    <row r="90" spans="4:6">
      <c r="D90">
        <v>138</v>
      </c>
      <c r="E90">
        <v>8.7107421668603049</v>
      </c>
      <c r="F90">
        <v>9.0997170003230821E-3</v>
      </c>
    </row>
    <row r="91" spans="4:6">
      <c r="D91">
        <v>139</v>
      </c>
      <c r="E91">
        <v>8.6943069279177596</v>
      </c>
      <c r="F91">
        <v>-7.3355219422222007E-3</v>
      </c>
    </row>
    <row r="92" spans="4:6">
      <c r="D92">
        <v>140</v>
      </c>
      <c r="E92">
        <v>8.7104342638828669</v>
      </c>
      <c r="F92">
        <v>8.7918140228850916E-3</v>
      </c>
    </row>
    <row r="93" spans="4:6">
      <c r="D93">
        <v>141</v>
      </c>
      <c r="E93">
        <v>8.6957248323013232</v>
      </c>
      <c r="F93">
        <v>-5.9176175586586055E-3</v>
      </c>
    </row>
    <row r="94" spans="4:6">
      <c r="D94">
        <v>142</v>
      </c>
      <c r="E94">
        <v>8.7100795746467075</v>
      </c>
      <c r="F94">
        <v>8.4371247867256471E-3</v>
      </c>
    </row>
    <row r="95" spans="4:6">
      <c r="D95">
        <v>143</v>
      </c>
      <c r="E95">
        <v>8.6970412814151405</v>
      </c>
      <c r="F95">
        <v>-4.6011684448412637E-3</v>
      </c>
    </row>
    <row r="96" spans="4:6">
      <c r="D96">
        <v>144</v>
      </c>
      <c r="E96">
        <v>8.7096811265365766</v>
      </c>
      <c r="F96">
        <v>8.0386766765947471E-3</v>
      </c>
    </row>
    <row r="97" spans="4:6">
      <c r="D97">
        <v>145</v>
      </c>
      <c r="E97">
        <v>8.6982615676844279</v>
      </c>
      <c r="F97">
        <v>-3.3808821755538787E-3</v>
      </c>
    </row>
    <row r="98" spans="4:6">
      <c r="D98">
        <v>146</v>
      </c>
      <c r="E98">
        <v>8.7092417478382274</v>
      </c>
      <c r="F98">
        <v>7.599297978245545E-3</v>
      </c>
    </row>
    <row r="99" spans="4:6">
      <c r="D99">
        <v>147</v>
      </c>
      <c r="E99">
        <v>8.6993906664122882</v>
      </c>
      <c r="F99">
        <v>-2.2517834476936116E-3</v>
      </c>
    </row>
    <row r="100" spans="4:6">
      <c r="D100">
        <v>148</v>
      </c>
      <c r="E100">
        <v>8.7087640825541524</v>
      </c>
      <c r="F100">
        <v>7.1216326941705432E-3</v>
      </c>
    </row>
    <row r="101" spans="4:6">
      <c r="D101">
        <v>149</v>
      </c>
      <c r="E101">
        <v>8.7004332579872194</v>
      </c>
      <c r="F101">
        <v>-1.2091918727623607E-3</v>
      </c>
    </row>
    <row r="102" spans="4:6">
      <c r="D102">
        <v>150</v>
      </c>
      <c r="E102">
        <v>8.7082506039581844</v>
      </c>
      <c r="F102">
        <v>6.6081540982025899E-3</v>
      </c>
    </row>
    <row r="103" spans="4:6">
      <c r="D103">
        <v>151</v>
      </c>
      <c r="E103">
        <v>8.7013937483058541</v>
      </c>
      <c r="F103">
        <v>-2.48701554127706E-4</v>
      </c>
    </row>
    <row r="104" spans="4:6">
      <c r="D104">
        <v>152</v>
      </c>
      <c r="E104">
        <v>8.7077036270295025</v>
      </c>
      <c r="F104">
        <v>6.061177169520704E-3</v>
      </c>
    </row>
    <row r="105" spans="4:6">
      <c r="D105">
        <v>153</v>
      </c>
      <c r="E105">
        <v>8.7022762875608315</v>
      </c>
      <c r="F105">
        <v>6.3383770084968205E-4</v>
      </c>
    </row>
    <row r="106" spans="4:6">
      <c r="D106">
        <v>154</v>
      </c>
      <c r="E106">
        <v>8.7071253198438612</v>
      </c>
      <c r="F106">
        <v>5.4828699838793682E-3</v>
      </c>
    </row>
    <row r="107" spans="4:6">
      <c r="D107">
        <v>155</v>
      </c>
      <c r="E107">
        <v>8.7030847875500612</v>
      </c>
      <c r="F107">
        <v>1.4423376900793983E-3</v>
      </c>
    </row>
    <row r="108" spans="4:6">
      <c r="D108">
        <v>156</v>
      </c>
      <c r="E108">
        <v>8.7065177140493404</v>
      </c>
      <c r="F108">
        <v>4.8752641893585746E-3</v>
      </c>
    </row>
    <row r="109" spans="4:6">
      <c r="D109">
        <v>157</v>
      </c>
      <c r="E109">
        <v>8.7038229376388898</v>
      </c>
      <c r="F109">
        <v>2.1804877789080024E-3</v>
      </c>
    </row>
    <row r="110" spans="4:6">
      <c r="D110">
        <v>158</v>
      </c>
      <c r="E110">
        <v>8.7058827144859166</v>
      </c>
      <c r="F110">
        <v>4.2402646259347421E-3</v>
      </c>
    </row>
    <row r="111" spans="4:6">
      <c r="D111">
        <v>159</v>
      </c>
      <c r="E111">
        <v>8.7044942194878825</v>
      </c>
      <c r="F111">
        <v>2.8517696279006799E-3</v>
      </c>
    </row>
    <row r="112" spans="4:6">
      <c r="D112">
        <v>160</v>
      </c>
      <c r="E112">
        <v>8.7052221080411964</v>
      </c>
      <c r="F112">
        <v>3.57965818121464E-3</v>
      </c>
    </row>
    <row r="113" spans="4:6">
      <c r="D113">
        <v>161</v>
      </c>
      <c r="E113">
        <v>8.7051019206652462</v>
      </c>
      <c r="F113">
        <v>3.4594708052644307E-3</v>
      </c>
    </row>
    <row r="114" spans="4:6">
      <c r="D114">
        <v>162</v>
      </c>
      <c r="E114">
        <v>8.7045375718028293</v>
      </c>
      <c r="F114">
        <v>2.8951219428474673E-3</v>
      </c>
    </row>
    <row r="115" spans="4:6">
      <c r="D115">
        <v>163</v>
      </c>
      <c r="E115">
        <v>8.7056491472291562</v>
      </c>
      <c r="F115">
        <v>4.0066973691743613E-3</v>
      </c>
    </row>
    <row r="116" spans="4:6">
      <c r="D116">
        <v>164</v>
      </c>
      <c r="E116">
        <v>8.7038306805758516</v>
      </c>
      <c r="F116">
        <v>2.1882307158698211E-3</v>
      </c>
    </row>
    <row r="117" spans="4:6">
      <c r="D117">
        <v>165</v>
      </c>
      <c r="E117">
        <v>8.7061388353674278</v>
      </c>
      <c r="F117">
        <v>4.4963855074460213E-3</v>
      </c>
    </row>
    <row r="118" spans="4:6">
      <c r="D118">
        <v>166</v>
      </c>
      <c r="E118">
        <v>8.7031029138156395</v>
      </c>
      <c r="F118">
        <v>1.4604639556576871E-3</v>
      </c>
    </row>
    <row r="119" spans="4:6">
      <c r="D119">
        <v>167</v>
      </c>
      <c r="E119">
        <v>8.7065737621912263</v>
      </c>
      <c r="F119">
        <v>4.9313123312444418E-3</v>
      </c>
    </row>
    <row r="120" spans="4:6">
      <c r="D120">
        <v>168</v>
      </c>
      <c r="E120">
        <v>8.7023556620343143</v>
      </c>
      <c r="F120">
        <v>7.1321217433251149E-4</v>
      </c>
    </row>
    <row r="121" spans="4:6">
      <c r="D121">
        <v>169</v>
      </c>
      <c r="E121">
        <v>8.7069565557259683</v>
      </c>
      <c r="F121">
        <v>5.3141058659864626E-3</v>
      </c>
    </row>
    <row r="122" spans="4:6">
      <c r="D122">
        <v>170</v>
      </c>
      <c r="E122">
        <v>8.7015902327155636</v>
      </c>
      <c r="F122">
        <v>-5.2217144418165162E-5</v>
      </c>
    </row>
    <row r="123" spans="4:6">
      <c r="D123">
        <v>171</v>
      </c>
      <c r="E123">
        <v>8.7072897041931459</v>
      </c>
      <c r="F123">
        <v>5.6472543331640424E-3</v>
      </c>
    </row>
    <row r="124" spans="4:6">
      <c r="D124">
        <v>172</v>
      </c>
      <c r="E124">
        <v>8.7008078557905204</v>
      </c>
      <c r="F124">
        <v>-8.3459406946140291E-4</v>
      </c>
    </row>
    <row r="125" spans="4:6">
      <c r="D125">
        <v>173</v>
      </c>
      <c r="E125">
        <v>8.7075755646222177</v>
      </c>
      <c r="F125">
        <v>5.9331147622359026E-3</v>
      </c>
    </row>
    <row r="126" spans="4:6">
      <c r="D126">
        <v>174</v>
      </c>
      <c r="E126">
        <v>8.7000096887006553</v>
      </c>
      <c r="F126">
        <v>-1.6327611593265345E-3</v>
      </c>
    </row>
    <row r="127" spans="4:6">
      <c r="D127">
        <v>175</v>
      </c>
      <c r="E127">
        <v>8.7078163708525231</v>
      </c>
      <c r="F127">
        <v>6.1739209925413263E-3</v>
      </c>
    </row>
    <row r="128" spans="4:6">
      <c r="D128">
        <v>176</v>
      </c>
      <c r="E128">
        <v>8.6991968210995996</v>
      </c>
      <c r="F128">
        <v>-2.4456287603822346E-3</v>
      </c>
    </row>
    <row r="129" spans="4:6">
      <c r="D129">
        <v>177</v>
      </c>
      <c r="E129">
        <v>8.7080142409802139</v>
      </c>
      <c r="F129">
        <v>6.3717911202321176E-3</v>
      </c>
    </row>
    <row r="130" spans="4:6">
      <c r="D130">
        <v>178</v>
      </c>
      <c r="E130">
        <v>8.6983702791936945</v>
      </c>
      <c r="F130">
        <v>-3.2721706662872663E-3</v>
      </c>
    </row>
    <row r="131" spans="4:6">
      <c r="D131">
        <v>179</v>
      </c>
      <c r="E131">
        <v>8.7081711842824543</v>
      </c>
      <c r="F131">
        <v>6.5287344224724819E-3</v>
      </c>
    </row>
    <row r="132" spans="4:6">
      <c r="D132">
        <v>180</v>
      </c>
      <c r="E132">
        <v>8.6975310297927244</v>
      </c>
      <c r="F132">
        <v>-4.1114200672573986E-3</v>
      </c>
    </row>
    <row r="133" spans="4:6">
      <c r="D133">
        <v>181</v>
      </c>
      <c r="E133">
        <v>8.7082891076714013</v>
      </c>
      <c r="F133">
        <v>6.6466578114194874E-3</v>
      </c>
    </row>
    <row r="134" spans="4:6">
      <c r="D134">
        <v>182</v>
      </c>
      <c r="E134">
        <v>8.696679984044545</v>
      </c>
      <c r="F134">
        <v>-4.9624658154368007E-3</v>
      </c>
    </row>
    <row r="135" spans="4:6">
      <c r="D135">
        <v>183</v>
      </c>
      <c r="E135">
        <v>8.7083698217027443</v>
      </c>
      <c r="F135">
        <v>6.7273718427625084E-3</v>
      </c>
    </row>
    <row r="136" spans="4:6">
      <c r="D136">
        <v>184</v>
      </c>
      <c r="E136">
        <v>8.6958180009305099</v>
      </c>
      <c r="F136">
        <v>-5.8244489294718704E-3</v>
      </c>
    </row>
    <row r="137" spans="4:6">
      <c r="D137">
        <v>185</v>
      </c>
      <c r="E137">
        <v>8.7084150461872891</v>
      </c>
      <c r="F137">
        <v>6.772596327307312E-3</v>
      </c>
    </row>
    <row r="138" spans="4:6">
      <c r="D138">
        <v>186</v>
      </c>
      <c r="E138">
        <v>8.6949458904982304</v>
      </c>
      <c r="F138">
        <v>-6.6965593617513974E-3</v>
      </c>
    </row>
    <row r="139" spans="4:6">
      <c r="D139">
        <v>187</v>
      </c>
      <c r="E139">
        <v>8.7084264154257713</v>
      </c>
      <c r="F139">
        <v>6.7839655657895293E-3</v>
      </c>
    </row>
    <row r="140" spans="4:6">
      <c r="D140">
        <v>188</v>
      </c>
      <c r="E140">
        <v>8.6940644168743351</v>
      </c>
      <c r="F140">
        <v>-7.5780329856467432E-3</v>
      </c>
    </row>
    <row r="141" spans="4:6">
      <c r="D141">
        <v>189</v>
      </c>
      <c r="E141">
        <v>8.7084054830904503</v>
      </c>
      <c r="F141">
        <v>6.7630332304684515E-3</v>
      </c>
    </row>
    <row r="142" spans="4:6">
      <c r="D142">
        <v>190</v>
      </c>
      <c r="E142">
        <v>8.6931743010753841</v>
      </c>
      <c r="F142">
        <v>-8.4681487845976733E-3</v>
      </c>
    </row>
    <row r="143" spans="4:6">
      <c r="D143">
        <v>191</v>
      </c>
      <c r="E143">
        <v>8.7083537267976485</v>
      </c>
      <c r="F143">
        <v>6.7112769376667103E-3</v>
      </c>
    </row>
    <row r="144" spans="4:6">
      <c r="D144">
        <v>192</v>
      </c>
      <c r="E144">
        <v>8.693435182905354</v>
      </c>
      <c r="F144">
        <v>-8.2072669546278121E-3</v>
      </c>
    </row>
    <row r="145" spans="4:6">
      <c r="D145">
        <v>193</v>
      </c>
      <c r="E145">
        <v>8.7082725523787552</v>
      </c>
      <c r="F145">
        <v>6.6301025187733842E-3</v>
      </c>
    </row>
    <row r="146" spans="4:6">
      <c r="D146">
        <v>194</v>
      </c>
      <c r="E146">
        <v>8.694430501068144</v>
      </c>
      <c r="F146">
        <v>-7.2119487918378411E-3</v>
      </c>
    </row>
    <row r="147" spans="4:6">
      <c r="D147">
        <v>195</v>
      </c>
      <c r="E147">
        <v>8.7081632978770553</v>
      </c>
      <c r="F147">
        <v>6.5208480170735328E-3</v>
      </c>
    </row>
    <row r="148" spans="4:6">
      <c r="D148">
        <v>196</v>
      </c>
      <c r="E148">
        <v>8.6953729126205666</v>
      </c>
      <c r="F148">
        <v>-6.2695372394152571E-3</v>
      </c>
    </row>
    <row r="149" spans="4:6">
      <c r="D149">
        <v>197</v>
      </c>
      <c r="E149">
        <v>8.7080272372865011</v>
      </c>
      <c r="F149">
        <v>6.3847874265192672E-3</v>
      </c>
    </row>
    <row r="150" spans="4:6">
      <c r="D150">
        <v>198</v>
      </c>
      <c r="E150">
        <v>8.6962644436049406</v>
      </c>
      <c r="F150">
        <v>-5.3780062550412566E-3</v>
      </c>
    </row>
    <row r="151" spans="4:6">
      <c r="D151">
        <v>199</v>
      </c>
      <c r="E151">
        <v>8.7078655840620058</v>
      </c>
      <c r="F151">
        <v>6.2231342020240277E-3</v>
      </c>
    </row>
    <row r="152" spans="4:6">
      <c r="D152">
        <v>200</v>
      </c>
      <c r="E152">
        <v>8.6971070307745286</v>
      </c>
      <c r="F152">
        <v>-4.5354190854531851E-3</v>
      </c>
    </row>
    <row r="153" spans="4:6">
      <c r="D153">
        <v>201</v>
      </c>
      <c r="E153">
        <v>8.7076794944035676</v>
      </c>
      <c r="F153">
        <v>6.0370445435857789E-3</v>
      </c>
    </row>
    <row r="154" spans="4:6">
      <c r="D154">
        <v>202</v>
      </c>
      <c r="E154">
        <v>8.6979025262055298</v>
      </c>
      <c r="F154">
        <v>-3.7399236544519709E-3</v>
      </c>
    </row>
    <row r="155" spans="4:6">
      <c r="D155">
        <v>203</v>
      </c>
      <c r="E155">
        <v>8.7074700703374148</v>
      </c>
      <c r="F155">
        <v>5.8276204774330154E-3</v>
      </c>
    </row>
    <row r="156" spans="4:6">
      <c r="D156">
        <v>204</v>
      </c>
      <c r="E156">
        <v>8.698652701635714</v>
      </c>
      <c r="F156">
        <v>-2.9897482242677853E-3</v>
      </c>
    </row>
    <row r="157" spans="4:6">
      <c r="D157">
        <v>205</v>
      </c>
      <c r="E157">
        <v>8.7072383626118004</v>
      </c>
      <c r="F157">
        <v>5.595912751818588E-3</v>
      </c>
    </row>
    <row r="158" spans="4:6">
      <c r="D158">
        <v>206</v>
      </c>
      <c r="E158">
        <v>8.6993592525426866</v>
      </c>
      <c r="F158">
        <v>-2.2831973172952047E-3</v>
      </c>
    </row>
    <row r="159" spans="4:6">
      <c r="D159">
        <v>207</v>
      </c>
      <c r="E159">
        <v>8.7069853734127332</v>
      </c>
      <c r="F159">
        <v>5.3429235527513441E-3</v>
      </c>
    </row>
    <row r="160" spans="4:6">
      <c r="D160">
        <v>208</v>
      </c>
      <c r="E160">
        <v>8.700023801987232</v>
      </c>
      <c r="F160">
        <v>-1.6186478727497899E-3</v>
      </c>
    </row>
    <row r="161" spans="4:6">
      <c r="D161">
        <v>209</v>
      </c>
      <c r="E161">
        <v>8.7067120589155582</v>
      </c>
      <c r="F161">
        <v>5.0696090555764073E-3</v>
      </c>
    </row>
    <row r="162" spans="4:6">
      <c r="D162">
        <v>210</v>
      </c>
      <c r="E162">
        <v>8.7006479042302942</v>
      </c>
      <c r="F162">
        <v>-9.9454562968759319E-4</v>
      </c>
    </row>
    <row r="163" spans="4:6">
      <c r="D163">
        <v>211</v>
      </c>
      <c r="E163">
        <v>8.7064193316817491</v>
      </c>
      <c r="F163">
        <v>4.7768818217672759E-3</v>
      </c>
    </row>
    <row r="164" spans="4:6">
      <c r="D164">
        <v>212</v>
      </c>
      <c r="E164">
        <v>8.7012330481398461</v>
      </c>
      <c r="F164">
        <v>-4.0940172013570475E-4</v>
      </c>
    </row>
    <row r="165" spans="4:6">
      <c r="D165">
        <v>213</v>
      </c>
      <c r="E165">
        <v>8.7061080629193945</v>
      </c>
      <c r="F165">
        <v>4.4656130594127319E-3</v>
      </c>
    </row>
    <row r="166" spans="4:6">
      <c r="D166">
        <v>214</v>
      </c>
      <c r="E166">
        <v>8.7017806604099253</v>
      </c>
      <c r="F166">
        <v>1.3821054994345161E-4</v>
      </c>
    </row>
    <row r="167" spans="4:6">
      <c r="D167">
        <v>215</v>
      </c>
      <c r="E167">
        <v>8.7057790846042256</v>
      </c>
      <c r="F167">
        <v>4.1366347442437501E-3</v>
      </c>
    </row>
    <row r="168" spans="4:6">
      <c r="D168">
        <v>216</v>
      </c>
      <c r="E168">
        <v>8.7022921085875016</v>
      </c>
      <c r="F168">
        <v>6.4965872751976406E-4</v>
      </c>
    </row>
    <row r="169" spans="4:6">
      <c r="D169">
        <v>217</v>
      </c>
      <c r="E169">
        <v>8.705433191477276</v>
      </c>
      <c r="F169">
        <v>3.7907416172942021E-3</v>
      </c>
    </row>
    <row r="170" spans="4:6">
      <c r="D170">
        <v>218</v>
      </c>
      <c r="E170">
        <v>8.7027687039371795</v>
      </c>
      <c r="F170">
        <v>1.1262540771976859E-3</v>
      </c>
    </row>
    <row r="171" spans="4:6">
      <c r="D171">
        <v>219</v>
      </c>
      <c r="E171">
        <v>8.7050711429344076</v>
      </c>
      <c r="F171">
        <v>3.428693074425837E-3</v>
      </c>
    </row>
    <row r="172" spans="4:6">
      <c r="D172">
        <v>220</v>
      </c>
      <c r="E172">
        <v>8.7032117041403012</v>
      </c>
      <c r="F172">
        <v>1.5692542803193987E-3</v>
      </c>
    </row>
    <row r="173" spans="4:6">
      <c r="D173">
        <v>221</v>
      </c>
      <c r="E173">
        <v>8.7046936647891258</v>
      </c>
      <c r="F173">
        <v>3.0512149291439528E-3</v>
      </c>
    </row>
    <row r="174" spans="4:6">
      <c r="D174">
        <v>222</v>
      </c>
      <c r="E174">
        <v>8.7036223158498398</v>
      </c>
      <c r="F174">
        <v>1.9798659898579984E-3</v>
      </c>
    </row>
    <row r="175" spans="4:6">
      <c r="D175">
        <v>223</v>
      </c>
      <c r="E175">
        <v>8.7043014509585088</v>
      </c>
      <c r="F175">
        <v>2.6590010985270141E-3</v>
      </c>
    </row>
    <row r="176" spans="4:6">
      <c r="D176">
        <v>224</v>
      </c>
      <c r="E176">
        <v>8.7040016970961833</v>
      </c>
      <c r="F176">
        <v>2.3592472362015116E-3</v>
      </c>
    </row>
    <row r="177" spans="4:6">
      <c r="D177">
        <v>225</v>
      </c>
      <c r="E177">
        <v>8.7038951650332272</v>
      </c>
      <c r="F177">
        <v>2.2527151732454342E-3</v>
      </c>
    </row>
    <row r="178" spans="4:6">
      <c r="D178">
        <v>226</v>
      </c>
      <c r="E178">
        <v>8.7043509595788038</v>
      </c>
      <c r="F178">
        <v>2.708509718821972E-3</v>
      </c>
    </row>
    <row r="179" spans="4:6">
      <c r="D179">
        <v>227</v>
      </c>
      <c r="E179">
        <v>8.70347544176723</v>
      </c>
      <c r="F179">
        <v>1.8329919072481715E-3</v>
      </c>
    </row>
    <row r="180" spans="4:6">
      <c r="D180">
        <v>228</v>
      </c>
      <c r="E180">
        <v>8.7046711708114888</v>
      </c>
      <c r="F180">
        <v>3.0287209515069691E-3</v>
      </c>
    </row>
    <row r="181" spans="4:6">
      <c r="D181">
        <v>229</v>
      </c>
      <c r="E181">
        <v>8.7030428884905255</v>
      </c>
      <c r="F181">
        <v>1.4004386305437322E-3</v>
      </c>
    </row>
    <row r="182" spans="4:6">
      <c r="D182">
        <v>230</v>
      </c>
      <c r="E182">
        <v>8.7049633561687596</v>
      </c>
      <c r="F182">
        <v>3.3209063087777935E-3</v>
      </c>
    </row>
    <row r="183" spans="4:6">
      <c r="D183">
        <v>231</v>
      </c>
      <c r="E183">
        <v>8.7025980864303847</v>
      </c>
      <c r="F183">
        <v>9.5563657040287353E-4</v>
      </c>
    </row>
    <row r="184" spans="4:6">
      <c r="D184">
        <v>232</v>
      </c>
      <c r="E184">
        <v>8.7052285008216241</v>
      </c>
      <c r="F184">
        <v>3.5860509616423286E-3</v>
      </c>
    </row>
    <row r="185" spans="4:6">
      <c r="D185">
        <v>233</v>
      </c>
      <c r="E185">
        <v>8.7021415919688909</v>
      </c>
      <c r="F185">
        <v>4.9914210890911193E-4</v>
      </c>
    </row>
    <row r="186" spans="4:6">
      <c r="D186">
        <v>234</v>
      </c>
      <c r="E186">
        <v>8.7054675515647979</v>
      </c>
      <c r="F186">
        <v>3.8251017048160918E-3</v>
      </c>
    </row>
    <row r="187" spans="4:6">
      <c r="D187">
        <v>235</v>
      </c>
      <c r="E187">
        <v>8.7016739378331032</v>
      </c>
      <c r="F187">
        <v>3.1487973121357982E-5</v>
      </c>
    </row>
    <row r="188" spans="4:6">
      <c r="D188">
        <v>236</v>
      </c>
      <c r="E188">
        <v>8.7056814185484654</v>
      </c>
      <c r="F188">
        <v>4.0389686884836351E-3</v>
      </c>
    </row>
    <row r="189" spans="4:6">
      <c r="D189">
        <v>237</v>
      </c>
      <c r="E189">
        <v>8.7011956342147929</v>
      </c>
      <c r="F189">
        <v>-4.4681564518889161E-4</v>
      </c>
    </row>
    <row r="190" spans="4:6">
      <c r="D190">
        <v>238</v>
      </c>
      <c r="E190">
        <v>8.7058709769298748</v>
      </c>
      <c r="F190">
        <v>4.2285270698929622E-3</v>
      </c>
    </row>
    <row r="191" spans="4:6">
      <c r="D191">
        <v>239</v>
      </c>
      <c r="E191">
        <v>8.7007071698293679</v>
      </c>
      <c r="F191">
        <v>-9.3528003061393861E-4</v>
      </c>
    </row>
    <row r="192" spans="4:6">
      <c r="D192">
        <v>240</v>
      </c>
      <c r="E192">
        <v>8.7060370684288344</v>
      </c>
      <c r="F192">
        <v>4.3946185688525929E-3</v>
      </c>
    </row>
    <row r="193" spans="4:6">
      <c r="D193">
        <v>241</v>
      </c>
      <c r="E193">
        <v>8.700209012928859</v>
      </c>
      <c r="F193">
        <v>-1.4334369311228556E-3</v>
      </c>
    </row>
    <row r="194" spans="4:6">
      <c r="D194">
        <v>242</v>
      </c>
      <c r="E194">
        <v>8.7061805028057684</v>
      </c>
      <c r="F194">
        <v>4.5380529457865748E-3</v>
      </c>
    </row>
    <row r="195" spans="4:6">
      <c r="D195">
        <v>243</v>
      </c>
      <c r="E195">
        <v>8.6997016122443149</v>
      </c>
      <c r="F195">
        <v>-1.9408376156668794E-3</v>
      </c>
    </row>
    <row r="196" spans="4:6">
      <c r="D196">
        <v>244</v>
      </c>
      <c r="E196">
        <v>8.7063020592689391</v>
      </c>
      <c r="F196">
        <v>4.6596094089572659E-3</v>
      </c>
    </row>
    <row r="197" spans="4:6">
      <c r="D197">
        <v>245</v>
      </c>
      <c r="E197">
        <v>8.6991853978987681</v>
      </c>
      <c r="F197">
        <v>-2.4570519612137076E-3</v>
      </c>
    </row>
    <row r="198" spans="4:6">
      <c r="D198">
        <v>246</v>
      </c>
      <c r="E198">
        <v>8.7064024878045334</v>
      </c>
      <c r="F198">
        <v>4.7600379445515983E-3</v>
      </c>
    </row>
    <row r="199" spans="4:6">
      <c r="D199">
        <v>247</v>
      </c>
      <c r="E199">
        <v>8.6986607822545832</v>
      </c>
      <c r="F199">
        <v>-2.9816676053986413E-3</v>
      </c>
    </row>
    <row r="200" spans="4:6">
      <c r="D200">
        <v>248</v>
      </c>
      <c r="E200">
        <v>8.7064825104481454</v>
      </c>
      <c r="F200">
        <v>4.8400605881635528E-3</v>
      </c>
    </row>
    <row r="201" spans="4:6">
      <c r="D201">
        <v>249</v>
      </c>
      <c r="E201">
        <v>8.698128160722856</v>
      </c>
      <c r="F201">
        <v>-3.5142891371258145E-3</v>
      </c>
    </row>
    <row r="202" spans="4:6">
      <c r="D202">
        <v>250</v>
      </c>
      <c r="E202">
        <v>8.7065428224791237</v>
      </c>
      <c r="F202">
        <v>4.9003726191418906E-3</v>
      </c>
    </row>
    <row r="203" spans="4:6">
      <c r="D203">
        <v>251</v>
      </c>
      <c r="E203">
        <v>8.697587912538614</v>
      </c>
      <c r="F203">
        <v>-4.0545373213678459E-3</v>
      </c>
    </row>
    <row r="204" spans="4:6">
      <c r="D204">
        <v>252</v>
      </c>
      <c r="E204">
        <v>8.7065840935775878</v>
      </c>
      <c r="F204">
        <v>4.9416437176059702E-3</v>
      </c>
    </row>
    <row r="205" spans="4:6">
      <c r="D205">
        <v>253</v>
      </c>
      <c r="E205">
        <v>8.6970404014821554</v>
      </c>
      <c r="F205">
        <v>-4.6020483778264065E-3</v>
      </c>
    </row>
    <row r="206" spans="4:6">
      <c r="D206">
        <v>254</v>
      </c>
      <c r="E206">
        <v>8.7066069688958283</v>
      </c>
      <c r="F206">
        <v>4.964519035846493E-3</v>
      </c>
    </row>
    <row r="207" spans="4:6">
      <c r="D207">
        <v>255</v>
      </c>
      <c r="E207">
        <v>8.6964859765796128</v>
      </c>
      <c r="F207">
        <v>-5.1564732803690561E-3</v>
      </c>
    </row>
    <row r="208" spans="4:6">
      <c r="D208">
        <v>256</v>
      </c>
      <c r="E208">
        <v>8.706612070106555</v>
      </c>
      <c r="F208">
        <v>4.9696202465732142E-3</v>
      </c>
    </row>
    <row r="209" spans="4:6">
      <c r="D209">
        <v>257</v>
      </c>
      <c r="E209">
        <v>8.6959249727532413</v>
      </c>
      <c r="F209">
        <v>-5.7174771067405317E-3</v>
      </c>
    </row>
    <row r="210" spans="4:6">
      <c r="D210">
        <v>258</v>
      </c>
      <c r="E210">
        <v>8.7065999963817795</v>
      </c>
      <c r="F210">
        <v>4.9575465217976955E-3</v>
      </c>
    </row>
    <row r="211" spans="4:6">
      <c r="D211">
        <v>259</v>
      </c>
      <c r="E211">
        <v>8.6953577114464622</v>
      </c>
      <c r="F211">
        <v>-6.2847384135196194E-3</v>
      </c>
    </row>
    <row r="212" spans="4:6">
      <c r="D212">
        <v>260</v>
      </c>
      <c r="E212">
        <v>8.7065713253268804</v>
      </c>
      <c r="F212">
        <v>4.9288754668985746E-3</v>
      </c>
    </row>
    <row r="213" spans="4:6">
      <c r="D213">
        <v>261</v>
      </c>
      <c r="E213">
        <v>8.6955757930375732</v>
      </c>
      <c r="F213">
        <v>-6.0666568224085893E-3</v>
      </c>
    </row>
    <row r="214" spans="4:6">
      <c r="D214">
        <v>262</v>
      </c>
      <c r="E214">
        <v>8.7065266138783688</v>
      </c>
      <c r="F214">
        <v>4.8841640183869828E-3</v>
      </c>
    </row>
    <row r="215" spans="4:6">
      <c r="D215">
        <v>263</v>
      </c>
      <c r="E215">
        <v>8.6962016980705759</v>
      </c>
      <c r="F215">
        <v>-5.4407517894059509E-3</v>
      </c>
    </row>
    <row r="216" spans="4:6">
      <c r="D216">
        <v>264</v>
      </c>
      <c r="E216">
        <v>8.706466399149452</v>
      </c>
      <c r="F216">
        <v>4.8239492894701641E-3</v>
      </c>
    </row>
    <row r="217" spans="4:6">
      <c r="D217">
        <v>265</v>
      </c>
      <c r="E217">
        <v>8.6968005889567888</v>
      </c>
      <c r="F217">
        <v>-4.8418609031930515E-3</v>
      </c>
    </row>
    <row r="218" spans="4:6">
      <c r="D218">
        <v>266</v>
      </c>
      <c r="E218">
        <v>8.7063911992426952</v>
      </c>
      <c r="F218">
        <v>4.7487493827134131E-3</v>
      </c>
    </row>
    <row r="219" spans="4:6">
      <c r="D219">
        <v>267</v>
      </c>
      <c r="E219">
        <v>8.6973732434678066</v>
      </c>
      <c r="F219">
        <v>-4.2692063921752066E-3</v>
      </c>
    </row>
    <row r="220" spans="4:6">
      <c r="D220">
        <v>268</v>
      </c>
      <c r="E220">
        <v>8.7063015140200832</v>
      </c>
      <c r="F220">
        <v>4.6590641601014227E-3</v>
      </c>
    </row>
    <row r="221" spans="4:6">
      <c r="D221">
        <v>269</v>
      </c>
      <c r="E221">
        <v>8.6979204137244146</v>
      </c>
      <c r="F221">
        <v>-3.7220361355672082E-3</v>
      </c>
    </row>
    <row r="222" spans="4:6">
      <c r="D222">
        <v>270</v>
      </c>
      <c r="E222">
        <v>8.7061978258401211</v>
      </c>
      <c r="F222">
        <v>4.5553759801393312E-3</v>
      </c>
    </row>
    <row r="223" spans="4:6">
      <c r="D223">
        <v>271</v>
      </c>
      <c r="E223">
        <v>8.698442827196752</v>
      </c>
      <c r="F223">
        <v>-3.1996226632298175E-3</v>
      </c>
    </row>
    <row r="224" spans="4:6">
      <c r="D224">
        <v>272</v>
      </c>
      <c r="E224">
        <v>8.7060806002596767</v>
      </c>
      <c r="F224">
        <v>4.4381503996948624E-3</v>
      </c>
    </row>
    <row r="225" spans="4:6">
      <c r="D225">
        <v>273</v>
      </c>
      <c r="E225">
        <v>8.6989411876407452</v>
      </c>
      <c r="F225">
        <v>-2.7012622192366109E-3</v>
      </c>
    </row>
    <row r="226" spans="4:6">
      <c r="D226">
        <v>274</v>
      </c>
      <c r="E226">
        <v>8.7059502866992897</v>
      </c>
      <c r="F226">
        <v>4.3078368393079103E-3</v>
      </c>
    </row>
    <row r="227" spans="4:6">
      <c r="D227">
        <v>275</v>
      </c>
      <c r="E227">
        <v>8.6994161760085316</v>
      </c>
      <c r="F227">
        <v>-2.2262738514502445E-3</v>
      </c>
    </row>
    <row r="228" spans="4:6">
      <c r="D228">
        <v>276</v>
      </c>
      <c r="E228">
        <v>8.7058073190911127</v>
      </c>
      <c r="F228">
        <v>4.1648692311309077E-3</v>
      </c>
    </row>
    <row r="229" spans="4:6">
      <c r="D229">
        <v>277</v>
      </c>
      <c r="E229">
        <v>8.6998684513191478</v>
      </c>
      <c r="F229">
        <v>-1.7739985408340431E-3</v>
      </c>
    </row>
    <row r="230" spans="4:6">
      <c r="D230">
        <v>278</v>
      </c>
      <c r="E230">
        <v>8.7056521164802447</v>
      </c>
      <c r="F230">
        <v>4.0096666202629194E-3</v>
      </c>
    </row>
    <row r="231" spans="4:6">
      <c r="D231">
        <v>279</v>
      </c>
      <c r="E231">
        <v>8.7002986514735223</v>
      </c>
      <c r="F231">
        <v>-1.3437983864594827E-3</v>
      </c>
    </row>
    <row r="232" spans="4:6">
      <c r="D232">
        <v>280</v>
      </c>
      <c r="E232">
        <v>8.705485083614283</v>
      </c>
      <c r="F232">
        <v>3.8426337543011613E-3</v>
      </c>
    </row>
    <row r="233" spans="4:6">
      <c r="D233">
        <v>281</v>
      </c>
      <c r="E233">
        <v>8.70070739405541</v>
      </c>
      <c r="F233">
        <v>-9.3505580457176052E-4</v>
      </c>
    </row>
    <row r="234" spans="4:6">
      <c r="D234">
        <v>282</v>
      </c>
      <c r="E234">
        <v>8.7053066114906592</v>
      </c>
      <c r="F234">
        <v>3.6641616306773983E-3</v>
      </c>
    </row>
    <row r="235" spans="4:6">
      <c r="D235">
        <v>283</v>
      </c>
      <c r="E235">
        <v>8.701095277085992</v>
      </c>
      <c r="F235">
        <v>-5.4717277398985686E-4</v>
      </c>
    </row>
    <row r="236" spans="4:6">
      <c r="D236">
        <v>284</v>
      </c>
      <c r="E236">
        <v>8.7051170779017166</v>
      </c>
      <c r="F236">
        <v>3.4746280417348174E-3</v>
      </c>
    </row>
    <row r="237" spans="4:6">
      <c r="D237">
        <v>285</v>
      </c>
      <c r="E237">
        <v>8.7014628797442697</v>
      </c>
      <c r="F237">
        <v>-1.7957011571212433E-4</v>
      </c>
    </row>
    <row r="238" spans="4:6">
      <c r="D238">
        <v>286</v>
      </c>
      <c r="E238">
        <v>8.7049168479280965</v>
      </c>
      <c r="F238">
        <v>3.2743980681146923E-3</v>
      </c>
    </row>
    <row r="239" spans="4:6">
      <c r="D239">
        <v>287</v>
      </c>
      <c r="E239">
        <v>8.7018107630637438</v>
      </c>
      <c r="F239">
        <v>1.6831320376198278E-4</v>
      </c>
    </row>
    <row r="240" spans="4:6">
      <c r="D240">
        <v>288</v>
      </c>
      <c r="E240">
        <v>8.7047062744390651</v>
      </c>
      <c r="F240">
        <v>3.0638245790832741E-3</v>
      </c>
    </row>
    <row r="241" spans="4:6">
      <c r="D241">
        <v>289</v>
      </c>
      <c r="E241">
        <v>8.7021394705995032</v>
      </c>
      <c r="F241">
        <v>4.9702073952140324E-4</v>
      </c>
    </row>
    <row r="242" spans="4:6">
      <c r="D242">
        <v>290</v>
      </c>
      <c r="E242">
        <v>8.704485698542161</v>
      </c>
      <c r="F242">
        <v>2.8432486821792224E-3</v>
      </c>
    </row>
    <row r="243" spans="4:6">
      <c r="D243">
        <v>291</v>
      </c>
      <c r="E243">
        <v>8.7024495290546238</v>
      </c>
      <c r="F243">
        <v>8.0707919464195754E-4</v>
      </c>
    </row>
    <row r="244" spans="4:6">
      <c r="D244">
        <v>292</v>
      </c>
      <c r="E244">
        <v>8.7042554500404847</v>
      </c>
      <c r="F244">
        <v>2.6130001805029224E-3</v>
      </c>
    </row>
    <row r="245" spans="4:6">
      <c r="D245">
        <v>293</v>
      </c>
      <c r="E245">
        <v>8.7027414488977488</v>
      </c>
      <c r="F245">
        <v>1.0989990377670011E-3</v>
      </c>
    </row>
    <row r="246" spans="4:6">
      <c r="D246">
        <v>294</v>
      </c>
      <c r="E246">
        <v>8.7040158478518297</v>
      </c>
      <c r="F246">
        <v>2.3733979918478809E-3</v>
      </c>
    </row>
    <row r="247" spans="4:6">
      <c r="D247">
        <v>295</v>
      </c>
      <c r="E247">
        <v>8.7030157249442013</v>
      </c>
      <c r="F247">
        <v>1.3732750842194719E-3</v>
      </c>
    </row>
    <row r="248" spans="4:6">
      <c r="D248">
        <v>296</v>
      </c>
      <c r="E248">
        <v>8.7037672004162197</v>
      </c>
      <c r="F248">
        <v>2.1247505562378421E-3</v>
      </c>
    </row>
    <row r="249" spans="4:6">
      <c r="D249">
        <v>297</v>
      </c>
      <c r="E249">
        <v>8.7032728369117986</v>
      </c>
      <c r="F249">
        <v>1.6303870518168395E-3</v>
      </c>
    </row>
    <row r="250" spans="4:6">
      <c r="D250">
        <v>298</v>
      </c>
      <c r="E250">
        <v>8.7035098060845151</v>
      </c>
      <c r="F250">
        <v>1.8673562245332676E-3</v>
      </c>
    </row>
    <row r="251" spans="4:6">
      <c r="D251">
        <v>299</v>
      </c>
      <c r="E251">
        <v>8.7035132499636347</v>
      </c>
      <c r="F251">
        <v>1.8708001036529254E-3</v>
      </c>
    </row>
    <row r="252" spans="4:6">
      <c r="D252">
        <v>300</v>
      </c>
      <c r="E252">
        <v>8.7032439534940167</v>
      </c>
      <c r="F252">
        <v>1.6015036340348843E-3</v>
      </c>
    </row>
    <row r="253" spans="4:6">
      <c r="D253">
        <v>301</v>
      </c>
      <c r="E253">
        <v>8.7037374152191465</v>
      </c>
      <c r="F253">
        <v>2.0949653591646467E-3</v>
      </c>
    </row>
    <row r="254" spans="4:6">
      <c r="D254">
        <v>302</v>
      </c>
      <c r="E254">
        <v>8.7029699219256305</v>
      </c>
      <c r="F254">
        <v>1.3274720656486494E-3</v>
      </c>
    </row>
    <row r="255" spans="4:6">
      <c r="D255">
        <v>303</v>
      </c>
      <c r="E255">
        <v>8.7039457702434273</v>
      </c>
      <c r="F255">
        <v>2.3033203834454952E-3</v>
      </c>
    </row>
    <row r="256" spans="4:6">
      <c r="D256">
        <v>304</v>
      </c>
      <c r="E256">
        <v>8.7026879816444964</v>
      </c>
      <c r="F256">
        <v>1.0455317845146084E-3</v>
      </c>
    </row>
    <row r="257" spans="4:6">
      <c r="D257">
        <v>305</v>
      </c>
      <c r="E257">
        <v>8.7041387395293768</v>
      </c>
      <c r="F257">
        <v>2.4962896693949688E-3</v>
      </c>
    </row>
    <row r="258" spans="4:6">
      <c r="D258">
        <v>306</v>
      </c>
      <c r="E258">
        <v>8.702398394226309</v>
      </c>
      <c r="F258">
        <v>7.5594436632719919E-4</v>
      </c>
    </row>
    <row r="259" spans="4:6">
      <c r="D259">
        <v>307</v>
      </c>
      <c r="E259">
        <v>8.7043167349435837</v>
      </c>
      <c r="F259">
        <v>2.6742850836019016E-3</v>
      </c>
    </row>
    <row r="260" spans="4:6">
      <c r="D260">
        <v>308</v>
      </c>
      <c r="E260">
        <v>8.7021014128769973</v>
      </c>
      <c r="F260">
        <v>4.5896301701553455E-4</v>
      </c>
    </row>
    <row r="261" spans="4:6">
      <c r="D261">
        <v>309</v>
      </c>
      <c r="E261">
        <v>8.7044801561666372</v>
      </c>
      <c r="F261">
        <v>2.8377063066553632E-3</v>
      </c>
    </row>
    <row r="262" spans="4:6">
      <c r="D262">
        <v>310</v>
      </c>
      <c r="E262">
        <v>8.7017972827313237</v>
      </c>
      <c r="F262">
        <v>1.5483287134188117E-4</v>
      </c>
    </row>
    <row r="263" spans="4:6">
      <c r="D263">
        <v>311</v>
      </c>
      <c r="E263">
        <v>8.7046293911142953</v>
      </c>
      <c r="F263">
        <v>2.9869412543135354E-3</v>
      </c>
    </row>
    <row r="264" spans="4:6">
      <c r="D264">
        <v>312</v>
      </c>
      <c r="E264">
        <v>8.7014862411418417</v>
      </c>
      <c r="F264">
        <v>-1.5620871814014947E-4</v>
      </c>
    </row>
    <row r="265" spans="4:6">
      <c r="D265">
        <v>313</v>
      </c>
      <c r="E265">
        <v>8.7047648163322631</v>
      </c>
      <c r="F265">
        <v>3.1223664722812572E-3</v>
      </c>
    </row>
    <row r="266" spans="4:6">
      <c r="D266">
        <v>314</v>
      </c>
      <c r="E266">
        <v>8.7011685179541303</v>
      </c>
      <c r="F266">
        <v>-4.7393190585154343E-4</v>
      </c>
    </row>
    <row r="267" spans="4:6">
      <c r="D267">
        <v>315</v>
      </c>
      <c r="E267">
        <v>8.7048867973879052</v>
      </c>
      <c r="F267">
        <v>3.2443475279233525E-3</v>
      </c>
    </row>
    <row r="268" spans="4:6">
      <c r="D268">
        <v>316</v>
      </c>
      <c r="E268">
        <v>8.7008443357792622</v>
      </c>
      <c r="F268">
        <v>-7.9811408071961409E-4</v>
      </c>
    </row>
    <row r="269" spans="4:6">
      <c r="D269">
        <v>317</v>
      </c>
      <c r="E269">
        <v>8.7049956892433542</v>
      </c>
      <c r="F269">
        <v>3.3532393833723972E-3</v>
      </c>
    </row>
    <row r="270" spans="4:6">
      <c r="D270">
        <v>318</v>
      </c>
      <c r="E270">
        <v>8.7005139102436591</v>
      </c>
      <c r="F270">
        <v>-1.1285396163227546E-3</v>
      </c>
    </row>
    <row r="271" spans="4:6">
      <c r="D271">
        <v>319</v>
      </c>
      <c r="E271">
        <v>8.7050918366061687</v>
      </c>
      <c r="F271">
        <v>3.4493867461868888E-3</v>
      </c>
    </row>
    <row r="272" spans="4:6">
      <c r="D272">
        <v>320</v>
      </c>
      <c r="E272">
        <v>8.7001774502358007</v>
      </c>
      <c r="F272">
        <v>-1.4649996241811181E-3</v>
      </c>
    </row>
    <row r="273" spans="4:6">
      <c r="D273">
        <v>321</v>
      </c>
      <c r="E273">
        <v>8.70517557427317</v>
      </c>
      <c r="F273">
        <v>3.5331244131882045E-3</v>
      </c>
    </row>
    <row r="274" spans="4:6">
      <c r="D274">
        <v>322</v>
      </c>
      <c r="E274">
        <v>8.6998351581386615</v>
      </c>
      <c r="F274">
        <v>-1.8072917213203255E-3</v>
      </c>
    </row>
    <row r="275" spans="4:6">
      <c r="D275">
        <v>323</v>
      </c>
      <c r="E275">
        <v>8.7052472274661437</v>
      </c>
      <c r="F275">
        <v>3.6047776061618464E-3</v>
      </c>
    </row>
    <row r="276" spans="4:6">
      <c r="D276">
        <v>324</v>
      </c>
      <c r="E276">
        <v>8.6994872300616368</v>
      </c>
      <c r="F276">
        <v>-2.1552197983449872E-3</v>
      </c>
    </row>
    <row r="277" spans="4:6">
      <c r="D277">
        <v>325</v>
      </c>
      <c r="E277">
        <v>8.7053071121436201</v>
      </c>
      <c r="F277">
        <v>3.6646622836382647E-3</v>
      </c>
    </row>
    <row r="278" spans="4:6">
      <c r="D278">
        <v>326</v>
      </c>
      <c r="E278">
        <v>8.6991338560564575</v>
      </c>
      <c r="F278">
        <v>-2.5085938035243061E-3</v>
      </c>
    </row>
    <row r="279" spans="4:6">
      <c r="D279">
        <v>327</v>
      </c>
      <c r="E279">
        <v>8.7053555353070937</v>
      </c>
      <c r="F279">
        <v>3.7130854471119079E-3</v>
      </c>
    </row>
    <row r="280" spans="4:6">
      <c r="D280">
        <v>328</v>
      </c>
      <c r="E280">
        <v>8.6987752203220925</v>
      </c>
      <c r="F280">
        <v>-2.8672295378893153E-3</v>
      </c>
    </row>
    <row r="281" spans="4:6">
      <c r="D281">
        <v>329</v>
      </c>
      <c r="E281">
        <v>8.7053927952928127</v>
      </c>
      <c r="F281">
        <v>3.750345432830926E-3</v>
      </c>
    </row>
    <row r="282" spans="4:6">
      <c r="D282">
        <v>330</v>
      </c>
      <c r="E282">
        <v>8.698411501403152</v>
      </c>
      <c r="F282">
        <v>-3.2309484568298075E-3</v>
      </c>
    </row>
    <row r="283" spans="4:6">
      <c r="D283">
        <v>331</v>
      </c>
      <c r="E283">
        <v>8.7054191820572182</v>
      </c>
      <c r="F283">
        <v>3.7767321972363987E-3</v>
      </c>
    </row>
    <row r="284" spans="4:6">
      <c r="D284">
        <v>332</v>
      </c>
      <c r="E284">
        <v>8.6980428723913459</v>
      </c>
      <c r="F284">
        <v>-3.5995774686359283E-3</v>
      </c>
    </row>
    <row r="285" spans="4:6">
      <c r="D285">
        <v>333</v>
      </c>
      <c r="E285">
        <v>8.7054349774477124</v>
      </c>
      <c r="F285">
        <v>3.7925275877306319E-3</v>
      </c>
    </row>
    <row r="286" spans="4:6">
      <c r="D286">
        <v>334</v>
      </c>
      <c r="E286">
        <v>8.6976695011059189</v>
      </c>
      <c r="F286">
        <v>-3.9729487540629549E-3</v>
      </c>
    </row>
    <row r="287" spans="4:6">
      <c r="D287">
        <v>335</v>
      </c>
      <c r="E287">
        <v>8.705440455464398</v>
      </c>
      <c r="F287">
        <v>3.7980056044162325E-3</v>
      </c>
    </row>
    <row r="288" spans="4:6">
      <c r="D288">
        <v>336</v>
      </c>
      <c r="E288">
        <v>8.6972915502666925</v>
      </c>
      <c r="F288">
        <v>-4.3508995932892702E-3</v>
      </c>
    </row>
    <row r="289" spans="4:6">
      <c r="D289">
        <v>337</v>
      </c>
      <c r="E289">
        <v>8.7054358825094216</v>
      </c>
      <c r="F289">
        <v>3.7934326494397652E-3</v>
      </c>
    </row>
    <row r="290" spans="4:6">
      <c r="D290">
        <v>338</v>
      </c>
      <c r="E290">
        <v>8.6969091776751224</v>
      </c>
      <c r="F290">
        <v>-4.7332721848594161E-3</v>
      </c>
    </row>
    <row r="291" spans="4:6">
      <c r="D291">
        <v>339</v>
      </c>
      <c r="E291">
        <v>8.7054215176302971</v>
      </c>
      <c r="F291">
        <v>3.7790677703153364E-3</v>
      </c>
    </row>
    <row r="292" spans="4:6">
      <c r="D292">
        <v>340</v>
      </c>
      <c r="E292">
        <v>8.6968481354257605</v>
      </c>
      <c r="F292">
        <v>-4.7943144342212918E-3</v>
      </c>
    </row>
    <row r="293" spans="4:6">
      <c r="D293">
        <v>341</v>
      </c>
      <c r="E293">
        <v>8.7053976127577339</v>
      </c>
      <c r="F293">
        <v>3.755162897752129E-3</v>
      </c>
    </row>
    <row r="294" spans="4:6">
      <c r="D294">
        <v>342</v>
      </c>
      <c r="E294">
        <v>8.6972713844308291</v>
      </c>
      <c r="F294">
        <v>-4.3710654291526652E-3</v>
      </c>
    </row>
    <row r="295" spans="4:6">
      <c r="D295">
        <v>343</v>
      </c>
      <c r="E295">
        <v>8.7053644129301269</v>
      </c>
      <c r="F295">
        <v>3.7219630701450512E-3</v>
      </c>
    </row>
    <row r="296" spans="4:6">
      <c r="D296">
        <v>344</v>
      </c>
      <c r="E296">
        <v>8.6976793996329675</v>
      </c>
      <c r="F296">
        <v>-3.9630502270142642E-3</v>
      </c>
    </row>
    <row r="297" spans="4:6">
      <c r="D297">
        <v>345</v>
      </c>
      <c r="E297">
        <v>8.7053221565003245</v>
      </c>
      <c r="F297">
        <v>3.6797066403426726E-3</v>
      </c>
    </row>
    <row r="298" spans="4:6">
      <c r="D298">
        <v>346</v>
      </c>
      <c r="E298">
        <v>8.6980725230891398</v>
      </c>
      <c r="F298">
        <v>-3.5699267708420024E-3</v>
      </c>
    </row>
    <row r="299" spans="4:6">
      <c r="D299">
        <v>347</v>
      </c>
      <c r="E299">
        <v>8.7052710753637736</v>
      </c>
      <c r="F299">
        <v>3.628625503791838E-3</v>
      </c>
    </row>
    <row r="300" spans="4:6">
      <c r="D300">
        <v>348</v>
      </c>
      <c r="E300">
        <v>8.6984510880923214</v>
      </c>
      <c r="F300">
        <v>-3.1913617676604389E-3</v>
      </c>
    </row>
    <row r="301" spans="4:6">
      <c r="D301">
        <v>349</v>
      </c>
      <c r="E301">
        <v>8.7052113951404113</v>
      </c>
      <c r="F301">
        <v>3.568945280429503E-3</v>
      </c>
    </row>
    <row r="302" spans="4:6">
      <c r="D302">
        <v>350</v>
      </c>
      <c r="E302">
        <v>8.6988154194381888</v>
      </c>
      <c r="F302">
        <v>-2.8270304217929976E-3</v>
      </c>
    </row>
    <row r="303" spans="4:6">
      <c r="D303">
        <v>351</v>
      </c>
      <c r="E303">
        <v>8.705143335378283</v>
      </c>
      <c r="F303">
        <v>3.5008855183011889E-3</v>
      </c>
    </row>
    <row r="304" spans="4:6">
      <c r="D304">
        <v>352</v>
      </c>
      <c r="E304">
        <v>8.6991658336773341</v>
      </c>
      <c r="F304">
        <v>-2.4766161826477173E-3</v>
      </c>
    </row>
    <row r="305" spans="4:6">
      <c r="D305">
        <v>353</v>
      </c>
      <c r="E305">
        <v>8.7050671097495655</v>
      </c>
      <c r="F305">
        <v>3.4246598895837366E-3</v>
      </c>
    </row>
    <row r="306" spans="4:6">
      <c r="D306">
        <v>354</v>
      </c>
      <c r="E306">
        <v>8.6995026393626738</v>
      </c>
      <c r="F306">
        <v>-2.1398104973080478E-3</v>
      </c>
    </row>
    <row r="307" spans="4:6">
      <c r="D307">
        <v>355</v>
      </c>
      <c r="E307">
        <v>8.7049829262112919</v>
      </c>
      <c r="F307">
        <v>3.3404763513100733E-3</v>
      </c>
    </row>
    <row r="308" spans="4:6">
      <c r="D308">
        <v>356</v>
      </c>
      <c r="E308">
        <v>8.6998261372840311</v>
      </c>
      <c r="F308">
        <v>-1.8163125759507182E-3</v>
      </c>
    </row>
    <row r="309" spans="4:6">
      <c r="D309">
        <v>357</v>
      </c>
      <c r="E309">
        <v>8.7048909871970626</v>
      </c>
      <c r="F309">
        <v>3.248537337080748E-3</v>
      </c>
    </row>
    <row r="310" spans="4:6">
      <c r="D310">
        <v>358</v>
      </c>
      <c r="E310">
        <v>8.7001366206954565</v>
      </c>
      <c r="F310">
        <v>-1.5058291645253519E-3</v>
      </c>
    </row>
    <row r="311" spans="4:6">
      <c r="D311">
        <v>359</v>
      </c>
      <c r="E311">
        <v>8.7047914897789678</v>
      </c>
      <c r="F311">
        <v>3.149039918985963E-3</v>
      </c>
    </row>
    <row r="312" spans="4:6">
      <c r="D312">
        <v>360</v>
      </c>
      <c r="E312">
        <v>8.7004343755430025</v>
      </c>
      <c r="F312">
        <v>-1.2080743169793351E-3</v>
      </c>
    </row>
    <row r="313" spans="4:6">
      <c r="D313">
        <v>361</v>
      </c>
      <c r="E313">
        <v>8.704684625828488</v>
      </c>
      <c r="F313">
        <v>3.0421759685062E-3</v>
      </c>
    </row>
    <row r="314" spans="4:6">
      <c r="D314">
        <v>362</v>
      </c>
      <c r="E314">
        <v>8.7007196806671807</v>
      </c>
      <c r="F314">
        <v>-9.2276919280109837E-4</v>
      </c>
    </row>
    <row r="315" spans="4:6">
      <c r="D315">
        <v>363</v>
      </c>
      <c r="E315">
        <v>8.7045705821791088</v>
      </c>
      <c r="F315">
        <v>2.9281323191270303E-3</v>
      </c>
    </row>
    <row r="316" spans="4:6">
      <c r="D316">
        <v>364</v>
      </c>
      <c r="E316">
        <v>8.7009928080161405</v>
      </c>
      <c r="F316">
        <v>-6.4964184384130874E-4</v>
      </c>
    </row>
    <row r="317" spans="4:6">
      <c r="D317">
        <v>365</v>
      </c>
      <c r="E317">
        <v>8.7044495407682767</v>
      </c>
      <c r="F317">
        <v>2.8070909082948958E-3</v>
      </c>
    </row>
    <row r="318" spans="4:6">
      <c r="D318">
        <v>366</v>
      </c>
      <c r="E318">
        <v>8.7012540228480493</v>
      </c>
      <c r="F318">
        <v>-3.8842701193253504E-4</v>
      </c>
    </row>
    <row r="319" spans="4:6">
      <c r="D319">
        <v>367</v>
      </c>
      <c r="E319">
        <v>8.7043216787915938</v>
      </c>
      <c r="F319">
        <v>2.6792289316119877E-3</v>
      </c>
    </row>
    <row r="320" spans="4:6">
      <c r="D320">
        <v>368</v>
      </c>
      <c r="E320">
        <v>8.7015035839158532</v>
      </c>
      <c r="F320">
        <v>-1.3886594412859665E-4</v>
      </c>
    </row>
    <row r="321" spans="4:6">
      <c r="D321">
        <v>369</v>
      </c>
      <c r="E321">
        <v>8.7041871688440864</v>
      </c>
      <c r="F321">
        <v>2.544718984104577E-3</v>
      </c>
    </row>
    <row r="322" spans="4:6">
      <c r="D322">
        <v>370</v>
      </c>
      <c r="E322">
        <v>8.7017417436523861</v>
      </c>
      <c r="F322">
        <v>9.9293792404253622E-5</v>
      </c>
    </row>
    <row r="323" spans="4:6">
      <c r="D323">
        <v>371</v>
      </c>
      <c r="E323">
        <v>8.7040461790526873</v>
      </c>
      <c r="F323">
        <v>2.4037291927054838E-3</v>
      </c>
    </row>
    <row r="324" spans="4:6">
      <c r="D324">
        <v>372</v>
      </c>
      <c r="E324">
        <v>8.7019687483628889</v>
      </c>
      <c r="F324">
        <v>3.2629850290710749E-4</v>
      </c>
    </row>
    <row r="325" spans="4:6">
      <c r="D325">
        <v>373</v>
      </c>
      <c r="E325">
        <v>8.7038988732053628</v>
      </c>
      <c r="F325">
        <v>2.256423345381009E-3</v>
      </c>
    </row>
    <row r="326" spans="4:6">
      <c r="D326">
        <v>374</v>
      </c>
      <c r="E326">
        <v>8.7021848383856604</v>
      </c>
      <c r="F326">
        <v>5.42388525678561E-4</v>
      </c>
    </row>
    <row r="327" spans="4:6">
      <c r="D327">
        <v>375</v>
      </c>
      <c r="E327">
        <v>8.7037454108893755</v>
      </c>
      <c r="F327">
        <v>2.1029610293936685E-3</v>
      </c>
    </row>
    <row r="328" spans="4:6">
      <c r="D328">
        <v>376</v>
      </c>
      <c r="E328">
        <v>8.7023902482676245</v>
      </c>
      <c r="F328">
        <v>7.477984076427191E-4</v>
      </c>
    </row>
    <row r="329" spans="4:6">
      <c r="D329">
        <v>377</v>
      </c>
      <c r="E329">
        <v>8.7035859475992154</v>
      </c>
      <c r="F329">
        <v>1.943497739233635E-3</v>
      </c>
    </row>
    <row r="330" spans="4:6">
      <c r="D330">
        <v>378</v>
      </c>
      <c r="E330">
        <v>8.7025852069227714</v>
      </c>
      <c r="F330">
        <v>9.4275706278956761E-4</v>
      </c>
    </row>
    <row r="331" spans="4:6">
      <c r="D331">
        <v>379</v>
      </c>
      <c r="E331">
        <v>8.7034206348726375</v>
      </c>
      <c r="F331">
        <v>1.7781850126556975E-3</v>
      </c>
    </row>
    <row r="332" spans="4:6">
      <c r="D332">
        <v>380</v>
      </c>
      <c r="E332">
        <v>8.7027699377933647</v>
      </c>
      <c r="F332">
        <v>1.1274879333829091E-3</v>
      </c>
    </row>
    <row r="333" spans="4:6">
      <c r="D333">
        <v>381</v>
      </c>
      <c r="E333">
        <v>8.7032496203875382</v>
      </c>
      <c r="F333">
        <v>1.6071705275564341E-3</v>
      </c>
    </row>
    <row r="334" spans="4:6">
      <c r="D334">
        <v>382</v>
      </c>
      <c r="E334">
        <v>8.7029446589996073</v>
      </c>
      <c r="F334">
        <v>1.302209139625532E-3</v>
      </c>
    </row>
    <row r="335" spans="4:6">
      <c r="D335">
        <v>383</v>
      </c>
      <c r="E335">
        <v>8.7030730480905749</v>
      </c>
      <c r="F335">
        <v>1.4305982305931053E-3</v>
      </c>
    </row>
    <row r="336" spans="4:6">
      <c r="D336">
        <v>384</v>
      </c>
      <c r="E336">
        <v>8.7031095834938217</v>
      </c>
      <c r="F336">
        <v>1.4671336338398788E-3</v>
      </c>
    </row>
    <row r="337" spans="4:6">
      <c r="D337">
        <v>385</v>
      </c>
      <c r="E337">
        <v>8.7028910582875891</v>
      </c>
      <c r="F337">
        <v>1.2486084276073228E-3</v>
      </c>
    </row>
    <row r="338" spans="4:6">
      <c r="D338">
        <v>386</v>
      </c>
      <c r="E338">
        <v>8.703264919191799</v>
      </c>
      <c r="F338">
        <v>1.6224693318172001E-3</v>
      </c>
    </row>
    <row r="339" spans="4:6">
      <c r="D339">
        <v>387</v>
      </c>
      <c r="E339">
        <v>8.7027037877639088</v>
      </c>
      <c r="F339">
        <v>1.0613379039270399E-3</v>
      </c>
    </row>
    <row r="340" spans="4:6">
      <c r="D340">
        <v>388</v>
      </c>
      <c r="E340">
        <v>8.7034108691212371</v>
      </c>
      <c r="F340">
        <v>1.7684192612552607E-3</v>
      </c>
    </row>
    <row r="341" spans="4:6">
      <c r="D341">
        <v>389</v>
      </c>
      <c r="E341">
        <v>8.7025113698717096</v>
      </c>
      <c r="F341">
        <v>8.6892001172778066E-4</v>
      </c>
    </row>
    <row r="342" spans="4:6">
      <c r="D342">
        <v>390</v>
      </c>
      <c r="E342">
        <v>8.7035476315513698</v>
      </c>
      <c r="F342">
        <v>1.9051816913879804E-3</v>
      </c>
    </row>
    <row r="343" spans="4:6">
      <c r="D343">
        <v>391</v>
      </c>
      <c r="E343">
        <v>8.7023139346373473</v>
      </c>
      <c r="F343">
        <v>6.7148477736544976E-4</v>
      </c>
    </row>
    <row r="344" spans="4:6">
      <c r="D344">
        <v>392</v>
      </c>
      <c r="E344">
        <v>8.7036754001170564</v>
      </c>
      <c r="F344">
        <v>2.0329502570746172E-3</v>
      </c>
    </row>
    <row r="345" spans="4:6">
      <c r="D345">
        <v>393</v>
      </c>
      <c r="E345">
        <v>8.7021116088435981</v>
      </c>
      <c r="F345">
        <v>4.6915898361632458E-4</v>
      </c>
    </row>
    <row r="346" spans="4:6">
      <c r="D346">
        <v>394</v>
      </c>
      <c r="E346">
        <v>8.7037943639612383</v>
      </c>
      <c r="F346">
        <v>2.1519141012564802E-3</v>
      </c>
    </row>
    <row r="347" spans="4:6">
      <c r="D347">
        <v>395</v>
      </c>
      <c r="E347">
        <v>8.7019045161355404</v>
      </c>
      <c r="F347">
        <v>2.620662755585812E-4</v>
      </c>
    </row>
    <row r="348" spans="4:6">
      <c r="D348">
        <v>396</v>
      </c>
      <c r="E348">
        <v>8.7039047078353491</v>
      </c>
      <c r="F348">
        <v>2.2622579753672767E-3</v>
      </c>
    </row>
    <row r="349" spans="4:6">
      <c r="D349">
        <v>397</v>
      </c>
      <c r="E349">
        <v>8.7016927770955679</v>
      </c>
      <c r="F349">
        <v>5.0327235586067331E-5</v>
      </c>
    </row>
    <row r="350" spans="4:6">
      <c r="D350">
        <v>398</v>
      </c>
      <c r="E350">
        <v>8.7040066122333055</v>
      </c>
      <c r="F350">
        <v>2.3641623733237083E-3</v>
      </c>
    </row>
    <row r="351" spans="4:6">
      <c r="D351">
        <v>399</v>
      </c>
      <c r="E351">
        <v>8.701476509340317</v>
      </c>
      <c r="F351">
        <v>-1.6594051966478673E-4</v>
      </c>
    </row>
    <row r="352" spans="4:6">
      <c r="D352">
        <v>400</v>
      </c>
      <c r="E352">
        <v>8.7041002534991669</v>
      </c>
      <c r="F352">
        <v>2.4578036391851299E-3</v>
      </c>
    </row>
    <row r="353" spans="4:6">
      <c r="D353">
        <v>401</v>
      </c>
      <c r="E353">
        <v>8.7012558275890175</v>
      </c>
      <c r="F353">
        <v>-3.8662227096430968E-4</v>
      </c>
    </row>
    <row r="354" spans="4:6">
      <c r="D354">
        <v>402</v>
      </c>
      <c r="E354">
        <v>8.7041858039374187</v>
      </c>
      <c r="F354">
        <v>2.5433540774368879E-3</v>
      </c>
    </row>
    <row r="355" spans="4:6">
      <c r="D355">
        <v>403</v>
      </c>
      <c r="E355">
        <v>8.7010308437563122</v>
      </c>
      <c r="F355">
        <v>-6.1160610366961521E-4</v>
      </c>
    </row>
    <row r="356" spans="4:6">
      <c r="D356">
        <v>404</v>
      </c>
      <c r="E356">
        <v>8.7042634319177186</v>
      </c>
      <c r="F356">
        <v>2.6209820577367537E-3</v>
      </c>
    </row>
    <row r="357" spans="4:6">
      <c r="D357">
        <v>405</v>
      </c>
      <c r="E357">
        <v>8.7008016670278003</v>
      </c>
      <c r="F357">
        <v>-8.4078283218147476E-4</v>
      </c>
    </row>
    <row r="358" spans="4:6">
      <c r="D358">
        <v>406</v>
      </c>
      <c r="E358">
        <v>8.7043333019929037</v>
      </c>
      <c r="F358">
        <v>2.6908521329218615E-3</v>
      </c>
    </row>
    <row r="359" spans="4:6">
      <c r="D359">
        <v>407</v>
      </c>
      <c r="E359">
        <v>8.7005684039269884</v>
      </c>
      <c r="F359">
        <v>-1.0740459329934282E-3</v>
      </c>
    </row>
    <row r="360" spans="4:6">
      <c r="D360">
        <v>408</v>
      </c>
      <c r="E360">
        <v>8.7043955749752016</v>
      </c>
      <c r="F360">
        <v>2.7531251152197456E-3</v>
      </c>
    </row>
    <row r="361" spans="4:6">
      <c r="D361">
        <v>409</v>
      </c>
      <c r="E361">
        <v>8.7003311583930145</v>
      </c>
      <c r="F361">
        <v>-1.3112914669672904E-3</v>
      </c>
    </row>
    <row r="362" spans="4:6">
      <c r="D362">
        <v>410</v>
      </c>
      <c r="E362">
        <v>8.7044504080612182</v>
      </c>
      <c r="F362">
        <v>2.8079582012363602E-3</v>
      </c>
    </row>
    <row r="363" spans="4:6">
      <c r="D363">
        <v>411</v>
      </c>
      <c r="E363">
        <v>8.7000900318581262</v>
      </c>
      <c r="F363">
        <v>-1.5524180018555711E-3</v>
      </c>
    </row>
    <row r="364" spans="4:6">
      <c r="D364">
        <v>412</v>
      </c>
      <c r="E364">
        <v>8.7044979549045003</v>
      </c>
      <c r="F364">
        <v>2.8555050445184804E-3</v>
      </c>
    </row>
    <row r="365" spans="4:6">
      <c r="D365">
        <v>413</v>
      </c>
      <c r="E365">
        <v>8.6998451233012926</v>
      </c>
      <c r="F365">
        <v>-1.7973265586892495E-3</v>
      </c>
    </row>
    <row r="366" spans="4:6">
      <c r="D366">
        <v>414</v>
      </c>
      <c r="E366">
        <v>8.704538365722513</v>
      </c>
      <c r="F366">
        <v>2.8959158625312398E-3</v>
      </c>
    </row>
    <row r="367" spans="4:6">
      <c r="D367">
        <v>415</v>
      </c>
      <c r="E367">
        <v>8.6995965293261026</v>
      </c>
      <c r="F367">
        <v>-2.0459205338791975E-3</v>
      </c>
    </row>
    <row r="368" spans="4:6">
      <c r="D368">
        <v>416</v>
      </c>
      <c r="E368">
        <v>8.7045717873749595</v>
      </c>
      <c r="F368">
        <v>2.9293375149777034E-3</v>
      </c>
    </row>
    <row r="369" spans="4:6">
      <c r="D369">
        <v>417</v>
      </c>
      <c r="E369">
        <v>8.6993443442230944</v>
      </c>
      <c r="F369">
        <v>-2.2981056368873709E-3</v>
      </c>
    </row>
    <row r="370" spans="4:6">
      <c r="D370">
        <v>418</v>
      </c>
      <c r="E370">
        <v>8.7045983634609332</v>
      </c>
      <c r="F370">
        <v>2.9559136009513765E-3</v>
      </c>
    </row>
    <row r="371" spans="4:6">
      <c r="D371">
        <v>419</v>
      </c>
      <c r="E371">
        <v>8.6990886600236497</v>
      </c>
      <c r="F371">
        <v>-2.5537898363321432E-3</v>
      </c>
    </row>
    <row r="372" spans="4:6">
      <c r="D372">
        <v>420</v>
      </c>
      <c r="E372">
        <v>8.7046182343897129</v>
      </c>
      <c r="F372">
        <v>2.9757845297311292E-3</v>
      </c>
    </row>
    <row r="373" spans="4:6">
      <c r="D373">
        <v>421</v>
      </c>
      <c r="E373">
        <v>8.6988295665704367</v>
      </c>
      <c r="F373">
        <v>-2.8128832895450984E-3</v>
      </c>
    </row>
    <row r="374" spans="4:6">
      <c r="D374">
        <v>422</v>
      </c>
      <c r="E374">
        <v>8.7046315374766685</v>
      </c>
      <c r="F374">
        <v>2.9890876166867031E-3</v>
      </c>
    </row>
    <row r="375" spans="4:6">
      <c r="D375">
        <v>423</v>
      </c>
      <c r="E375">
        <v>8.6985671515698417</v>
      </c>
      <c r="F375">
        <v>-3.0752982901400827E-3</v>
      </c>
    </row>
    <row r="376" spans="4:6">
      <c r="D376">
        <v>424</v>
      </c>
      <c r="E376">
        <v>8.7046384070112452</v>
      </c>
      <c r="F376">
        <v>2.9959571512634398E-3</v>
      </c>
    </row>
    <row r="377" spans="4:6">
      <c r="D377">
        <v>425</v>
      </c>
      <c r="E377">
        <v>8.6983015006520823</v>
      </c>
      <c r="F377">
        <v>-3.3409492078995129E-3</v>
      </c>
    </row>
    <row r="378" spans="4:6">
      <c r="D378">
        <v>426</v>
      </c>
      <c r="E378">
        <v>8.7046389743391845</v>
      </c>
      <c r="F378">
        <v>2.9965244792027335E-3</v>
      </c>
    </row>
    <row r="379" spans="4:6">
      <c r="D379">
        <v>427</v>
      </c>
      <c r="E379">
        <v>8.6980326974265179</v>
      </c>
      <c r="F379">
        <v>-3.609752433463953E-3</v>
      </c>
    </row>
    <row r="380" spans="4:6">
      <c r="D380">
        <v>428</v>
      </c>
      <c r="E380">
        <v>8.7046333679378733</v>
      </c>
      <c r="F380">
        <v>2.9909180778915356E-3</v>
      </c>
    </row>
    <row r="381" spans="4:6">
      <c r="D381">
        <v>429</v>
      </c>
      <c r="E381">
        <v>8.6977608235242343</v>
      </c>
      <c r="F381">
        <v>-3.8816263357475123E-3</v>
      </c>
    </row>
    <row r="382" spans="4:6">
      <c r="D382">
        <v>430</v>
      </c>
      <c r="E382">
        <v>8.7046217134793551</v>
      </c>
      <c r="F382">
        <v>2.9792636193732847E-3</v>
      </c>
    </row>
    <row r="383" spans="4:6">
      <c r="D383">
        <v>431</v>
      </c>
      <c r="E383">
        <v>8.6979729516237381</v>
      </c>
      <c r="F383">
        <v>-3.6694982362437401E-3</v>
      </c>
    </row>
    <row r="384" spans="4:6">
      <c r="D384">
        <v>432</v>
      </c>
      <c r="E384">
        <v>8.7046041339153568</v>
      </c>
      <c r="F384">
        <v>2.9616840553750023E-3</v>
      </c>
    </row>
    <row r="385" spans="4:6">
      <c r="D385">
        <v>433</v>
      </c>
      <c r="E385">
        <v>8.6982656047106683</v>
      </c>
      <c r="F385">
        <v>-3.3768451493134677E-3</v>
      </c>
    </row>
    <row r="386" spans="4:6">
      <c r="D386">
        <v>434</v>
      </c>
      <c r="E386">
        <v>8.704580749535042</v>
      </c>
      <c r="F386">
        <v>2.9382996750602075E-3</v>
      </c>
    </row>
    <row r="387" spans="4:6">
      <c r="D387">
        <v>435</v>
      </c>
      <c r="E387">
        <v>8.6985491798521153</v>
      </c>
      <c r="F387">
        <v>-3.0932700078665221E-3</v>
      </c>
    </row>
    <row r="388" spans="4:6">
      <c r="D388">
        <v>436</v>
      </c>
      <c r="E388">
        <v>8.7045516780344236</v>
      </c>
      <c r="F388">
        <v>2.9092281744418358E-3</v>
      </c>
    </row>
    <row r="389" spans="4:6">
      <c r="D389">
        <v>437</v>
      </c>
      <c r="E389">
        <v>8.6988238401321496</v>
      </c>
      <c r="F389">
        <v>-2.8186097278322109E-3</v>
      </c>
    </row>
    <row r="390" spans="4:6">
      <c r="D390">
        <v>438</v>
      </c>
      <c r="E390">
        <v>8.7045170345745149</v>
      </c>
      <c r="F390">
        <v>2.8745847145330572E-3</v>
      </c>
    </row>
    <row r="391" spans="4:6">
      <c r="D391">
        <v>439</v>
      </c>
      <c r="E391">
        <v>8.6990897453121114</v>
      </c>
      <c r="F391">
        <v>-2.5527045478703769E-3</v>
      </c>
    </row>
    <row r="392" spans="4:6">
      <c r="D392">
        <v>440</v>
      </c>
      <c r="E392">
        <v>8.7044769318610218</v>
      </c>
      <c r="F392">
        <v>2.8344820010399729E-3</v>
      </c>
    </row>
    <row r="393" spans="4:6">
      <c r="D393">
        <v>441</v>
      </c>
      <c r="E393">
        <v>8.6993470519028886</v>
      </c>
      <c r="F393">
        <v>-2.2953979570932148E-3</v>
      </c>
    </row>
    <row r="394" spans="4:6">
      <c r="D394">
        <v>442</v>
      </c>
      <c r="E394">
        <v>8.7044314801817162</v>
      </c>
      <c r="F394">
        <v>2.789030321734387E-3</v>
      </c>
    </row>
    <row r="395" spans="4:6">
      <c r="D395">
        <v>443</v>
      </c>
      <c r="E395">
        <v>8.6995959132430318</v>
      </c>
      <c r="F395">
        <v>-2.0465366169499788E-3</v>
      </c>
    </row>
    <row r="396" spans="4:6">
      <c r="D396">
        <v>444</v>
      </c>
      <c r="E396">
        <v>8.7043807874887271</v>
      </c>
      <c r="F396">
        <v>2.7383376287453132E-3</v>
      </c>
    </row>
    <row r="397" spans="4:6">
      <c r="D397">
        <v>445</v>
      </c>
      <c r="E397">
        <v>8.6998364795780478</v>
      </c>
      <c r="F397">
        <v>-1.8059702819339662E-3</v>
      </c>
    </row>
    <row r="398" spans="4:6">
      <c r="D398">
        <v>446</v>
      </c>
      <c r="E398">
        <v>8.7043249594330003</v>
      </c>
      <c r="F398">
        <v>2.6825095730185211E-3</v>
      </c>
    </row>
    <row r="399" spans="4:6">
      <c r="D399">
        <v>447</v>
      </c>
      <c r="E399">
        <v>8.7000688981338747</v>
      </c>
      <c r="F399">
        <v>-1.5735517261070697E-3</v>
      </c>
    </row>
    <row r="400" spans="4:6">
      <c r="D400">
        <v>448</v>
      </c>
      <c r="E400">
        <v>8.7042640994376317</v>
      </c>
      <c r="F400">
        <v>2.6216495776498761E-3</v>
      </c>
    </row>
    <row r="401" spans="4:6">
      <c r="D401">
        <v>449</v>
      </c>
      <c r="E401">
        <v>8.7002933131833302</v>
      </c>
      <c r="F401">
        <v>-1.3491366766515966E-3</v>
      </c>
    </row>
    <row r="402" spans="4:6">
      <c r="D402">
        <v>450</v>
      </c>
      <c r="E402">
        <v>8.7041983087522912</v>
      </c>
      <c r="F402">
        <v>2.5558588923093595E-3</v>
      </c>
    </row>
    <row r="403" spans="4:6">
      <c r="D403">
        <v>451</v>
      </c>
      <c r="E403">
        <v>8.7005098661181322</v>
      </c>
      <c r="F403">
        <v>-1.1325837418496576E-3</v>
      </c>
    </row>
    <row r="404" spans="4:6">
      <c r="D404">
        <v>452</v>
      </c>
      <c r="E404">
        <v>8.7041276864833836</v>
      </c>
      <c r="F404">
        <v>2.4852366234018319E-3</v>
      </c>
    </row>
    <row r="405" spans="4:6">
      <c r="D405">
        <v>453</v>
      </c>
      <c r="E405">
        <v>8.7007186955093321</v>
      </c>
      <c r="F405">
        <v>-9.2375435064973033E-4</v>
      </c>
    </row>
    <row r="406" spans="4:6">
      <c r="D406">
        <v>454</v>
      </c>
      <c r="E406">
        <v>8.704052329679401</v>
      </c>
      <c r="F406">
        <v>2.4098798194192028E-3</v>
      </c>
    </row>
    <row r="407" spans="4:6">
      <c r="D407">
        <v>455</v>
      </c>
      <c r="E407">
        <v>8.7009199371934418</v>
      </c>
      <c r="F407">
        <v>-7.2251266653999835E-4</v>
      </c>
    </row>
    <row r="408" spans="4:6">
      <c r="D408">
        <v>456</v>
      </c>
      <c r="E408">
        <v>8.7039723333498689</v>
      </c>
      <c r="F408">
        <v>2.3298834898870524E-3</v>
      </c>
    </row>
    <row r="409" spans="4:6">
      <c r="D409">
        <v>457</v>
      </c>
      <c r="E409">
        <v>8.7011137243076657</v>
      </c>
      <c r="F409">
        <v>-5.2872555231608942E-4</v>
      </c>
    </row>
    <row r="410" spans="4:6">
      <c r="D410">
        <v>458</v>
      </c>
      <c r="E410">
        <v>8.7038877905315779</v>
      </c>
      <c r="F410">
        <v>2.2453406715960966E-3</v>
      </c>
    </row>
    <row r="411" spans="4:6">
      <c r="D411">
        <v>459</v>
      </c>
      <c r="E411">
        <v>8.7013001873727625</v>
      </c>
      <c r="F411">
        <v>-3.4226248721935804E-4</v>
      </c>
    </row>
    <row r="412" spans="4:6">
      <c r="D412">
        <v>460</v>
      </c>
      <c r="E412">
        <v>8.7037987923309572</v>
      </c>
      <c r="F412">
        <v>2.1563424709754031E-3</v>
      </c>
    </row>
    <row r="413" spans="4:6">
      <c r="D413">
        <v>461</v>
      </c>
      <c r="E413">
        <v>8.7014794543470124</v>
      </c>
      <c r="F413">
        <v>-1.629955129693883E-4</v>
      </c>
    </row>
    <row r="414" spans="4:6">
      <c r="D414">
        <v>462</v>
      </c>
      <c r="E414">
        <v>8.7037054279726753</v>
      </c>
      <c r="F414">
        <v>2.0629781126935143E-3</v>
      </c>
    </row>
    <row r="415" spans="4:6">
      <c r="D415">
        <v>463</v>
      </c>
      <c r="E415">
        <v>8.7016516506821198</v>
      </c>
      <c r="F415">
        <v>9.2008221379558108E-6</v>
      </c>
    </row>
    <row r="416" spans="4:6">
      <c r="D416">
        <v>464</v>
      </c>
      <c r="E416">
        <v>8.7036077848316502</v>
      </c>
      <c r="F416">
        <v>1.9653349716683977E-3</v>
      </c>
    </row>
    <row r="417" spans="4:6">
      <c r="D417">
        <v>465</v>
      </c>
      <c r="E417">
        <v>8.7018168993870351</v>
      </c>
      <c r="F417">
        <v>1.7444952705325534E-4</v>
      </c>
    </row>
    <row r="418" spans="4:6">
      <c r="D418">
        <v>466</v>
      </c>
      <c r="E418">
        <v>8.7035059484974475</v>
      </c>
      <c r="F418">
        <v>1.8634986374657103E-3</v>
      </c>
    </row>
    <row r="419" spans="4:6">
      <c r="D419">
        <v>467</v>
      </c>
      <c r="E419">
        <v>8.7019753210738973</v>
      </c>
      <c r="F419">
        <v>3.3287121391545327E-4</v>
      </c>
    </row>
    <row r="420" spans="4:6">
      <c r="D420">
        <v>468</v>
      </c>
      <c r="E420">
        <v>8.7034000027970464</v>
      </c>
      <c r="F420">
        <v>1.7575529370645881E-3</v>
      </c>
    </row>
    <row r="421" spans="4:6">
      <c r="D421">
        <v>469</v>
      </c>
      <c r="E421">
        <v>8.7021270340198242</v>
      </c>
      <c r="F421">
        <v>4.845841598424272E-4</v>
      </c>
    </row>
    <row r="422" spans="4:6">
      <c r="D422">
        <v>470</v>
      </c>
      <c r="E422">
        <v>8.7032900298462721</v>
      </c>
      <c r="F422">
        <v>1.6475799862902818E-3</v>
      </c>
    </row>
    <row r="423" spans="4:6">
      <c r="D423">
        <v>471</v>
      </c>
      <c r="E423">
        <v>8.7022721542221202</v>
      </c>
      <c r="F423">
        <v>6.2970436213838354E-4</v>
      </c>
    </row>
    <row r="424" spans="4:6">
      <c r="D424">
        <v>472</v>
      </c>
      <c r="E424">
        <v>8.7031761100920164</v>
      </c>
      <c r="F424">
        <v>1.533660232034606E-3</v>
      </c>
    </row>
    <row r="425" spans="4:6">
      <c r="D425">
        <v>473</v>
      </c>
      <c r="E425">
        <v>8.7024107954415708</v>
      </c>
      <c r="F425">
        <v>7.6834558158900279E-4</v>
      </c>
    </row>
    <row r="426" spans="4:6">
      <c r="D426">
        <v>474</v>
      </c>
      <c r="E426">
        <v>8.7030583223351137</v>
      </c>
      <c r="F426">
        <v>1.415872475131863E-3</v>
      </c>
    </row>
    <row r="427" spans="4:6">
      <c r="D427">
        <v>475</v>
      </c>
      <c r="E427">
        <v>8.7025430692553645</v>
      </c>
      <c r="F427">
        <v>9.0061939538266245E-4</v>
      </c>
    </row>
    <row r="428" spans="4:6">
      <c r="D428">
        <v>476</v>
      </c>
      <c r="E428">
        <v>8.7029367437954761</v>
      </c>
      <c r="F428">
        <v>1.2942939354942951E-3</v>
      </c>
    </row>
    <row r="429" spans="4:6">
      <c r="D429">
        <v>477</v>
      </c>
      <c r="E429">
        <v>8.7026690851095392</v>
      </c>
      <c r="F429">
        <v>1.0266352495573727E-3</v>
      </c>
    </row>
    <row r="430" spans="4:6">
      <c r="D430">
        <v>478</v>
      </c>
      <c r="E430">
        <v>8.7028114501170624</v>
      </c>
      <c r="F430">
        <v>1.1690002570805547E-3</v>
      </c>
    </row>
    <row r="431" spans="4:6">
      <c r="D431">
        <v>479</v>
      </c>
      <c r="E431">
        <v>8.7027889503638427</v>
      </c>
      <c r="F431">
        <v>1.1465005038608922E-3</v>
      </c>
    </row>
    <row r="432" spans="4:6">
      <c r="D432">
        <v>480</v>
      </c>
      <c r="E432">
        <v>8.7026825154285028</v>
      </c>
      <c r="F432">
        <v>1.040065568520987E-3</v>
      </c>
    </row>
    <row r="433" spans="4:6">
      <c r="D433">
        <v>481</v>
      </c>
      <c r="E433">
        <v>8.7029027703341963</v>
      </c>
      <c r="F433">
        <v>1.260320474214538E-3</v>
      </c>
    </row>
    <row r="434" spans="4:6">
      <c r="D434">
        <v>482</v>
      </c>
      <c r="E434">
        <v>8.7025500123666077</v>
      </c>
      <c r="F434">
        <v>9.0756250662593629E-4</v>
      </c>
    </row>
    <row r="435" spans="4:6">
      <c r="D435">
        <v>483</v>
      </c>
      <c r="E435">
        <v>8.7030106483466678</v>
      </c>
      <c r="F435">
        <v>1.368198486686012E-3</v>
      </c>
    </row>
    <row r="436" spans="4:6">
      <c r="D436">
        <v>484</v>
      </c>
      <c r="E436">
        <v>8.7024140121156375</v>
      </c>
      <c r="F436">
        <v>7.7156225565566672E-4</v>
      </c>
    </row>
    <row r="437" spans="4:6">
      <c r="D437">
        <v>485</v>
      </c>
      <c r="E437">
        <v>8.7031126857728349</v>
      </c>
      <c r="F437">
        <v>1.4702359128531128E-3</v>
      </c>
    </row>
    <row r="438" spans="4:6">
      <c r="D438">
        <v>486</v>
      </c>
      <c r="E438">
        <v>8.7022745844365286</v>
      </c>
      <c r="F438">
        <v>6.321345765467612E-4</v>
      </c>
    </row>
    <row r="439" spans="4:6">
      <c r="D439">
        <v>487</v>
      </c>
      <c r="E439">
        <v>8.7032089820761076</v>
      </c>
      <c r="F439">
        <v>1.5665322161257933E-3</v>
      </c>
    </row>
    <row r="440" spans="4:6">
      <c r="D440">
        <v>488</v>
      </c>
      <c r="E440">
        <v>8.7021317976982431</v>
      </c>
      <c r="F440">
        <v>4.8934783826126704E-4</v>
      </c>
    </row>
    <row r="441" spans="4:6">
      <c r="D441">
        <v>489</v>
      </c>
      <c r="E441">
        <v>8.7032996348556217</v>
      </c>
      <c r="F441">
        <v>1.6571849956399376E-3</v>
      </c>
    </row>
    <row r="442" spans="4:6">
      <c r="D442">
        <v>490</v>
      </c>
      <c r="E442">
        <v>8.7019857189142744</v>
      </c>
      <c r="F442">
        <v>3.4326905429260535E-4</v>
      </c>
    </row>
    <row r="443" spans="4:6">
      <c r="D443">
        <v>491</v>
      </c>
      <c r="E443">
        <v>8.7033847398821376</v>
      </c>
      <c r="F443">
        <v>1.7422900221557569E-3</v>
      </c>
    </row>
    <row r="444" spans="4:6">
      <c r="D444">
        <v>492</v>
      </c>
      <c r="E444">
        <v>8.7018364137640898</v>
      </c>
      <c r="F444">
        <v>1.9396390410797437E-4</v>
      </c>
    </row>
    <row r="445" spans="4:6">
      <c r="D445">
        <v>493</v>
      </c>
      <c r="E445">
        <v>8.7034643911460474</v>
      </c>
      <c r="F445">
        <v>1.8219412860656092E-3</v>
      </c>
    </row>
    <row r="446" spans="4:6">
      <c r="D446">
        <v>494</v>
      </c>
      <c r="E446">
        <v>8.7016839466358427</v>
      </c>
      <c r="F446">
        <v>4.1496775860849766E-5</v>
      </c>
    </row>
    <row r="447" spans="4:6">
      <c r="D447">
        <v>495</v>
      </c>
      <c r="E447">
        <v>8.7035386808869752</v>
      </c>
      <c r="F447">
        <v>1.8962310269934335E-3</v>
      </c>
    </row>
    <row r="448" spans="4:6">
      <c r="D448">
        <v>496</v>
      </c>
      <c r="E448">
        <v>8.7015283806525723</v>
      </c>
      <c r="F448">
        <v>-1.1406920740952842E-4</v>
      </c>
    </row>
    <row r="449" spans="4:6">
      <c r="D449">
        <v>497</v>
      </c>
      <c r="E449">
        <v>8.7036076996290799</v>
      </c>
      <c r="F449">
        <v>1.9652497690980653E-3</v>
      </c>
    </row>
    <row r="450" spans="4:6">
      <c r="D450">
        <v>498</v>
      </c>
      <c r="E450">
        <v>8.7013697776830892</v>
      </c>
      <c r="F450">
        <v>-2.72672176892641E-4</v>
      </c>
    </row>
    <row r="451" spans="4:6">
      <c r="D451">
        <v>499</v>
      </c>
      <c r="E451">
        <v>8.7036715362326813</v>
      </c>
      <c r="F451">
        <v>2.0290863726994957E-3</v>
      </c>
    </row>
    <row r="452" spans="4:6">
      <c r="D452">
        <v>500</v>
      </c>
      <c r="E452">
        <v>8.7012081983928145</v>
      </c>
      <c r="F452">
        <v>-4.3425146716735696E-4</v>
      </c>
    </row>
  </sheetData>
  <phoneticPr fontId="5" type="noConversion"/>
  <pageMargins left="0.75" right="0.75" top="1" bottom="1"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452"/>
  <sheetViews>
    <sheetView workbookViewId="0">
      <selection activeCell="A2" sqref="A2"/>
    </sheetView>
  </sheetViews>
  <sheetFormatPr baseColWidth="10" defaultColWidth="8.83203125" defaultRowHeight="13"/>
  <cols>
    <col min="4" max="4" width="14.6640625" customWidth="1"/>
  </cols>
  <sheetData>
    <row r="1" spans="1:6" ht="14">
      <c r="A1" s="5" t="s">
        <v>39</v>
      </c>
      <c r="B1" s="2"/>
      <c r="D1" s="5" t="s">
        <v>5</v>
      </c>
      <c r="E1" s="5" t="s">
        <v>12</v>
      </c>
      <c r="F1" s="5" t="s">
        <v>13</v>
      </c>
    </row>
    <row r="2" spans="1:6" ht="14">
      <c r="A2" s="2" t="s">
        <v>0</v>
      </c>
      <c r="B2" s="2">
        <v>50</v>
      </c>
      <c r="D2">
        <v>50</v>
      </c>
      <c r="E2">
        <v>8.6450389975657504</v>
      </c>
      <c r="F2">
        <v>-5.660345229423136E-2</v>
      </c>
    </row>
    <row r="3" spans="1:6" ht="14">
      <c r="A3" s="2" t="s">
        <v>9</v>
      </c>
      <c r="B3" s="2">
        <v>55</v>
      </c>
      <c r="D3">
        <v>51</v>
      </c>
      <c r="E3">
        <v>8.7017632548065276</v>
      </c>
      <c r="F3">
        <v>1.2080494654576057E-4</v>
      </c>
    </row>
    <row r="4" spans="1:6" ht="14">
      <c r="A4" s="2" t="s">
        <v>3</v>
      </c>
      <c r="B4" s="2">
        <v>0.3</v>
      </c>
      <c r="D4">
        <v>52</v>
      </c>
      <c r="E4">
        <v>8.6471604061721656</v>
      </c>
      <c r="F4">
        <v>-5.4482043687816173E-2</v>
      </c>
    </row>
    <row r="5" spans="1:6" ht="14">
      <c r="A5" s="2" t="s">
        <v>4</v>
      </c>
      <c r="B5" s="2">
        <v>0.01</v>
      </c>
      <c r="D5">
        <v>53</v>
      </c>
      <c r="E5">
        <v>8.701754400892046</v>
      </c>
      <c r="F5">
        <v>1.1195103206418366E-4</v>
      </c>
    </row>
    <row r="6" spans="1:6" ht="14">
      <c r="A6" s="2" t="s">
        <v>1</v>
      </c>
      <c r="B6" s="2">
        <v>1</v>
      </c>
      <c r="D6">
        <v>54</v>
      </c>
      <c r="E6">
        <v>8.6491278438091985</v>
      </c>
      <c r="F6">
        <v>-5.2514606050783286E-2</v>
      </c>
    </row>
    <row r="7" spans="1:6" ht="14">
      <c r="A7" s="2" t="s">
        <v>2</v>
      </c>
      <c r="B7" s="2">
        <v>0</v>
      </c>
      <c r="D7">
        <v>55</v>
      </c>
      <c r="E7">
        <v>8.7017464857612943</v>
      </c>
      <c r="F7">
        <v>1.0403590131247142E-4</v>
      </c>
    </row>
    <row r="8" spans="1:6" ht="14">
      <c r="A8" s="2" t="s">
        <v>19</v>
      </c>
      <c r="B8" s="2">
        <f>(LN(B2/B3)+(B5+B4^2/2)*B6)/(B4*SQRT(B6))</f>
        <v>-0.13436726601441631</v>
      </c>
      <c r="D8">
        <v>56</v>
      </c>
      <c r="E8">
        <v>8.6509575215627432</v>
      </c>
      <c r="F8">
        <v>-5.0684928297238585E-2</v>
      </c>
    </row>
    <row r="9" spans="1:6" ht="14">
      <c r="A9" s="2" t="s">
        <v>20</v>
      </c>
      <c r="B9" s="2">
        <f>(LN(B2/B3)+(B5-B4^2/2)*B6)/(B4*SQRT(B6))</f>
        <v>-0.43436726601441628</v>
      </c>
      <c r="D9">
        <v>57</v>
      </c>
      <c r="E9">
        <v>8.7017393812479824</v>
      </c>
      <c r="F9">
        <v>9.6931388000598417E-5</v>
      </c>
    </row>
    <row r="10" spans="1:6" ht="14">
      <c r="A10" s="2"/>
      <c r="B10" s="2"/>
      <c r="D10">
        <v>58</v>
      </c>
      <c r="E10">
        <v>8.652663449059693</v>
      </c>
      <c r="F10">
        <v>-4.897900080028883E-2</v>
      </c>
    </row>
    <row r="11" spans="1:6" ht="14">
      <c r="A11" s="2"/>
      <c r="B11" s="2"/>
      <c r="D11">
        <v>59</v>
      </c>
      <c r="E11">
        <v>8.7017329803331283</v>
      </c>
      <c r="F11">
        <v>9.0530473146444024E-5</v>
      </c>
    </row>
    <row r="12" spans="1:6" ht="14">
      <c r="A12" s="3" t="s">
        <v>8</v>
      </c>
      <c r="B12" s="2">
        <f>B3*EXP(-B5*B6)*(1-NORMSDIST(B9))-B2*(1-NORMSDIST(B8))</f>
        <v>8.7016424498599818</v>
      </c>
      <c r="D12">
        <v>60</v>
      </c>
      <c r="E12">
        <v>8.6542577962080021</v>
      </c>
      <c r="F12">
        <v>-4.7384653651979747E-2</v>
      </c>
    </row>
    <row r="13" spans="1:6">
      <c r="D13">
        <v>61</v>
      </c>
      <c r="E13">
        <v>8.701727193089825</v>
      </c>
      <c r="F13">
        <v>8.4743229843198264E-5</v>
      </c>
    </row>
    <row r="14" spans="1:6">
      <c r="D14">
        <v>62</v>
      </c>
      <c r="E14">
        <v>8.6557511858369995</v>
      </c>
      <c r="F14">
        <v>-4.589126402298227E-2</v>
      </c>
    </row>
    <row r="15" spans="1:6">
      <c r="D15">
        <v>63</v>
      </c>
      <c r="E15">
        <v>8.7017219435144284</v>
      </c>
      <c r="F15">
        <v>7.9493654446594064E-5</v>
      </c>
    </row>
    <row r="16" spans="1:6">
      <c r="D16">
        <v>64</v>
      </c>
      <c r="E16">
        <v>8.6571529321679872</v>
      </c>
      <c r="F16">
        <v>-4.4489517691994607E-2</v>
      </c>
    </row>
    <row r="17" spans="4:6">
      <c r="D17">
        <v>65</v>
      </c>
      <c r="E17">
        <v>8.7017171670119566</v>
      </c>
      <c r="F17">
        <v>7.4717151974823537E-5</v>
      </c>
    </row>
    <row r="18" spans="4:6">
      <c r="D18">
        <v>66</v>
      </c>
      <c r="E18">
        <v>8.6584712364634058</v>
      </c>
      <c r="F18">
        <v>-4.3171213396576036E-2</v>
      </c>
    </row>
    <row r="19" spans="4:6">
      <c r="D19">
        <v>67</v>
      </c>
      <c r="E19">
        <v>8.7017128084053823</v>
      </c>
      <c r="F19">
        <v>7.0358545400495132E-5</v>
      </c>
    </row>
    <row r="20" spans="4:6">
      <c r="D20">
        <v>68</v>
      </c>
      <c r="E20">
        <v>8.6597133485756412</v>
      </c>
      <c r="F20">
        <v>-4.1929101284340575E-2</v>
      </c>
    </row>
    <row r="21" spans="4:6">
      <c r="D21">
        <v>69</v>
      </c>
      <c r="E21">
        <v>8.7017088203328488</v>
      </c>
      <c r="F21">
        <v>6.6370472866950081E-5</v>
      </c>
    </row>
    <row r="22" spans="4:6">
      <c r="D22">
        <v>70</v>
      </c>
      <c r="E22">
        <v>8.660885701136019</v>
      </c>
      <c r="F22">
        <v>-4.0756748723962843E-2</v>
      </c>
    </row>
    <row r="23" spans="4:6">
      <c r="D23">
        <v>71</v>
      </c>
      <c r="E23">
        <v>8.7017051619557844</v>
      </c>
      <c r="F23">
        <v>6.2712095802552881E-5</v>
      </c>
    </row>
    <row r="24" spans="4:6">
      <c r="D24">
        <v>72</v>
      </c>
      <c r="E24">
        <v>8.6619940216348237</v>
      </c>
      <c r="F24">
        <v>-3.9648428225158128E-2</v>
      </c>
    </row>
    <row r="25" spans="4:6">
      <c r="D25">
        <v>73</v>
      </c>
      <c r="E25">
        <v>8.7017017979129179</v>
      </c>
      <c r="F25">
        <v>5.9348052936059048E-5</v>
      </c>
    </row>
    <row r="26" spans="4:6">
      <c r="D26">
        <v>74</v>
      </c>
      <c r="E26">
        <v>8.6630434265473824</v>
      </c>
      <c r="F26">
        <v>-3.8599023312599456E-2</v>
      </c>
    </row>
    <row r="27" spans="4:6">
      <c r="D27">
        <v>75</v>
      </c>
      <c r="E27">
        <v>8.701698697456596</v>
      </c>
      <c r="F27">
        <v>5.6247596614156237E-5</v>
      </c>
    </row>
    <row r="28" spans="4:6">
      <c r="D28">
        <v>76</v>
      </c>
      <c r="E28">
        <v>8.6640385007558791</v>
      </c>
      <c r="F28">
        <v>-3.7603949104102696E-2</v>
      </c>
    </row>
    <row r="29" spans="4:6">
      <c r="D29">
        <v>77</v>
      </c>
      <c r="E29">
        <v>8.7016958337527619</v>
      </c>
      <c r="F29">
        <v>5.3383892780090036E-5</v>
      </c>
    </row>
    <row r="30" spans="4:6">
      <c r="D30">
        <v>78</v>
      </c>
      <c r="E30">
        <v>8.6649833648980419</v>
      </c>
      <c r="F30">
        <v>-3.6659084961939925E-2</v>
      </c>
    </row>
    <row r="31" spans="4:6">
      <c r="D31">
        <v>79</v>
      </c>
      <c r="E31">
        <v>8.7016931832976194</v>
      </c>
      <c r="F31">
        <v>5.073343763761784E-5</v>
      </c>
    </row>
    <row r="32" spans="4:6">
      <c r="D32">
        <v>80</v>
      </c>
      <c r="E32">
        <v>8.665881732720381</v>
      </c>
      <c r="F32">
        <v>-3.5760717139600828E-2</v>
      </c>
    </row>
    <row r="33" spans="4:6">
      <c r="D33">
        <v>81</v>
      </c>
      <c r="E33">
        <v>8.7016907254331901</v>
      </c>
      <c r="F33">
        <v>4.8275573208300671E-5</v>
      </c>
    </row>
    <row r="34" spans="4:6">
      <c r="D34">
        <v>82</v>
      </c>
      <c r="E34">
        <v>8.6667369601259843</v>
      </c>
      <c r="F34">
        <v>-3.4905489733997541E-2</v>
      </c>
    </row>
    <row r="35" spans="4:6">
      <c r="D35">
        <v>83</v>
      </c>
      <c r="E35">
        <v>8.7016884419423928</v>
      </c>
      <c r="F35">
        <v>4.5992082410961643E-5</v>
      </c>
    </row>
    <row r="36" spans="4:6">
      <c r="D36">
        <v>84</v>
      </c>
      <c r="E36">
        <v>8.6675520873005212</v>
      </c>
      <c r="F36">
        <v>-3.409036255946063E-2</v>
      </c>
    </row>
    <row r="37" spans="4:6">
      <c r="D37">
        <v>85</v>
      </c>
      <c r="E37">
        <v>8.7016863167130687</v>
      </c>
      <c r="F37">
        <v>4.3866853086882429E-5</v>
      </c>
    </row>
    <row r="38" spans="4:6">
      <c r="D38">
        <v>86</v>
      </c>
      <c r="E38">
        <v>8.6683298750073146</v>
      </c>
      <c r="F38">
        <v>-3.3312574852667254E-2</v>
      </c>
    </row>
    <row r="39" spans="4:6">
      <c r="D39">
        <v>87</v>
      </c>
      <c r="E39">
        <v>8.7016843354518709</v>
      </c>
      <c r="F39">
        <v>4.1885591889112561E-5</v>
      </c>
    </row>
    <row r="40" spans="4:6">
      <c r="D40">
        <v>88</v>
      </c>
      <c r="E40">
        <v>8.6690728359968805</v>
      </c>
      <c r="F40">
        <v>-3.256961386310131E-2</v>
      </c>
    </row>
    <row r="41" spans="4:6">
      <c r="D41">
        <v>89</v>
      </c>
      <c r="E41">
        <v>8.7016824854445698</v>
      </c>
      <c r="F41">
        <v>4.0035584587982953E-5</v>
      </c>
    </row>
    <row r="42" spans="4:6">
      <c r="D42">
        <v>90</v>
      </c>
      <c r="E42">
        <v>8.669783262264934</v>
      </c>
      <c r="F42">
        <v>-3.18591875950478E-2</v>
      </c>
    </row>
    <row r="43" spans="4:6">
      <c r="D43">
        <v>91</v>
      </c>
      <c r="E43">
        <v>8.7016807553462616</v>
      </c>
      <c r="F43">
        <v>3.8305486279810452E-5</v>
      </c>
    </row>
    <row r="44" spans="4:6">
      <c r="D44">
        <v>92</v>
      </c>
      <c r="E44">
        <v>8.6704632487909663</v>
      </c>
      <c r="F44">
        <v>-3.1179201069015505E-2</v>
      </c>
    </row>
    <row r="45" spans="4:6">
      <c r="D45">
        <v>93</v>
      </c>
      <c r="E45">
        <v>8.7016791350164588</v>
      </c>
      <c r="F45">
        <v>3.6685156477034297E-5</v>
      </c>
    </row>
    <row r="46" spans="4:6">
      <c r="D46">
        <v>94</v>
      </c>
      <c r="E46">
        <v>8.6711147142779197</v>
      </c>
      <c r="F46">
        <v>-3.0527735582062121E-2</v>
      </c>
    </row>
    <row r="47" spans="4:6">
      <c r="D47">
        <v>95</v>
      </c>
      <c r="E47">
        <v>8.7016776153608149</v>
      </c>
      <c r="F47">
        <v>3.5165500833045371E-5</v>
      </c>
    </row>
    <row r="48" spans="4:6">
      <c r="D48">
        <v>96</v>
      </c>
      <c r="E48">
        <v>8.6717394193237602</v>
      </c>
      <c r="F48">
        <v>-2.9903030536221564E-2</v>
      </c>
    </row>
    <row r="49" spans="4:6">
      <c r="D49">
        <v>97</v>
      </c>
      <c r="E49">
        <v>8.7016761882090865</v>
      </c>
      <c r="F49">
        <v>3.3738349104694976E-5</v>
      </c>
    </row>
    <row r="50" spans="4:6">
      <c r="D50">
        <v>98</v>
      </c>
      <c r="E50">
        <v>8.6723389823892365</v>
      </c>
      <c r="F50">
        <v>-2.9303467470745304E-2</v>
      </c>
    </row>
    <row r="51" spans="4:6">
      <c r="D51">
        <v>99</v>
      </c>
      <c r="E51">
        <v>8.7016748462035309</v>
      </c>
      <c r="F51">
        <v>3.2396343549123685E-5</v>
      </c>
    </row>
    <row r="52" spans="4:6">
      <c r="D52">
        <v>100</v>
      </c>
      <c r="E52">
        <v>8.6729148938685405</v>
      </c>
      <c r="F52">
        <v>-2.8727555991441278E-2</v>
      </c>
    </row>
    <row r="53" spans="4:6">
      <c r="D53">
        <v>101</v>
      </c>
      <c r="E53">
        <v>8.7016735827033482</v>
      </c>
      <c r="F53">
        <v>3.1132843366421525E-5</v>
      </c>
    </row>
    <row r="54" spans="4:6">
      <c r="D54">
        <v>102</v>
      </c>
      <c r="E54">
        <v>8.673468528519205</v>
      </c>
      <c r="F54">
        <v>-2.8173921340776786E-2</v>
      </c>
    </row>
    <row r="55" spans="4:6">
      <c r="D55">
        <v>103</v>
      </c>
      <c r="E55">
        <v>8.7016723917021395</v>
      </c>
      <c r="F55">
        <v>2.9941842157654719E-5</v>
      </c>
    </row>
    <row r="56" spans="4:6">
      <c r="D56">
        <v>104</v>
      </c>
      <c r="E56">
        <v>8.6740011564740058</v>
      </c>
      <c r="F56">
        <v>-2.7641293385975985E-2</v>
      </c>
    </row>
    <row r="57" spans="4:6">
      <c r="D57">
        <v>105</v>
      </c>
      <c r="E57">
        <v>8.7016712677590959</v>
      </c>
      <c r="F57">
        <v>2.8817899114130796E-5</v>
      </c>
    </row>
    <row r="58" spans="4:6">
      <c r="D58">
        <v>106</v>
      </c>
      <c r="E58">
        <v>8.6745139530086917</v>
      </c>
      <c r="F58">
        <v>-2.7128496851290151E-2</v>
      </c>
    </row>
    <row r="59" spans="4:6">
      <c r="D59">
        <v>107</v>
      </c>
      <c r="E59">
        <v>8.7016702059305544</v>
      </c>
      <c r="F59">
        <v>2.7756070572593217E-5</v>
      </c>
    </row>
    <row r="60" spans="4:6">
      <c r="D60">
        <v>108</v>
      </c>
      <c r="E60">
        <v>8.6750080072483797</v>
      </c>
      <c r="F60">
        <v>-2.6634442611602083E-2</v>
      </c>
    </row>
    <row r="61" spans="4:6">
      <c r="D61">
        <v>109</v>
      </c>
      <c r="E61">
        <v>8.7016692017253678</v>
      </c>
      <c r="F61">
        <v>2.6751865386032136E-5</v>
      </c>
    </row>
    <row r="62" spans="4:6">
      <c r="D62">
        <v>110</v>
      </c>
      <c r="E62">
        <v>8.6754843299191862</v>
      </c>
      <c r="F62">
        <v>-2.6158119940795643E-2</v>
      </c>
    </row>
    <row r="63" spans="4:6">
      <c r="D63">
        <v>111</v>
      </c>
      <c r="E63">
        <v>8.7016682510467955</v>
      </c>
      <c r="F63">
        <v>2.580118681372312E-5</v>
      </c>
    </row>
    <row r="64" spans="4:6">
      <c r="D64">
        <v>112</v>
      </c>
      <c r="E64">
        <v>8.6759438602888466</v>
      </c>
      <c r="F64">
        <v>-2.5698589571135244E-2</v>
      </c>
    </row>
    <row r="65" spans="4:6">
      <c r="D65">
        <v>113</v>
      </c>
      <c r="E65">
        <v>8.7016673501571322</v>
      </c>
      <c r="F65">
        <v>2.4900297150409756E-5</v>
      </c>
    </row>
    <row r="66" spans="4:6">
      <c r="D66">
        <v>114</v>
      </c>
      <c r="E66">
        <v>8.676387472366617</v>
      </c>
      <c r="F66">
        <v>-2.5254977493364805E-2</v>
      </c>
    </row>
    <row r="67" spans="4:6">
      <c r="D67">
        <v>115</v>
      </c>
      <c r="E67">
        <v>8.7016664956394152</v>
      </c>
      <c r="F67">
        <v>2.4045779433379266E-5</v>
      </c>
    </row>
    <row r="68" spans="4:6">
      <c r="D68">
        <v>116</v>
      </c>
      <c r="E68">
        <v>8.6768159804865945</v>
      </c>
      <c r="F68">
        <v>-2.4826469373387283E-2</v>
      </c>
    </row>
    <row r="69" spans="4:6">
      <c r="D69">
        <v>117</v>
      </c>
      <c r="E69">
        <v>8.7016656843655493</v>
      </c>
      <c r="F69">
        <v>2.3234505567515384E-5</v>
      </c>
    </row>
    <row r="70" spans="4:6">
      <c r="D70">
        <v>118</v>
      </c>
      <c r="E70">
        <v>8.6772301443169049</v>
      </c>
      <c r="F70">
        <v>-2.441230554307694E-2</v>
      </c>
    </row>
    <row r="71" spans="4:6">
      <c r="D71">
        <v>119</v>
      </c>
      <c r="E71">
        <v>8.7016649134661179</v>
      </c>
      <c r="F71">
        <v>2.2463606136113867E-5</v>
      </c>
    </row>
    <row r="72" spans="4:6">
      <c r="D72">
        <v>120</v>
      </c>
      <c r="E72">
        <v>8.6776306733695581</v>
      </c>
      <c r="F72">
        <v>-2.4011776490423742E-2</v>
      </c>
    </row>
    <row r="73" spans="4:6">
      <c r="D73">
        <v>121</v>
      </c>
      <c r="E73">
        <v>8.701664180306107</v>
      </c>
      <c r="F73">
        <v>2.1730446125189928E-5</v>
      </c>
    </row>
    <row r="74" spans="4:6">
      <c r="D74">
        <v>122</v>
      </c>
      <c r="E74">
        <v>8.678018231082806</v>
      </c>
      <c r="F74">
        <v>-2.3624218777175798E-2</v>
      </c>
    </row>
    <row r="75" spans="4:6">
      <c r="D75">
        <v>123</v>
      </c>
      <c r="E75">
        <v>8.7016634824612726</v>
      </c>
      <c r="F75">
        <v>2.1032601290826847E-5</v>
      </c>
    </row>
    <row r="76" spans="4:6">
      <c r="D76">
        <v>124</v>
      </c>
      <c r="E76">
        <v>8.6783934384966592</v>
      </c>
      <c r="F76">
        <v>-2.324901136332258E-2</v>
      </c>
    </row>
    <row r="77" spans="4:6">
      <c r="D77">
        <v>125</v>
      </c>
      <c r="E77">
        <v>8.7016628176989936</v>
      </c>
      <c r="F77">
        <v>2.0367839011825595E-5</v>
      </c>
    </row>
    <row r="78" spans="4:6">
      <c r="D78">
        <v>126</v>
      </c>
      <c r="E78">
        <v>8.6787568775908088</v>
      </c>
      <c r="F78">
        <v>-2.2885572269172982E-2</v>
      </c>
    </row>
    <row r="79" spans="4:6">
      <c r="D79">
        <v>127</v>
      </c>
      <c r="E79">
        <v>8.7016621839616395</v>
      </c>
      <c r="F79">
        <v>1.9734101657675751E-5</v>
      </c>
    </row>
    <row r="80" spans="4:6">
      <c r="D80">
        <v>128</v>
      </c>
      <c r="E80">
        <v>8.6791090943131728</v>
      </c>
      <c r="F80">
        <v>-2.253335554680902E-2</v>
      </c>
    </row>
    <row r="81" spans="4:6">
      <c r="D81">
        <v>129</v>
      </c>
      <c r="E81">
        <v>8.7016615793475438</v>
      </c>
      <c r="F81">
        <v>1.9129487561997394E-5</v>
      </c>
    </row>
    <row r="82" spans="4:6">
      <c r="D82">
        <v>130</v>
      </c>
      <c r="E82">
        <v>8.6794506013236177</v>
      </c>
      <c r="F82">
        <v>-2.2191848536364134E-2</v>
      </c>
    </row>
    <row r="83" spans="4:6">
      <c r="D83">
        <v>131</v>
      </c>
      <c r="E83">
        <v>8.7016610020994403</v>
      </c>
      <c r="F83">
        <v>1.8552239458458075E-5</v>
      </c>
    </row>
    <row r="84" spans="4:6">
      <c r="D84">
        <v>132</v>
      </c>
      <c r="E84">
        <v>8.6797818804974085</v>
      </c>
      <c r="F84">
        <v>-2.1860569362573301E-2</v>
      </c>
    </row>
    <row r="85" spans="4:6">
      <c r="D85">
        <v>133</v>
      </c>
      <c r="E85">
        <v>8.7016604505919144</v>
      </c>
      <c r="F85">
        <v>1.800073193258811E-5</v>
      </c>
    </row>
    <row r="86" spans="4:6">
      <c r="D86">
        <v>134</v>
      </c>
      <c r="E86">
        <v>8.680103385201356</v>
      </c>
      <c r="F86">
        <v>-2.1539064658625762E-2</v>
      </c>
    </row>
    <row r="87" spans="4:6">
      <c r="D87">
        <v>135</v>
      </c>
      <c r="E87">
        <v>8.7016599233143328</v>
      </c>
      <c r="F87">
        <v>1.7473454350991346E-5</v>
      </c>
    </row>
    <row r="88" spans="4:6">
      <c r="D88">
        <v>136</v>
      </c>
      <c r="E88">
        <v>8.6804155423706728</v>
      </c>
      <c r="F88">
        <v>-2.1226907489308999E-2</v>
      </c>
    </row>
    <row r="89" spans="4:6">
      <c r="D89">
        <v>137</v>
      </c>
      <c r="E89">
        <v>8.701659418869033</v>
      </c>
      <c r="F89">
        <v>1.6969009051237549E-5</v>
      </c>
    </row>
    <row r="90" spans="4:6">
      <c r="D90">
        <v>138</v>
      </c>
      <c r="E90">
        <v>8.6807187544176774</v>
      </c>
      <c r="F90">
        <v>-2.0923695442304435E-2</v>
      </c>
    </row>
    <row r="91" spans="4:6">
      <c r="D91">
        <v>139</v>
      </c>
      <c r="E91">
        <v>8.7016589359574965</v>
      </c>
      <c r="F91">
        <v>1.6486097514700759E-5</v>
      </c>
    </row>
    <row r="92" spans="4:6">
      <c r="D92">
        <v>140</v>
      </c>
      <c r="E92">
        <v>8.6810134009558144</v>
      </c>
      <c r="F92">
        <v>-2.0629048904167391E-2</v>
      </c>
    </row>
    <row r="93" spans="4:6">
      <c r="D93">
        <v>141</v>
      </c>
      <c r="E93">
        <v>8.7016584733707401</v>
      </c>
      <c r="F93">
        <v>1.6023510758245152E-5</v>
      </c>
    </row>
    <row r="94" spans="4:6">
      <c r="D94">
        <v>142</v>
      </c>
      <c r="E94">
        <v>8.681299840401552</v>
      </c>
      <c r="F94">
        <v>-2.0342609458429806E-2</v>
      </c>
    </row>
    <row r="95" spans="4:6">
      <c r="D95">
        <v>143</v>
      </c>
      <c r="E95">
        <v>8.7016580299826547</v>
      </c>
      <c r="F95">
        <v>1.5580122672886887E-5</v>
      </c>
    </row>
    <row r="96" spans="4:6">
      <c r="D96">
        <v>144</v>
      </c>
      <c r="E96">
        <v>8.6815784114335646</v>
      </c>
      <c r="F96">
        <v>-2.0064038426417241E-2</v>
      </c>
    </row>
    <row r="97" spans="4:6">
      <c r="D97">
        <v>145</v>
      </c>
      <c r="E97">
        <v>8.7016576047462806</v>
      </c>
      <c r="F97">
        <v>1.5154886298773818E-5</v>
      </c>
    </row>
    <row r="98" spans="4:6">
      <c r="D98">
        <v>146</v>
      </c>
      <c r="E98">
        <v>8.6818494343303492</v>
      </c>
      <c r="F98">
        <v>-1.979301552963264E-2</v>
      </c>
    </row>
    <row r="99" spans="4:6">
      <c r="D99">
        <v>147</v>
      </c>
      <c r="E99">
        <v>8.7016571966858649</v>
      </c>
      <c r="F99">
        <v>1.4746825883094061E-5</v>
      </c>
    </row>
    <row r="100" spans="4:6">
      <c r="D100">
        <v>148</v>
      </c>
      <c r="E100">
        <v>8.6821132122062945</v>
      </c>
      <c r="F100">
        <v>-1.9529237653687304E-2</v>
      </c>
    </row>
    <row r="101" spans="4:6">
      <c r="D101">
        <v>149</v>
      </c>
      <c r="E101">
        <v>8.7016568048857543</v>
      </c>
      <c r="F101">
        <v>1.4355025772516683E-5</v>
      </c>
    </row>
    <row r="102" spans="4:6">
      <c r="D102">
        <v>150</v>
      </c>
      <c r="E102">
        <v>8.6823700321463946</v>
      </c>
      <c r="F102">
        <v>-1.9272417713587231E-2</v>
      </c>
    </row>
    <row r="103" spans="4:6">
      <c r="D103">
        <v>151</v>
      </c>
      <c r="E103">
        <v>8.7016564284948643</v>
      </c>
      <c r="F103">
        <v>1.3978634882505503E-5</v>
      </c>
    </row>
    <row r="104" spans="4:6">
      <c r="D104">
        <v>152</v>
      </c>
      <c r="E104">
        <v>8.682620166253491</v>
      </c>
      <c r="F104">
        <v>-1.9022283606490831E-2</v>
      </c>
    </row>
    <row r="105" spans="4:6">
      <c r="D105">
        <v>153</v>
      </c>
      <c r="E105">
        <v>8.7016560667171152</v>
      </c>
      <c r="F105">
        <v>1.3616857133413873E-5</v>
      </c>
    </row>
    <row r="106" spans="4:6">
      <c r="D106">
        <v>154</v>
      </c>
      <c r="E106">
        <v>8.6828638726113709</v>
      </c>
      <c r="F106">
        <v>-1.8778577248610873E-2</v>
      </c>
    </row>
    <row r="107" spans="4:6">
      <c r="D107">
        <v>155</v>
      </c>
      <c r="E107">
        <v>8.7016557188025114</v>
      </c>
      <c r="F107">
        <v>1.3268942529620631E-5</v>
      </c>
    </row>
    <row r="108" spans="4:6">
      <c r="D108">
        <v>156</v>
      </c>
      <c r="E108">
        <v>8.6831013961784809</v>
      </c>
      <c r="F108">
        <v>-1.8541053681500941E-2</v>
      </c>
    </row>
    <row r="109" spans="4:6">
      <c r="D109">
        <v>157</v>
      </c>
      <c r="E109">
        <v>8.7016553840545718</v>
      </c>
      <c r="F109">
        <v>1.2934194590030756E-5</v>
      </c>
    </row>
    <row r="110" spans="4:6">
      <c r="D110">
        <v>158</v>
      </c>
      <c r="E110">
        <v>8.6833329696124686</v>
      </c>
      <c r="F110">
        <v>-1.8309480247513221E-2</v>
      </c>
    </row>
    <row r="111" spans="4:6">
      <c r="D111">
        <v>159</v>
      </c>
      <c r="E111">
        <v>8.7016550618171227</v>
      </c>
      <c r="F111">
        <v>1.2611957140862273E-5</v>
      </c>
    </row>
    <row r="112" spans="4:6">
      <c r="D112">
        <v>160</v>
      </c>
      <c r="E112">
        <v>8.6835588140321072</v>
      </c>
      <c r="F112">
        <v>-1.8083635827874645E-2</v>
      </c>
    </row>
    <row r="113" spans="4:6">
      <c r="D113">
        <v>161</v>
      </c>
      <c r="E113">
        <v>8.7016547514700466</v>
      </c>
      <c r="F113">
        <v>1.2301610064824331E-5</v>
      </c>
    </row>
    <row r="114" spans="4:6">
      <c r="D114">
        <v>162</v>
      </c>
      <c r="E114">
        <v>8.6837791397255213</v>
      </c>
      <c r="F114">
        <v>-1.7863310134460519E-2</v>
      </c>
    </row>
    <row r="115" spans="4:6">
      <c r="D115">
        <v>163</v>
      </c>
      <c r="E115">
        <v>8.7016544524423498</v>
      </c>
      <c r="F115">
        <v>1.2002582367998116E-5</v>
      </c>
    </row>
    <row r="116" spans="4:6">
      <c r="D116">
        <v>164</v>
      </c>
      <c r="E116">
        <v>8.6839941468046895</v>
      </c>
      <c r="F116">
        <v>-1.7648303055292303E-2</v>
      </c>
    </row>
    <row r="117" spans="4:6">
      <c r="D117">
        <v>165</v>
      </c>
      <c r="E117">
        <v>8.7016541641838128</v>
      </c>
      <c r="F117">
        <v>1.1714323830958051E-5</v>
      </c>
    </row>
    <row r="118" spans="4:6">
      <c r="D118">
        <v>166</v>
      </c>
      <c r="E118">
        <v>8.6842040258136954</v>
      </c>
      <c r="F118">
        <v>-1.7438424046286372E-2</v>
      </c>
    </row>
    <row r="119" spans="4:6">
      <c r="D119">
        <v>167</v>
      </c>
      <c r="E119">
        <v>8.7016538861878718</v>
      </c>
      <c r="F119">
        <v>1.1436327890024245E-5</v>
      </c>
    </row>
    <row r="120" spans="4:6">
      <c r="D120">
        <v>168</v>
      </c>
      <c r="E120">
        <v>8.684408958294858</v>
      </c>
      <c r="F120">
        <v>-1.7233491565123771E-2</v>
      </c>
    </row>
    <row r="121" spans="4:6">
      <c r="D121">
        <v>169</v>
      </c>
      <c r="E121">
        <v>8.7016536179705639</v>
      </c>
      <c r="F121">
        <v>1.1168110582104873E-5</v>
      </c>
    </row>
    <row r="122" spans="4:6">
      <c r="D122">
        <v>170</v>
      </c>
      <c r="E122">
        <v>8.6846091173149293</v>
      </c>
      <c r="F122">
        <v>-1.703333254505246E-2</v>
      </c>
    </row>
    <row r="123" spans="4:6">
      <c r="D123">
        <v>171</v>
      </c>
      <c r="E123">
        <v>8.701653359079307</v>
      </c>
      <c r="F123">
        <v>1.0909219325228037E-5</v>
      </c>
    </row>
    <row r="124" spans="4:6">
      <c r="D124">
        <v>172</v>
      </c>
      <c r="E124">
        <v>8.6848046679531095</v>
      </c>
      <c r="F124">
        <v>-1.6837781906872351E-2</v>
      </c>
    </row>
    <row r="125" spans="4:6">
      <c r="D125">
        <v>173</v>
      </c>
      <c r="E125">
        <v>8.7016531090877187</v>
      </c>
      <c r="F125">
        <v>1.0659227736908861E-5</v>
      </c>
    </row>
    <row r="126" spans="4:6">
      <c r="D126">
        <v>174</v>
      </c>
      <c r="E126">
        <v>8.6849957677557885</v>
      </c>
      <c r="F126">
        <v>-1.6646682104193289E-2</v>
      </c>
    </row>
    <row r="127" spans="4:6">
      <c r="D127">
        <v>175</v>
      </c>
      <c r="E127">
        <v>8.7016528675910756</v>
      </c>
      <c r="F127">
        <v>1.0417731093781413E-5</v>
      </c>
    </row>
    <row r="128" spans="4:6">
      <c r="D128">
        <v>176</v>
      </c>
      <c r="E128">
        <v>8.6851825671683116</v>
      </c>
      <c r="F128">
        <v>-1.6459882691670202E-2</v>
      </c>
    </row>
    <row r="129" spans="4:6">
      <c r="D129">
        <v>177</v>
      </c>
      <c r="E129">
        <v>8.7016526342106388</v>
      </c>
      <c r="F129">
        <v>1.0184350657027608E-5</v>
      </c>
    </row>
    <row r="130" spans="4:6">
      <c r="D130">
        <v>178</v>
      </c>
      <c r="E130">
        <v>8.6853652099194321</v>
      </c>
      <c r="F130">
        <v>-1.6277239940549748E-2</v>
      </c>
    </row>
    <row r="131" spans="4:6">
      <c r="D131">
        <v>179</v>
      </c>
      <c r="E131">
        <v>8.7016524085841542</v>
      </c>
      <c r="F131">
        <v>9.9587241724208297E-6</v>
      </c>
    </row>
    <row r="132" spans="4:6">
      <c r="D132">
        <v>180</v>
      </c>
      <c r="E132">
        <v>8.6855438334026882</v>
      </c>
      <c r="F132">
        <v>-1.6098616457293602E-2</v>
      </c>
    </row>
    <row r="133" spans="4:6">
      <c r="D133">
        <v>181</v>
      </c>
      <c r="E133">
        <v>8.7016521903744533</v>
      </c>
      <c r="F133">
        <v>9.7405144714457492E-6</v>
      </c>
    </row>
    <row r="134" spans="4:6">
      <c r="D134">
        <v>182</v>
      </c>
      <c r="E134">
        <v>8.6857185690158811</v>
      </c>
      <c r="F134">
        <v>-1.592388084410068E-2</v>
      </c>
    </row>
    <row r="135" spans="4:6">
      <c r="D135">
        <v>183</v>
      </c>
      <c r="E135">
        <v>8.7016519792585783</v>
      </c>
      <c r="F135">
        <v>9.5293985964417516E-6</v>
      </c>
    </row>
    <row r="136" spans="4:6">
      <c r="D136">
        <v>184</v>
      </c>
      <c r="E136">
        <v>8.6858895424856719</v>
      </c>
      <c r="F136">
        <v>-1.5752907374309899E-2</v>
      </c>
    </row>
    <row r="137" spans="4:6">
      <c r="D137">
        <v>185</v>
      </c>
      <c r="E137">
        <v>8.7016517749300295</v>
      </c>
      <c r="F137">
        <v>9.3250700476943393E-6</v>
      </c>
    </row>
    <row r="138" spans="4:6">
      <c r="D138">
        <v>186</v>
      </c>
      <c r="E138">
        <v>8.686056874172646</v>
      </c>
      <c r="F138">
        <v>-1.5585575687335762E-2</v>
      </c>
    </row>
    <row r="139" spans="4:6">
      <c r="D139">
        <v>187</v>
      </c>
      <c r="E139">
        <v>8.7016515771076399</v>
      </c>
      <c r="F139">
        <v>9.1272476581139017E-6</v>
      </c>
    </row>
    <row r="140" spans="4:6">
      <c r="D140">
        <v>188</v>
      </c>
      <c r="E140">
        <v>8.6862206793539531</v>
      </c>
      <c r="F140">
        <v>-1.5421770506028665E-2</v>
      </c>
    </row>
    <row r="141" spans="4:6">
      <c r="D141">
        <v>189</v>
      </c>
      <c r="E141">
        <v>8.7016513855120792</v>
      </c>
      <c r="F141">
        <v>8.9356520973637998E-6</v>
      </c>
    </row>
    <row r="142" spans="4:6">
      <c r="D142">
        <v>190</v>
      </c>
      <c r="E142">
        <v>8.6863810684891405</v>
      </c>
      <c r="F142">
        <v>-1.526138137084132E-2</v>
      </c>
    </row>
    <row r="143" spans="4:6">
      <c r="D143">
        <v>191</v>
      </c>
      <c r="E143">
        <v>8.7016511998855623</v>
      </c>
      <c r="F143">
        <v>8.7500255805395E-6</v>
      </c>
    </row>
    <row r="144" spans="4:6">
      <c r="D144">
        <v>192</v>
      </c>
      <c r="E144">
        <v>8.6865381474644678</v>
      </c>
      <c r="F144">
        <v>-1.5104302395513969E-2</v>
      </c>
    </row>
    <row r="145" spans="4:6">
      <c r="D145">
        <v>193</v>
      </c>
      <c r="E145">
        <v>8.7016510199845687</v>
      </c>
      <c r="F145">
        <v>8.5701245868818887E-6</v>
      </c>
    </row>
    <row r="146" spans="4:6">
      <c r="D146">
        <v>194</v>
      </c>
      <c r="E146">
        <v>8.6866920178348561</v>
      </c>
      <c r="F146">
        <v>-1.4950432025125693E-2</v>
      </c>
    </row>
    <row r="147" spans="4:6">
      <c r="D147">
        <v>195</v>
      </c>
      <c r="E147">
        <v>8.7016508455740542</v>
      </c>
      <c r="F147">
        <v>8.3957140724066903E-6</v>
      </c>
    </row>
    <row r="148" spans="4:6">
      <c r="D148">
        <v>196</v>
      </c>
      <c r="E148">
        <v>8.6868427770392547</v>
      </c>
      <c r="F148">
        <v>-1.4799672820727139E-2</v>
      </c>
    </row>
    <row r="149" spans="4:6">
      <c r="D149">
        <v>197</v>
      </c>
      <c r="E149">
        <v>8.7016506764358645</v>
      </c>
      <c r="F149">
        <v>8.226575882730458E-6</v>
      </c>
    </row>
    <row r="150" spans="4:6">
      <c r="D150">
        <v>198</v>
      </c>
      <c r="E150">
        <v>8.6869905186075229</v>
      </c>
      <c r="F150">
        <v>-1.4651931252458894E-2</v>
      </c>
    </row>
    <row r="151" spans="4:6">
      <c r="D151">
        <v>199</v>
      </c>
      <c r="E151">
        <v>8.701650512357153</v>
      </c>
      <c r="F151">
        <v>8.0624971712239812E-6</v>
      </c>
    </row>
    <row r="152" spans="4:6">
      <c r="D152">
        <v>200</v>
      </c>
      <c r="E152">
        <v>8.687135332356771</v>
      </c>
      <c r="F152">
        <v>-1.4507117503210765E-2</v>
      </c>
    </row>
    <row r="153" spans="4:6">
      <c r="D153">
        <v>201</v>
      </c>
      <c r="E153">
        <v>8.701650353138529</v>
      </c>
      <c r="F153">
        <v>7.9032785471611078E-6</v>
      </c>
    </row>
    <row r="154" spans="4:6">
      <c r="D154">
        <v>202</v>
      </c>
      <c r="E154">
        <v>8.6872773045672176</v>
      </c>
      <c r="F154">
        <v>-1.4365145292764225E-2</v>
      </c>
    </row>
    <row r="155" spans="4:6">
      <c r="D155">
        <v>203</v>
      </c>
      <c r="E155">
        <v>8.7016501985901638</v>
      </c>
      <c r="F155">
        <v>7.748730181944552E-6</v>
      </c>
    </row>
    <row r="156" spans="4:6">
      <c r="D156">
        <v>204</v>
      </c>
      <c r="E156">
        <v>8.6874165181659002</v>
      </c>
      <c r="F156">
        <v>-1.4225931694081595E-2</v>
      </c>
    </row>
    <row r="157" spans="4:6">
      <c r="D157">
        <v>205</v>
      </c>
      <c r="E157">
        <v>8.7016500485312083</v>
      </c>
      <c r="F157">
        <v>7.5986712264608514E-6</v>
      </c>
    </row>
    <row r="158" spans="4:6">
      <c r="D158">
        <v>206</v>
      </c>
      <c r="E158">
        <v>8.6875530528742466</v>
      </c>
      <c r="F158">
        <v>-1.4089396985735192E-2</v>
      </c>
    </row>
    <row r="159" spans="4:6">
      <c r="D159">
        <v>207</v>
      </c>
      <c r="E159">
        <v>8.7016499027896277</v>
      </c>
      <c r="F159">
        <v>7.4529296458791805E-6</v>
      </c>
    </row>
    <row r="160" spans="4:6">
      <c r="D160">
        <v>208</v>
      </c>
      <c r="E160">
        <v>8.6876869853760503</v>
      </c>
      <c r="F160">
        <v>-1.3955464483931479E-2</v>
      </c>
    </row>
    <row r="161" spans="4:6">
      <c r="D161">
        <v>209</v>
      </c>
      <c r="E161">
        <v>8.701649761201395</v>
      </c>
      <c r="F161">
        <v>7.311341413185346E-6</v>
      </c>
    </row>
    <row r="162" spans="4:6">
      <c r="D162">
        <v>210</v>
      </c>
      <c r="E162">
        <v>8.6878183894501273</v>
      </c>
      <c r="F162">
        <v>-1.3824060409854511E-2</v>
      </c>
    </row>
    <row r="163" spans="4:6">
      <c r="D163">
        <v>211</v>
      </c>
      <c r="E163">
        <v>8.7016496236096934</v>
      </c>
      <c r="F163">
        <v>7.1737497115975657E-6</v>
      </c>
    </row>
    <row r="164" spans="4:6">
      <c r="D164">
        <v>212</v>
      </c>
      <c r="E164">
        <v>8.6879473361088131</v>
      </c>
      <c r="F164">
        <v>-1.3695113751168719E-2</v>
      </c>
    </row>
    <row r="165" spans="4:6">
      <c r="D165">
        <v>213</v>
      </c>
      <c r="E165">
        <v>8.7016494898645895</v>
      </c>
      <c r="F165">
        <v>7.0400046077168099E-6</v>
      </c>
    </row>
    <row r="166" spans="4:6">
      <c r="D166">
        <v>214</v>
      </c>
      <c r="E166">
        <v>8.6880738937326161</v>
      </c>
      <c r="F166">
        <v>-1.3568556127365738E-2</v>
      </c>
    </row>
    <row r="167" spans="4:6">
      <c r="D167">
        <v>215</v>
      </c>
      <c r="E167">
        <v>8.7016493598260443</v>
      </c>
      <c r="F167">
        <v>6.9099660624516446E-6</v>
      </c>
    </row>
    <row r="168" spans="4:6">
      <c r="D168">
        <v>216</v>
      </c>
      <c r="E168">
        <v>8.6881981281825365</v>
      </c>
      <c r="F168">
        <v>-1.3444321677445359E-2</v>
      </c>
    </row>
    <row r="169" spans="4:6">
      <c r="D169">
        <v>217</v>
      </c>
      <c r="E169">
        <v>8.7016492333563704</v>
      </c>
      <c r="F169">
        <v>6.7834963886070909E-6</v>
      </c>
    </row>
    <row r="170" spans="4:6">
      <c r="D170">
        <v>218</v>
      </c>
      <c r="E170">
        <v>8.6883201029182455</v>
      </c>
      <c r="F170">
        <v>-1.3322346941736285E-2</v>
      </c>
    </row>
    <row r="171" spans="4:6">
      <c r="D171">
        <v>219</v>
      </c>
      <c r="E171">
        <v>8.7016491103299636</v>
      </c>
      <c r="F171">
        <v>6.6604699817673918E-6</v>
      </c>
    </row>
    <row r="172" spans="4:6">
      <c r="D172">
        <v>220</v>
      </c>
      <c r="E172">
        <v>8.688439879113524</v>
      </c>
      <c r="F172">
        <v>-1.3202570746457809E-2</v>
      </c>
    </row>
    <row r="173" spans="4:6">
      <c r="D173">
        <v>221</v>
      </c>
      <c r="E173">
        <v>8.7016489906172136</v>
      </c>
      <c r="F173">
        <v>6.5407572318321172E-6</v>
      </c>
    </row>
    <row r="174" spans="4:6">
      <c r="D174">
        <v>222</v>
      </c>
      <c r="E174">
        <v>8.6885575157443977</v>
      </c>
      <c r="F174">
        <v>-1.308493411558409E-2</v>
      </c>
    </row>
    <row r="175" spans="4:6">
      <c r="D175">
        <v>223</v>
      </c>
      <c r="E175">
        <v>8.7016488741042419</v>
      </c>
      <c r="F175">
        <v>6.4242442601170069E-6</v>
      </c>
    </row>
    <row r="176" spans="4:6">
      <c r="D176">
        <v>224</v>
      </c>
      <c r="E176">
        <v>8.6886730696978081</v>
      </c>
      <c r="F176">
        <v>-1.2969380162173749E-2</v>
      </c>
    </row>
    <row r="177" spans="4:6">
      <c r="D177">
        <v>225</v>
      </c>
      <c r="E177">
        <v>8.7016487606784434</v>
      </c>
      <c r="F177">
        <v>6.3108184615856544E-6</v>
      </c>
    </row>
    <row r="178" spans="4:6">
      <c r="D178">
        <v>226</v>
      </c>
      <c r="E178">
        <v>8.6887865958638777</v>
      </c>
      <c r="F178">
        <v>-1.2855853996104116E-2</v>
      </c>
    </row>
    <row r="179" spans="4:6">
      <c r="D179">
        <v>227</v>
      </c>
      <c r="E179">
        <v>8.7016486502282842</v>
      </c>
      <c r="F179">
        <v>6.2003683023448275E-6</v>
      </c>
    </row>
    <row r="180" spans="4:6">
      <c r="D180">
        <v>228</v>
      </c>
      <c r="E180">
        <v>8.6888981472148181</v>
      </c>
      <c r="F180">
        <v>-1.2744302645163685E-2</v>
      </c>
    </row>
    <row r="181" spans="4:6">
      <c r="D181">
        <v>229</v>
      </c>
      <c r="E181">
        <v>8.7016485426525989</v>
      </c>
      <c r="F181">
        <v>6.0927926170961655E-6</v>
      </c>
    </row>
    <row r="182" spans="4:6">
      <c r="D182">
        <v>230</v>
      </c>
      <c r="E182">
        <v>8.6890077748929109</v>
      </c>
      <c r="F182">
        <v>-1.2634674967070936E-2</v>
      </c>
    </row>
    <row r="183" spans="4:6">
      <c r="D183">
        <v>231</v>
      </c>
      <c r="E183">
        <v>8.701648437854077</v>
      </c>
      <c r="F183">
        <v>5.9879940952356492E-6</v>
      </c>
    </row>
    <row r="184" spans="4:6">
      <c r="D184">
        <v>232</v>
      </c>
      <c r="E184">
        <v>8.6891155282891859</v>
      </c>
      <c r="F184">
        <v>-1.2526921570795935E-2</v>
      </c>
    </row>
    <row r="185" spans="4:6">
      <c r="D185">
        <v>233</v>
      </c>
      <c r="E185">
        <v>8.7016483357354861</v>
      </c>
      <c r="F185">
        <v>5.8858755043189603E-6</v>
      </c>
    </row>
    <row r="186" spans="4:6">
      <c r="D186">
        <v>234</v>
      </c>
      <c r="E186">
        <v>8.6892214551203022</v>
      </c>
      <c r="F186">
        <v>-1.2420994739679614E-2</v>
      </c>
    </row>
    <row r="187" spans="4:6">
      <c r="D187">
        <v>235</v>
      </c>
      <c r="E187">
        <v>8.7016482362060472</v>
      </c>
      <c r="F187">
        <v>5.7863460654061782E-6</v>
      </c>
    </row>
    <row r="188" spans="4:6">
      <c r="D188">
        <v>236</v>
      </c>
      <c r="E188">
        <v>8.6893256014858125</v>
      </c>
      <c r="F188">
        <v>-1.2316848374169354E-2</v>
      </c>
    </row>
    <row r="189" spans="4:6">
      <c r="D189">
        <v>237</v>
      </c>
      <c r="E189">
        <v>8.7016481391815201</v>
      </c>
      <c r="F189">
        <v>5.689321538326908E-6</v>
      </c>
    </row>
    <row r="190" spans="4:6">
      <c r="D190">
        <v>238</v>
      </c>
      <c r="E190">
        <v>8.6894280119574514</v>
      </c>
      <c r="F190">
        <v>-1.2214437902530406E-2</v>
      </c>
    </row>
    <row r="191" spans="4:6">
      <c r="D191">
        <v>239</v>
      </c>
      <c r="E191">
        <v>8.7016480445764728</v>
      </c>
      <c r="F191">
        <v>5.5947164909753155E-6</v>
      </c>
    </row>
    <row r="192" spans="4:6">
      <c r="D192">
        <v>240</v>
      </c>
      <c r="E192">
        <v>8.6895287296249819</v>
      </c>
      <c r="F192">
        <v>-1.2113720234999903E-2</v>
      </c>
    </row>
    <row r="193" spans="4:6">
      <c r="D193">
        <v>241</v>
      </c>
      <c r="E193">
        <v>8.7016479523129089</v>
      </c>
      <c r="F193">
        <v>5.5024529270752964E-6</v>
      </c>
    </row>
    <row r="194" spans="4:6">
      <c r="D194">
        <v>242</v>
      </c>
      <c r="E194">
        <v>8.6896277961600372</v>
      </c>
      <c r="F194">
        <v>-1.2014653699944589E-2</v>
      </c>
    </row>
    <row r="195" spans="4:6">
      <c r="D195">
        <v>243</v>
      </c>
      <c r="E195">
        <v>8.7016478623102405</v>
      </c>
      <c r="F195">
        <v>5.4124502586461176E-6</v>
      </c>
    </row>
    <row r="196" spans="4:6">
      <c r="D196">
        <v>244</v>
      </c>
      <c r="E196">
        <v>8.6897252518848518</v>
      </c>
      <c r="F196">
        <v>-1.1917197975130023E-2</v>
      </c>
    </row>
    <row r="197" spans="4:6">
      <c r="D197">
        <v>245</v>
      </c>
      <c r="E197">
        <v>8.7016477744983458</v>
      </c>
      <c r="F197">
        <v>5.3246383640015438E-6</v>
      </c>
    </row>
    <row r="198" spans="4:6">
      <c r="D198">
        <v>246</v>
      </c>
      <c r="E198">
        <v>8.689821135807227</v>
      </c>
      <c r="F198">
        <v>-1.1821314052754772E-2</v>
      </c>
    </row>
    <row r="199" spans="4:6">
      <c r="D199">
        <v>247</v>
      </c>
      <c r="E199">
        <v>8.7016476888074568</v>
      </c>
      <c r="F199">
        <v>5.2389474749503506E-6</v>
      </c>
    </row>
    <row r="200" spans="4:6">
      <c r="D200">
        <v>248</v>
      </c>
      <c r="E200">
        <v>8.6899154856985259</v>
      </c>
      <c r="F200">
        <v>-1.1726964161455911E-2</v>
      </c>
    </row>
    <row r="201" spans="4:6">
      <c r="D201">
        <v>249</v>
      </c>
      <c r="E201">
        <v>8.70164760516783</v>
      </c>
      <c r="F201">
        <v>5.1553078481703096E-6</v>
      </c>
    </row>
    <row r="202" spans="4:6">
      <c r="D202">
        <v>250</v>
      </c>
      <c r="E202">
        <v>8.6900083381133015</v>
      </c>
      <c r="F202">
        <v>-1.1634111746680276E-2</v>
      </c>
    </row>
    <row r="203" spans="4:6">
      <c r="D203">
        <v>251</v>
      </c>
      <c r="E203">
        <v>8.7016475235167139</v>
      </c>
      <c r="F203">
        <v>5.0736567320797121E-6</v>
      </c>
    </row>
    <row r="204" spans="4:6">
      <c r="D204">
        <v>252</v>
      </c>
      <c r="E204">
        <v>8.6900997284640056</v>
      </c>
      <c r="F204">
        <v>-1.154272139597623E-2</v>
      </c>
    </row>
    <row r="205" spans="4:6">
      <c r="D205">
        <v>253</v>
      </c>
      <c r="E205">
        <v>8.7016474437889038</v>
      </c>
      <c r="F205">
        <v>4.9939289219480543E-6</v>
      </c>
    </row>
    <row r="206" spans="4:6">
      <c r="D206">
        <v>254</v>
      </c>
      <c r="E206">
        <v>8.6901896910524226</v>
      </c>
      <c r="F206">
        <v>-1.1452758807559249E-2</v>
      </c>
    </row>
    <row r="207" spans="4:6">
      <c r="D207">
        <v>255</v>
      </c>
      <c r="E207">
        <v>8.7016473659271316</v>
      </c>
      <c r="F207">
        <v>4.9160671498071906E-6</v>
      </c>
    </row>
    <row r="208" spans="4:6">
      <c r="D208">
        <v>256</v>
      </c>
      <c r="E208">
        <v>8.6902782591104728</v>
      </c>
      <c r="F208">
        <v>-1.1364190749509007E-2</v>
      </c>
    </row>
    <row r="209" spans="4:6">
      <c r="D209">
        <v>257</v>
      </c>
      <c r="E209">
        <v>8.7016472898719375</v>
      </c>
      <c r="F209">
        <v>4.8400119556646359E-6</v>
      </c>
    </row>
    <row r="210" spans="4:6">
      <c r="D210">
        <v>258</v>
      </c>
      <c r="E210">
        <v>8.6903654648534676</v>
      </c>
      <c r="F210">
        <v>-1.1276985006514195E-2</v>
      </c>
    </row>
    <row r="211" spans="4:6">
      <c r="D211">
        <v>259</v>
      </c>
      <c r="E211">
        <v>8.7016472155666662</v>
      </c>
      <c r="F211">
        <v>4.7657066843953544E-6</v>
      </c>
    </row>
    <row r="212" spans="4:6">
      <c r="D212">
        <v>260</v>
      </c>
      <c r="E212">
        <v>8.6904513395040066</v>
      </c>
      <c r="F212">
        <v>-1.1191110355975198E-2</v>
      </c>
    </row>
    <row r="213" spans="4:6">
      <c r="D213">
        <v>261</v>
      </c>
      <c r="E213">
        <v>8.7016471429600113</v>
      </c>
      <c r="F213">
        <v>4.6931000294847536E-6</v>
      </c>
    </row>
    <row r="214" spans="4:6">
      <c r="D214">
        <v>262</v>
      </c>
      <c r="E214">
        <v>8.690535913341801</v>
      </c>
      <c r="F214">
        <v>-1.1106536518180832E-2</v>
      </c>
    </row>
    <row r="215" spans="4:6">
      <c r="D215">
        <v>263</v>
      </c>
      <c r="E215">
        <v>8.7016470719992274</v>
      </c>
      <c r="F215">
        <v>4.6221392455692012E-6</v>
      </c>
    </row>
    <row r="216" spans="4:6">
      <c r="D216">
        <v>264</v>
      </c>
      <c r="E216">
        <v>8.690619215730182</v>
      </c>
      <c r="F216">
        <v>-1.1023234129799775E-2</v>
      </c>
    </row>
    <row r="217" spans="4:6">
      <c r="D217">
        <v>265</v>
      </c>
      <c r="E217">
        <v>8.7016470026383441</v>
      </c>
      <c r="F217">
        <v>4.5527783623100504E-6</v>
      </c>
    </row>
    <row r="218" spans="4:6">
      <c r="D218">
        <v>266</v>
      </c>
      <c r="E218">
        <v>8.6907012751619632</v>
      </c>
      <c r="F218">
        <v>-1.0941174698018585E-2</v>
      </c>
    </row>
    <row r="219" spans="4:6">
      <c r="D219">
        <v>267</v>
      </c>
      <c r="E219">
        <v>8.7016469348253143</v>
      </c>
      <c r="F219">
        <v>4.4849653324519068E-6</v>
      </c>
    </row>
    <row r="220" spans="4:6">
      <c r="D220">
        <v>268</v>
      </c>
      <c r="E220">
        <v>8.6907821192757506</v>
      </c>
      <c r="F220">
        <v>-1.0860330584231193E-2</v>
      </c>
    </row>
    <row r="221" spans="4:6">
      <c r="D221">
        <v>269</v>
      </c>
      <c r="E221">
        <v>8.7016468685136932</v>
      </c>
      <c r="F221">
        <v>4.4186537113688473E-6</v>
      </c>
    </row>
    <row r="222" spans="4:6">
      <c r="D222">
        <v>270</v>
      </c>
      <c r="E222">
        <v>8.6908617749041142</v>
      </c>
      <c r="F222">
        <v>-1.0780674955867653E-2</v>
      </c>
    </row>
    <row r="223" spans="4:6">
      <c r="D223">
        <v>271</v>
      </c>
      <c r="E223">
        <v>8.7016468036658825</v>
      </c>
      <c r="F223">
        <v>4.3538059006920093E-6</v>
      </c>
    </row>
    <row r="224" spans="4:6">
      <c r="D224">
        <v>272</v>
      </c>
      <c r="E224">
        <v>8.6909402680904595</v>
      </c>
      <c r="F224">
        <v>-1.0702181769522312E-2</v>
      </c>
    </row>
    <row r="225" spans="4:6">
      <c r="D225">
        <v>273</v>
      </c>
      <c r="E225">
        <v>8.7016467402345388</v>
      </c>
      <c r="F225">
        <v>4.2903745569589091E-6</v>
      </c>
    </row>
    <row r="226" spans="4:6">
      <c r="D226">
        <v>274</v>
      </c>
      <c r="E226">
        <v>8.6910176241177783</v>
      </c>
      <c r="F226">
        <v>-1.062482574220347E-2</v>
      </c>
    </row>
    <row r="227" spans="4:6">
      <c r="D227">
        <v>275</v>
      </c>
      <c r="E227">
        <v>8.7016466781780082</v>
      </c>
      <c r="F227">
        <v>4.2283180263780196E-6</v>
      </c>
    </row>
    <row r="228" spans="4:6">
      <c r="D228">
        <v>276</v>
      </c>
      <c r="E228">
        <v>8.6910938675530307</v>
      </c>
      <c r="F228">
        <v>-1.0548582306951104E-2</v>
      </c>
    </row>
    <row r="229" spans="4:6">
      <c r="D229">
        <v>277</v>
      </c>
      <c r="E229">
        <v>8.7016466174585236</v>
      </c>
      <c r="F229">
        <v>4.1675985418265782E-6</v>
      </c>
    </row>
    <row r="230" spans="4:6">
      <c r="D230">
        <v>278</v>
      </c>
      <c r="E230">
        <v>8.691169022248916</v>
      </c>
      <c r="F230">
        <v>-1.0473427611065844E-2</v>
      </c>
    </row>
    <row r="231" spans="4:6">
      <c r="D231">
        <v>279</v>
      </c>
      <c r="E231">
        <v>8.7016465580381528</v>
      </c>
      <c r="F231">
        <v>4.1081781709806364E-6</v>
      </c>
    </row>
    <row r="232" spans="4:6">
      <c r="D232">
        <v>280</v>
      </c>
      <c r="E232">
        <v>8.6912431113858606</v>
      </c>
      <c r="F232">
        <v>-1.0399338474121222E-2</v>
      </c>
    </row>
    <row r="233" spans="4:6">
      <c r="D233">
        <v>281</v>
      </c>
      <c r="E233">
        <v>8.7016464998802814</v>
      </c>
      <c r="F233">
        <v>4.0500202995730206E-6</v>
      </c>
    </row>
    <row r="234" spans="4:6">
      <c r="D234">
        <v>282</v>
      </c>
      <c r="E234">
        <v>8.691316157489279</v>
      </c>
      <c r="F234">
        <v>-1.0326292370702816E-2</v>
      </c>
    </row>
    <row r="235" spans="4:6">
      <c r="D235">
        <v>283</v>
      </c>
      <c r="E235">
        <v>8.7016464429469096</v>
      </c>
      <c r="F235">
        <v>3.9930869277782222E-6</v>
      </c>
    </row>
    <row r="236" spans="4:6">
      <c r="D236">
        <v>284</v>
      </c>
      <c r="E236">
        <v>8.6913881824554373</v>
      </c>
      <c r="F236">
        <v>-1.0254267404544493E-2</v>
      </c>
    </row>
    <row r="237" spans="4:6">
      <c r="D237">
        <v>285</v>
      </c>
      <c r="E237">
        <v>8.701646387206539</v>
      </c>
      <c r="F237">
        <v>3.937346557236765E-6</v>
      </c>
    </row>
    <row r="238" spans="4:6">
      <c r="D238">
        <v>286</v>
      </c>
      <c r="E238">
        <v>8.6914592075671795</v>
      </c>
      <c r="F238">
        <v>-1.0183242292802319E-2</v>
      </c>
    </row>
    <row r="239" spans="4:6">
      <c r="D239">
        <v>287</v>
      </c>
      <c r="E239">
        <v>8.7016463326242448</v>
      </c>
      <c r="F239">
        <v>3.8827642629968295E-6</v>
      </c>
    </row>
    <row r="240" spans="4:6">
      <c r="D240">
        <v>288</v>
      </c>
      <c r="E240">
        <v>8.6915292535237949</v>
      </c>
      <c r="F240">
        <v>-1.0113196336186903E-2</v>
      </c>
    </row>
    <row r="241" spans="4:6">
      <c r="D241">
        <v>289</v>
      </c>
      <c r="E241">
        <v>8.7016462791709177</v>
      </c>
      <c r="F241">
        <v>3.8293109358988886E-6</v>
      </c>
    </row>
    <row r="242" spans="4:6">
      <c r="D242">
        <v>290</v>
      </c>
      <c r="E242">
        <v>8.6915983404550836</v>
      </c>
      <c r="F242">
        <v>-1.0044109404898194E-2</v>
      </c>
    </row>
    <row r="243" spans="4:6">
      <c r="D243">
        <v>291</v>
      </c>
      <c r="E243">
        <v>8.7016462268128478</v>
      </c>
      <c r="F243">
        <v>3.7769528660192009E-6</v>
      </c>
    </row>
    <row r="244" spans="4:6">
      <c r="D244">
        <v>292</v>
      </c>
      <c r="E244">
        <v>8.6916664879428076</v>
      </c>
      <c r="F244">
        <v>-9.9759619171742031E-3</v>
      </c>
    </row>
    <row r="245" spans="4:6">
      <c r="D245">
        <v>293</v>
      </c>
      <c r="E245">
        <v>8.7016461755210184</v>
      </c>
      <c r="F245">
        <v>3.7256610365687948E-6</v>
      </c>
    </row>
    <row r="246" spans="4:6">
      <c r="D246">
        <v>294</v>
      </c>
      <c r="E246">
        <v>8.6917337150399785</v>
      </c>
      <c r="F246">
        <v>-9.9087348200033176E-3</v>
      </c>
    </row>
    <row r="247" spans="4:6">
      <c r="D247">
        <v>295</v>
      </c>
      <c r="E247">
        <v>8.7016461252679118</v>
      </c>
      <c r="F247">
        <v>3.6754079300038711E-6</v>
      </c>
    </row>
    <row r="248" spans="4:6">
      <c r="D248">
        <v>296</v>
      </c>
      <c r="E248">
        <v>8.691800040285008</v>
      </c>
      <c r="F248">
        <v>-9.8424095749738427E-3</v>
      </c>
    </row>
    <row r="249" spans="4:6">
      <c r="D249">
        <v>297</v>
      </c>
      <c r="E249">
        <v>8.7016460760254173</v>
      </c>
      <c r="F249">
        <v>3.6261654354774464E-6</v>
      </c>
    </row>
    <row r="250" spans="4:6">
      <c r="D250">
        <v>298</v>
      </c>
      <c r="E250">
        <v>8.6918654817255341</v>
      </c>
      <c r="F250">
        <v>-9.7769681344477277E-3</v>
      </c>
    </row>
    <row r="251" spans="4:6">
      <c r="D251">
        <v>299</v>
      </c>
      <c r="E251">
        <v>8.701646027762699</v>
      </c>
      <c r="F251">
        <v>3.5779027172111455E-6</v>
      </c>
    </row>
    <row r="252" spans="4:6">
      <c r="D252">
        <v>300</v>
      </c>
      <c r="E252">
        <v>8.6919300569208957</v>
      </c>
      <c r="F252">
        <v>-9.7123929390861008E-3</v>
      </c>
    </row>
    <row r="253" spans="4:6">
      <c r="D253">
        <v>301</v>
      </c>
      <c r="E253">
        <v>8.7016459804614144</v>
      </c>
      <c r="F253">
        <v>3.5306014325442447E-6</v>
      </c>
    </row>
    <row r="254" spans="4:6">
      <c r="D254">
        <v>302</v>
      </c>
      <c r="E254">
        <v>8.6919937829821148</v>
      </c>
      <c r="F254">
        <v>-9.6486668778670293E-3</v>
      </c>
    </row>
    <row r="255" spans="4:6">
      <c r="D255">
        <v>303</v>
      </c>
      <c r="E255">
        <v>8.7016459340887629</v>
      </c>
      <c r="F255">
        <v>3.4842287810477046E-6</v>
      </c>
    </row>
    <row r="256" spans="4:6">
      <c r="D256">
        <v>304</v>
      </c>
      <c r="E256">
        <v>8.6920566765647092</v>
      </c>
      <c r="F256">
        <v>-9.5857732952726593E-3</v>
      </c>
    </row>
    <row r="257" spans="4:6">
      <c r="D257">
        <v>305</v>
      </c>
      <c r="E257">
        <v>8.7016458886250945</v>
      </c>
      <c r="F257">
        <v>3.4387651126621677E-6</v>
      </c>
    </row>
    <row r="258" spans="4:6">
      <c r="D258">
        <v>306</v>
      </c>
      <c r="E258">
        <v>8.6921187538873692</v>
      </c>
      <c r="F258">
        <v>-9.5236959726126003E-3</v>
      </c>
    </row>
    <row r="259" spans="4:6">
      <c r="D259">
        <v>307</v>
      </c>
      <c r="E259">
        <v>8.7016458440443945</v>
      </c>
      <c r="F259">
        <v>3.3941844126417209E-6</v>
      </c>
    </row>
    <row r="260" spans="4:6">
      <c r="D260">
        <v>308</v>
      </c>
      <c r="E260">
        <v>8.6921800307555301</v>
      </c>
      <c r="F260">
        <v>-9.4624191044516692E-3</v>
      </c>
    </row>
    <row r="261" spans="4:6">
      <c r="D261">
        <v>309</v>
      </c>
      <c r="E261">
        <v>8.7016458003262738</v>
      </c>
      <c r="F261">
        <v>3.3504662919625616E-6</v>
      </c>
    </row>
    <row r="262" spans="4:6">
      <c r="D262">
        <v>310</v>
      </c>
      <c r="E262">
        <v>8.6922405225698647</v>
      </c>
      <c r="F262">
        <v>-9.4019272901171291E-3</v>
      </c>
    </row>
    <row r="263" spans="4:6">
      <c r="D263">
        <v>311</v>
      </c>
      <c r="E263">
        <v>8.7016457574454478</v>
      </c>
      <c r="F263">
        <v>3.3075854659614379E-6</v>
      </c>
    </row>
    <row r="264" spans="4:6">
      <c r="D264">
        <v>312</v>
      </c>
      <c r="E264">
        <v>8.6923002443340227</v>
      </c>
      <c r="F264">
        <v>-9.3422055259591019E-3</v>
      </c>
    </row>
    <row r="265" spans="4:6">
      <c r="D265">
        <v>313</v>
      </c>
      <c r="E265">
        <v>8.7016457153864497</v>
      </c>
      <c r="F265">
        <v>3.265526467899349E-6</v>
      </c>
    </row>
    <row r="266" spans="4:6">
      <c r="D266">
        <v>314</v>
      </c>
      <c r="E266">
        <v>8.6923592106732457</v>
      </c>
      <c r="F266">
        <v>-9.2832391867361252E-3</v>
      </c>
    </row>
    <row r="267" spans="4:6">
      <c r="D267">
        <v>315</v>
      </c>
      <c r="E267">
        <v>8.7016456741199235</v>
      </c>
      <c r="F267">
        <v>3.224259941703167E-6</v>
      </c>
    </row>
    <row r="268" spans="4:6">
      <c r="D268">
        <v>316</v>
      </c>
      <c r="E268">
        <v>8.6924174358413584</v>
      </c>
      <c r="F268">
        <v>-9.225014018623412E-3</v>
      </c>
    </row>
    <row r="269" spans="4:6">
      <c r="D269">
        <v>317</v>
      </c>
      <c r="E269">
        <v>8.701645633635227</v>
      </c>
      <c r="F269">
        <v>3.1837752452190671E-6</v>
      </c>
    </row>
    <row r="270" spans="4:6">
      <c r="D270">
        <v>318</v>
      </c>
      <c r="E270">
        <v>8.6924749337479756</v>
      </c>
      <c r="F270">
        <v>-9.1675161120061688E-3</v>
      </c>
    </row>
    <row r="271" spans="4:6">
      <c r="D271">
        <v>319</v>
      </c>
      <c r="E271">
        <v>8.7016455939058002</v>
      </c>
      <c r="F271">
        <v>3.1440458183595865E-6</v>
      </c>
    </row>
    <row r="272" spans="4:6">
      <c r="D272">
        <v>320</v>
      </c>
      <c r="E272">
        <v>8.6925317179406445</v>
      </c>
      <c r="F272">
        <v>-9.1107319193373115E-3</v>
      </c>
    </row>
    <row r="273" spans="4:6">
      <c r="D273">
        <v>321</v>
      </c>
      <c r="E273">
        <v>8.7016455549154532</v>
      </c>
      <c r="F273">
        <v>3.105055471408491E-6</v>
      </c>
    </row>
    <row r="274" spans="4:6">
      <c r="D274">
        <v>322</v>
      </c>
      <c r="E274">
        <v>8.6925878016411744</v>
      </c>
      <c r="F274">
        <v>-9.0546482188074151E-3</v>
      </c>
    </row>
    <row r="275" spans="4:6">
      <c r="D275">
        <v>323</v>
      </c>
      <c r="E275">
        <v>8.7016455166457529</v>
      </c>
      <c r="F275">
        <v>3.0667857711108581E-6</v>
      </c>
    </row>
    <row r="276" spans="4:6">
      <c r="D276">
        <v>324</v>
      </c>
      <c r="E276">
        <v>8.6926431977411553</v>
      </c>
      <c r="F276">
        <v>-8.9992521188264618E-3</v>
      </c>
    </row>
    <row r="277" spans="4:6">
      <c r="D277">
        <v>325</v>
      </c>
      <c r="E277">
        <v>8.7016454790807547</v>
      </c>
      <c r="F277">
        <v>3.0292207728876974E-6</v>
      </c>
    </row>
    <row r="278" spans="4:6">
      <c r="D278">
        <v>326</v>
      </c>
      <c r="E278">
        <v>8.6926979188233346</v>
      </c>
      <c r="F278">
        <v>-8.9445310366471631E-3</v>
      </c>
    </row>
    <row r="279" spans="4:6">
      <c r="D279">
        <v>327</v>
      </c>
      <c r="E279">
        <v>8.7016454422002099</v>
      </c>
      <c r="F279">
        <v>2.9923402280473965E-6</v>
      </c>
    </row>
    <row r="280" spans="4:6">
      <c r="D280">
        <v>328</v>
      </c>
      <c r="E280">
        <v>8.6927519771679904</v>
      </c>
      <c r="F280">
        <v>-8.8904726919913912E-3</v>
      </c>
    </row>
    <row r="281" spans="4:6">
      <c r="D281">
        <v>329</v>
      </c>
      <c r="E281">
        <v>8.7016454059917034</v>
      </c>
      <c r="F281">
        <v>2.9561317216320049E-6</v>
      </c>
    </row>
    <row r="282" spans="4:6">
      <c r="D282">
        <v>330</v>
      </c>
      <c r="E282">
        <v>8.6928053847484037</v>
      </c>
      <c r="F282">
        <v>-8.8370651115781129E-3</v>
      </c>
    </row>
    <row r="283" spans="4:6">
      <c r="D283">
        <v>331</v>
      </c>
      <c r="E283">
        <v>8.7016453704313061</v>
      </c>
      <c r="F283">
        <v>2.9205713243385389E-6</v>
      </c>
    </row>
    <row r="284" spans="4:6">
      <c r="D284">
        <v>332</v>
      </c>
      <c r="E284">
        <v>8.6928581532547504</v>
      </c>
      <c r="F284">
        <v>-8.7842966052313898E-3</v>
      </c>
    </row>
    <row r="285" spans="4:6">
      <c r="D285">
        <v>333</v>
      </c>
      <c r="E285">
        <v>8.7016453355128203</v>
      </c>
      <c r="F285">
        <v>2.885652838457986E-6</v>
      </c>
    </row>
    <row r="286" spans="4:6">
      <c r="D286">
        <v>334</v>
      </c>
      <c r="E286">
        <v>8.6929102941055945</v>
      </c>
      <c r="F286">
        <v>-8.7321557543873496E-3</v>
      </c>
    </row>
    <row r="287" spans="4:6">
      <c r="D287">
        <v>335</v>
      </c>
      <c r="E287">
        <v>8.7016453012160095</v>
      </c>
      <c r="F287">
        <v>2.8513560277332317E-6</v>
      </c>
    </row>
    <row r="288" spans="4:6">
      <c r="D288">
        <v>336</v>
      </c>
      <c r="E288">
        <v>8.6929618184393025</v>
      </c>
      <c r="F288">
        <v>-8.6806314206793189E-3</v>
      </c>
    </row>
    <row r="289" spans="4:6">
      <c r="D289">
        <v>337</v>
      </c>
      <c r="E289">
        <v>8.7016452675279208</v>
      </c>
      <c r="F289">
        <v>2.8176679389702031E-6</v>
      </c>
    </row>
    <row r="290" spans="4:6">
      <c r="D290">
        <v>338</v>
      </c>
      <c r="E290">
        <v>8.6930127371436701</v>
      </c>
      <c r="F290">
        <v>-8.6297127163117437E-3</v>
      </c>
    </row>
    <row r="291" spans="4:6">
      <c r="D291">
        <v>339</v>
      </c>
      <c r="E291">
        <v>8.7016452344300816</v>
      </c>
      <c r="F291">
        <v>2.7845700998341272E-6</v>
      </c>
    </row>
    <row r="292" spans="4:6">
      <c r="D292">
        <v>340</v>
      </c>
      <c r="E292">
        <v>8.6930630608313688</v>
      </c>
      <c r="F292">
        <v>-8.5793890286129937E-3</v>
      </c>
    </row>
    <row r="293" spans="4:6">
      <c r="D293">
        <v>341</v>
      </c>
      <c r="E293">
        <v>8.7016452019128234</v>
      </c>
      <c r="F293">
        <v>2.7520528416147272E-6</v>
      </c>
    </row>
    <row r="294" spans="4:6">
      <c r="D294">
        <v>342</v>
      </c>
      <c r="E294">
        <v>8.6931127998968769</v>
      </c>
      <c r="F294">
        <v>-8.5296499631049016E-3</v>
      </c>
    </row>
    <row r="295" spans="4:6">
      <c r="D295">
        <v>343</v>
      </c>
      <c r="E295">
        <v>8.7016451699664472</v>
      </c>
      <c r="F295">
        <v>2.72010646540366E-6</v>
      </c>
    </row>
    <row r="296" spans="4:6">
      <c r="D296">
        <v>344</v>
      </c>
      <c r="E296">
        <v>8.6931619644697893</v>
      </c>
      <c r="F296">
        <v>-8.480485390192527E-3</v>
      </c>
    </row>
    <row r="297" spans="4:6">
      <c r="D297">
        <v>345</v>
      </c>
      <c r="E297">
        <v>8.7016451385665228</v>
      </c>
      <c r="F297">
        <v>2.6887065409653133E-6</v>
      </c>
    </row>
    <row r="298" spans="4:6">
      <c r="D298">
        <v>346</v>
      </c>
      <c r="E298">
        <v>8.6932105644546169</v>
      </c>
      <c r="F298">
        <v>-8.4318854053648806E-3</v>
      </c>
    </row>
    <row r="299" spans="4:6">
      <c r="D299">
        <v>347</v>
      </c>
      <c r="E299">
        <v>8.7016451077116592</v>
      </c>
      <c r="F299">
        <v>2.6578516774122818E-6</v>
      </c>
    </row>
    <row r="300" spans="4:6">
      <c r="D300">
        <v>348</v>
      </c>
      <c r="E300">
        <v>8.6932586095362936</v>
      </c>
      <c r="F300">
        <v>-8.3838403236882186E-3</v>
      </c>
    </row>
    <row r="301" spans="4:6">
      <c r="D301">
        <v>349</v>
      </c>
      <c r="E301">
        <v>8.7016450773840877</v>
      </c>
      <c r="F301">
        <v>2.6275241058471011E-6</v>
      </c>
    </row>
    <row r="302" spans="4:6">
      <c r="D302">
        <v>350</v>
      </c>
      <c r="E302">
        <v>8.6933061091679189</v>
      </c>
      <c r="F302">
        <v>-8.3363406920629046E-3</v>
      </c>
    </row>
    <row r="303" spans="4:6">
      <c r="D303">
        <v>351</v>
      </c>
      <c r="E303">
        <v>8.7016450475713167</v>
      </c>
      <c r="F303">
        <v>2.5977113349284764E-6</v>
      </c>
    </row>
    <row r="304" spans="4:6">
      <c r="D304">
        <v>352</v>
      </c>
      <c r="E304">
        <v>8.693353072597656</v>
      </c>
      <c r="F304">
        <v>-8.2893772623258144E-3</v>
      </c>
    </row>
    <row r="305" spans="4:6">
      <c r="D305">
        <v>353</v>
      </c>
      <c r="E305">
        <v>8.7016450182651592</v>
      </c>
      <c r="F305">
        <v>2.568405177427735E-6</v>
      </c>
    </row>
    <row r="306" spans="4:6">
      <c r="D306">
        <v>354</v>
      </c>
      <c r="E306">
        <v>8.6933995088575404</v>
      </c>
      <c r="F306">
        <v>-8.2429410024413841E-3</v>
      </c>
    </row>
    <row r="307" spans="4:6">
      <c r="D307">
        <v>355</v>
      </c>
      <c r="E307">
        <v>8.7016449894507097</v>
      </c>
      <c r="F307">
        <v>2.5395907279346375E-6</v>
      </c>
    </row>
    <row r="308" spans="4:6">
      <c r="D308">
        <v>356</v>
      </c>
      <c r="E308">
        <v>8.6934454267888448</v>
      </c>
      <c r="F308">
        <v>-8.1970230711370107E-3</v>
      </c>
    </row>
    <row r="309" spans="4:6">
      <c r="D309">
        <v>357</v>
      </c>
      <c r="E309">
        <v>8.701644961120838</v>
      </c>
      <c r="F309">
        <v>2.5112608561528305E-6</v>
      </c>
    </row>
    <row r="310" spans="4:6">
      <c r="D310">
        <v>358</v>
      </c>
      <c r="E310">
        <v>8.6934908350248108</v>
      </c>
      <c r="F310">
        <v>-8.1516148351710171E-3</v>
      </c>
    </row>
    <row r="311" spans="4:6">
      <c r="D311">
        <v>359</v>
      </c>
      <c r="E311">
        <v>8.7016449332582386</v>
      </c>
      <c r="F311">
        <v>2.4833982568139845E-6</v>
      </c>
    </row>
    <row r="312" spans="4:6">
      <c r="D312">
        <v>360</v>
      </c>
      <c r="E312">
        <v>8.6935357420183106</v>
      </c>
      <c r="F312">
        <v>-8.1067078416712235E-3</v>
      </c>
    </row>
    <row r="313" spans="4:6">
      <c r="D313">
        <v>361</v>
      </c>
      <c r="E313">
        <v>8.7016449058591636</v>
      </c>
      <c r="F313">
        <v>2.4559991818051685E-6</v>
      </c>
    </row>
    <row r="314" spans="4:6">
      <c r="D314">
        <v>362</v>
      </c>
      <c r="E314">
        <v>8.6935801560263357</v>
      </c>
      <c r="F314">
        <v>-8.0622938336460948E-3</v>
      </c>
    </row>
    <row r="315" spans="4:6">
      <c r="D315">
        <v>363</v>
      </c>
      <c r="E315">
        <v>8.7016448789106331</v>
      </c>
      <c r="F315">
        <v>2.429050651286957E-6</v>
      </c>
    </row>
    <row r="316" spans="4:6">
      <c r="D316">
        <v>364</v>
      </c>
      <c r="E316">
        <v>8.6936240851279134</v>
      </c>
      <c r="F316">
        <v>-8.0183647320684059E-3</v>
      </c>
    </row>
    <row r="317" spans="4:6">
      <c r="D317">
        <v>365</v>
      </c>
      <c r="E317">
        <v>8.7016448524041081</v>
      </c>
      <c r="F317">
        <v>2.4025441263120229E-6</v>
      </c>
    </row>
    <row r="318" spans="4:6">
      <c r="D318">
        <v>366</v>
      </c>
      <c r="E318">
        <v>8.6936675372378431</v>
      </c>
      <c r="F318">
        <v>-7.9749126221386746E-3</v>
      </c>
    </row>
    <row r="319" spans="4:6">
      <c r="D319">
        <v>367</v>
      </c>
      <c r="E319">
        <v>8.7016448263286925</v>
      </c>
      <c r="F319">
        <v>2.3764687107075133E-6</v>
      </c>
    </row>
    <row r="320" spans="4:6">
      <c r="D320">
        <v>368</v>
      </c>
      <c r="E320">
        <v>8.6937105200810745</v>
      </c>
      <c r="F320">
        <v>-7.9319297789073318E-3</v>
      </c>
    </row>
    <row r="321" spans="4:6">
      <c r="D321">
        <v>369</v>
      </c>
      <c r="E321">
        <v>8.7016448006742682</v>
      </c>
      <c r="F321">
        <v>2.3508142863448711E-6</v>
      </c>
    </row>
    <row r="322" spans="4:6">
      <c r="D322">
        <v>370</v>
      </c>
      <c r="E322">
        <v>8.6937530412299839</v>
      </c>
      <c r="F322">
        <v>-7.8894086299978738E-3</v>
      </c>
    </row>
    <row r="323" spans="4:6">
      <c r="D323">
        <v>371</v>
      </c>
      <c r="E323">
        <v>8.7016447754338344</v>
      </c>
      <c r="F323">
        <v>2.3255738526017922E-6</v>
      </c>
    </row>
    <row r="324" spans="4:6">
      <c r="D324">
        <v>372</v>
      </c>
      <c r="E324">
        <v>8.6937951080880502</v>
      </c>
      <c r="F324">
        <v>-7.8473417719315819E-3</v>
      </c>
    </row>
    <row r="325" spans="4:6">
      <c r="D325">
        <v>373</v>
      </c>
      <c r="E325">
        <v>8.7016447505969676</v>
      </c>
      <c r="F325">
        <v>2.3007369858163429E-6</v>
      </c>
    </row>
    <row r="326" spans="4:6">
      <c r="D326">
        <v>374</v>
      </c>
      <c r="E326">
        <v>8.693836727901525</v>
      </c>
      <c r="F326">
        <v>-7.8057219584568571E-3</v>
      </c>
    </row>
    <row r="327" spans="4:6">
      <c r="D327">
        <v>375</v>
      </c>
      <c r="E327">
        <v>8.7016447261566956</v>
      </c>
      <c r="F327">
        <v>2.2762967137879286E-6</v>
      </c>
    </row>
    <row r="328" spans="4:6">
      <c r="D328">
        <v>376</v>
      </c>
      <c r="E328">
        <v>8.6938779077735333</v>
      </c>
      <c r="F328">
        <v>-7.7645420864485004E-3</v>
      </c>
    </row>
    <row r="329" spans="4:6">
      <c r="D329">
        <v>377</v>
      </c>
      <c r="E329">
        <v>8.7016447021029659</v>
      </c>
      <c r="F329">
        <v>2.2522429841131952E-6</v>
      </c>
    </row>
    <row r="330" spans="4:6">
      <c r="D330">
        <v>378</v>
      </c>
      <c r="E330">
        <v>8.6939186546436051</v>
      </c>
      <c r="F330">
        <v>-7.7237952163766721E-3</v>
      </c>
    </row>
    <row r="331" spans="4:6">
      <c r="D331">
        <v>379</v>
      </c>
      <c r="E331">
        <v>8.7016446784324977</v>
      </c>
      <c r="F331">
        <v>2.2285725158610603E-6</v>
      </c>
    </row>
    <row r="332" spans="4:6">
      <c r="D332">
        <v>380</v>
      </c>
      <c r="E332">
        <v>8.6939589753097177</v>
      </c>
      <c r="F332">
        <v>-7.68347455026408E-3</v>
      </c>
    </row>
    <row r="333" spans="4:6">
      <c r="D333">
        <v>381</v>
      </c>
      <c r="E333">
        <v>8.7016446551286588</v>
      </c>
      <c r="F333">
        <v>2.2052686770024366E-6</v>
      </c>
    </row>
    <row r="334" spans="4:6">
      <c r="D334">
        <v>382</v>
      </c>
      <c r="E334">
        <v>8.6939988764322909</v>
      </c>
      <c r="F334">
        <v>-7.6435734276909528E-3</v>
      </c>
    </row>
    <row r="335" spans="4:6">
      <c r="D335">
        <v>383</v>
      </c>
      <c r="E335">
        <v>8.7016446321896606</v>
      </c>
      <c r="F335">
        <v>2.1823296787459867E-6</v>
      </c>
    </row>
    <row r="336" spans="4:6">
      <c r="D336">
        <v>384</v>
      </c>
      <c r="E336">
        <v>8.6940383645322488</v>
      </c>
      <c r="F336">
        <v>-7.6040853277330456E-3</v>
      </c>
    </row>
    <row r="337" spans="4:6">
      <c r="D337">
        <v>385</v>
      </c>
      <c r="E337">
        <v>8.7016446096058182</v>
      </c>
      <c r="F337">
        <v>2.1597458363942224E-6</v>
      </c>
    </row>
    <row r="338" spans="4:6">
      <c r="D338">
        <v>386</v>
      </c>
      <c r="E338">
        <v>8.6940774459939583</v>
      </c>
      <c r="F338">
        <v>-7.5650038660235452E-3</v>
      </c>
    </row>
    <row r="339" spans="4:6">
      <c r="D339">
        <v>387</v>
      </c>
      <c r="E339">
        <v>8.7016445873731616</v>
      </c>
      <c r="F339">
        <v>2.1375131797896074E-6</v>
      </c>
    </row>
    <row r="340" spans="4:6">
      <c r="D340">
        <v>388</v>
      </c>
      <c r="E340">
        <v>8.694116127072796</v>
      </c>
      <c r="F340">
        <v>-7.5263227871857907E-3</v>
      </c>
    </row>
    <row r="341" spans="4:6">
      <c r="D341">
        <v>389</v>
      </c>
      <c r="E341">
        <v>8.7016445654772845</v>
      </c>
      <c r="F341">
        <v>2.1156173026781744E-6</v>
      </c>
    </row>
    <row r="342" spans="4:6">
      <c r="D342">
        <v>390</v>
      </c>
      <c r="E342">
        <v>8.6941544138978699</v>
      </c>
      <c r="F342">
        <v>-7.4880359621118942E-3</v>
      </c>
    </row>
    <row r="343" spans="4:6">
      <c r="D343">
        <v>391</v>
      </c>
      <c r="E343">
        <v>8.7016445439231411</v>
      </c>
      <c r="F343">
        <v>2.0940631593191483E-6</v>
      </c>
    </row>
    <row r="344" spans="4:6">
      <c r="D344">
        <v>392</v>
      </c>
      <c r="E344">
        <v>8.6941923124655762</v>
      </c>
      <c r="F344">
        <v>-7.4501373944055871E-3</v>
      </c>
    </row>
    <row r="345" spans="4:6">
      <c r="D345">
        <v>393</v>
      </c>
      <c r="E345">
        <v>8.7016445226902839</v>
      </c>
      <c r="F345">
        <v>2.0728303020689509E-6</v>
      </c>
    </row>
    <row r="346" spans="4:6">
      <c r="D346">
        <v>394</v>
      </c>
      <c r="E346">
        <v>8.6942298286646373</v>
      </c>
      <c r="F346">
        <v>-7.4126211953444709E-3</v>
      </c>
    </row>
    <row r="347" spans="4:6">
      <c r="D347">
        <v>395</v>
      </c>
      <c r="E347">
        <v>8.7016445017842763</v>
      </c>
      <c r="F347">
        <v>2.0519242944772031E-6</v>
      </c>
    </row>
    <row r="348" spans="4:6">
      <c r="D348">
        <v>396</v>
      </c>
      <c r="E348">
        <v>8.6942669682502611</v>
      </c>
      <c r="F348">
        <v>-7.3754816097206799E-3</v>
      </c>
    </row>
    <row r="349" spans="4:6">
      <c r="D349">
        <v>397</v>
      </c>
      <c r="E349">
        <v>8.701644481189394</v>
      </c>
      <c r="F349">
        <v>2.0313294122331627E-6</v>
      </c>
    </row>
    <row r="350" spans="4:6">
      <c r="D350">
        <v>398</v>
      </c>
      <c r="E350">
        <v>8.6943037368762148</v>
      </c>
      <c r="F350">
        <v>-7.3387129837669818E-3</v>
      </c>
    </row>
    <row r="351" spans="4:6">
      <c r="D351">
        <v>399</v>
      </c>
      <c r="E351">
        <v>8.7016444609046406</v>
      </c>
      <c r="F351">
        <v>2.0110446588006425E-6</v>
      </c>
    </row>
    <row r="352" spans="4:6">
      <c r="D352">
        <v>400</v>
      </c>
      <c r="E352">
        <v>8.694340140074706</v>
      </c>
      <c r="F352">
        <v>-7.3023097852757957E-3</v>
      </c>
    </row>
    <row r="353" spans="4:6">
      <c r="D353">
        <v>401</v>
      </c>
      <c r="E353">
        <v>8.7016444409222071</v>
      </c>
      <c r="F353">
        <v>1.9910622253149768E-6</v>
      </c>
    </row>
    <row r="354" spans="4:6">
      <c r="D354">
        <v>402</v>
      </c>
      <c r="E354">
        <v>8.6943761832717108</v>
      </c>
      <c r="F354">
        <v>-7.2662665882710087E-3</v>
      </c>
    </row>
    <row r="355" spans="4:6">
      <c r="D355">
        <v>403</v>
      </c>
      <c r="E355">
        <v>8.7016444212325279</v>
      </c>
      <c r="F355">
        <v>1.9713725460945852E-6</v>
      </c>
    </row>
    <row r="356" spans="4:6">
      <c r="D356">
        <v>404</v>
      </c>
      <c r="E356">
        <v>8.6944118717818508</v>
      </c>
      <c r="F356">
        <v>-7.2305780781309892E-3</v>
      </c>
    </row>
    <row r="357" spans="4:6">
      <c r="D357">
        <v>405</v>
      </c>
      <c r="E357">
        <v>8.7016444018367007</v>
      </c>
      <c r="F357">
        <v>1.9519767189279946E-6</v>
      </c>
    </row>
    <row r="358" spans="4:6">
      <c r="D358">
        <v>406</v>
      </c>
      <c r="E358">
        <v>8.6944472108292388</v>
      </c>
      <c r="F358">
        <v>-7.1952390307430392E-3</v>
      </c>
    </row>
    <row r="359" spans="4:6">
      <c r="D359">
        <v>407</v>
      </c>
      <c r="E359">
        <v>8.7016443827274212</v>
      </c>
      <c r="F359">
        <v>1.9328674394358814E-6</v>
      </c>
    </row>
    <row r="360" spans="4:6">
      <c r="D360">
        <v>408</v>
      </c>
      <c r="E360">
        <v>8.6944822055166409</v>
      </c>
      <c r="F360">
        <v>-7.1602443433409491E-3</v>
      </c>
    </row>
    <row r="361" spans="4:6">
      <c r="D361">
        <v>409</v>
      </c>
      <c r="E361">
        <v>8.7016443638927203</v>
      </c>
      <c r="F361">
        <v>1.9140327385258615E-6</v>
      </c>
    </row>
    <row r="362" spans="4:6">
      <c r="D362">
        <v>410</v>
      </c>
      <c r="E362">
        <v>8.694516860863315</v>
      </c>
      <c r="F362">
        <v>-7.1255889966668207E-3</v>
      </c>
    </row>
    <row r="363" spans="4:6">
      <c r="D363">
        <v>411</v>
      </c>
      <c r="E363">
        <v>8.7016443453382628</v>
      </c>
      <c r="F363">
        <v>1.895478280999896E-6</v>
      </c>
    </row>
    <row r="364" spans="4:6">
      <c r="D364">
        <v>412</v>
      </c>
      <c r="E364">
        <v>8.6945511817831882</v>
      </c>
      <c r="F364">
        <v>-7.0912680767936109E-3</v>
      </c>
    </row>
    <row r="365" spans="4:6">
      <c r="D365">
        <v>413</v>
      </c>
      <c r="E365">
        <v>8.7016443270455142</v>
      </c>
      <c r="F365">
        <v>1.8771855323507225E-6</v>
      </c>
    </row>
    <row r="366" spans="4:6">
      <c r="D366">
        <v>414</v>
      </c>
      <c r="E366">
        <v>8.6945851730989201</v>
      </c>
      <c r="F366">
        <v>-7.0572767610617149E-3</v>
      </c>
    </row>
    <row r="367" spans="4:6">
      <c r="D367">
        <v>415</v>
      </c>
      <c r="E367">
        <v>8.7016443090188993</v>
      </c>
      <c r="F367">
        <v>1.8591589174832279E-6</v>
      </c>
    </row>
    <row r="368" spans="4:6">
      <c r="D368">
        <v>416</v>
      </c>
      <c r="E368">
        <v>8.6946188395379576</v>
      </c>
      <c r="F368">
        <v>-7.0236103220242541E-3</v>
      </c>
    </row>
    <row r="369" spans="4:6">
      <c r="D369">
        <v>417</v>
      </c>
      <c r="E369">
        <v>8.7016442912519185</v>
      </c>
      <c r="F369">
        <v>1.8413919367077369E-6</v>
      </c>
    </row>
    <row r="370" spans="4:6">
      <c r="D370">
        <v>418</v>
      </c>
      <c r="E370">
        <v>8.6946521857416457</v>
      </c>
      <c r="F370">
        <v>-6.9902641183361425E-3</v>
      </c>
    </row>
    <row r="371" spans="4:6">
      <c r="D371">
        <v>419</v>
      </c>
      <c r="E371">
        <v>8.7016442737374167</v>
      </c>
      <c r="F371">
        <v>1.8238774348589004E-6</v>
      </c>
    </row>
    <row r="372" spans="4:6">
      <c r="D372">
        <v>420</v>
      </c>
      <c r="E372">
        <v>8.6946852162601633</v>
      </c>
      <c r="F372">
        <v>-6.9572335998184798E-3</v>
      </c>
    </row>
    <row r="373" spans="4:6">
      <c r="D373">
        <v>421</v>
      </c>
      <c r="E373">
        <v>8.7016442564725036</v>
      </c>
      <c r="F373">
        <v>1.8066125218041407E-6</v>
      </c>
    </row>
    <row r="374" spans="4:6">
      <c r="D374">
        <v>422</v>
      </c>
      <c r="E374">
        <v>8.6947179355645616</v>
      </c>
      <c r="F374">
        <v>-6.924514295420181E-3</v>
      </c>
    </row>
    <row r="375" spans="4:6">
      <c r="D375">
        <v>423</v>
      </c>
      <c r="E375">
        <v>8.7016442394515767</v>
      </c>
      <c r="F375">
        <v>1.7895915949139862E-6</v>
      </c>
    </row>
    <row r="376" spans="4:6">
      <c r="D376">
        <v>424</v>
      </c>
      <c r="E376">
        <v>8.6947503480281707</v>
      </c>
      <c r="F376">
        <v>-6.8921018318111038E-3</v>
      </c>
    </row>
    <row r="377" spans="4:6">
      <c r="D377">
        <v>425</v>
      </c>
      <c r="E377">
        <v>8.7016442226683388</v>
      </c>
      <c r="F377">
        <v>1.7728083570034414E-6</v>
      </c>
    </row>
    <row r="378" spans="4:6">
      <c r="D378">
        <v>426</v>
      </c>
      <c r="E378">
        <v>8.694782457954048</v>
      </c>
      <c r="F378">
        <v>-6.8599919059337822E-3</v>
      </c>
    </row>
    <row r="379" spans="4:6">
      <c r="D379">
        <v>427</v>
      </c>
      <c r="E379">
        <v>8.7016442061242252</v>
      </c>
      <c r="F379">
        <v>1.7562642433688325E-6</v>
      </c>
    </row>
    <row r="380" spans="4:6">
      <c r="D380">
        <v>428</v>
      </c>
      <c r="E380">
        <v>8.6948142695602115</v>
      </c>
      <c r="F380">
        <v>-6.8281802997702812E-3</v>
      </c>
    </row>
    <row r="381" spans="4:6">
      <c r="D381">
        <v>429</v>
      </c>
      <c r="E381">
        <v>8.701644189804659</v>
      </c>
      <c r="F381">
        <v>1.7399446772259353E-6</v>
      </c>
    </row>
    <row r="382" spans="4:6">
      <c r="D382">
        <v>430</v>
      </c>
      <c r="E382">
        <v>8.6948457869936409</v>
      </c>
      <c r="F382">
        <v>-6.7966628663409523E-3</v>
      </c>
    </row>
    <row r="383" spans="4:6">
      <c r="D383">
        <v>431</v>
      </c>
      <c r="E383">
        <v>8.7016441737148043</v>
      </c>
      <c r="F383">
        <v>1.7238548224440819E-6</v>
      </c>
    </row>
    <row r="384" spans="4:6">
      <c r="D384">
        <v>432</v>
      </c>
      <c r="E384">
        <v>8.6948770143140255</v>
      </c>
      <c r="F384">
        <v>-6.765435545956322E-3</v>
      </c>
    </row>
    <row r="385" spans="4:6">
      <c r="D385">
        <v>433</v>
      </c>
      <c r="E385">
        <v>8.7016441578484685</v>
      </c>
      <c r="F385">
        <v>1.7079884866433304E-6</v>
      </c>
    </row>
    <row r="386" spans="4:6">
      <c r="D386">
        <v>434</v>
      </c>
      <c r="E386">
        <v>8.6949079555171114</v>
      </c>
      <c r="F386">
        <v>-6.734494342870434E-3</v>
      </c>
    </row>
    <row r="387" spans="4:6">
      <c r="D387">
        <v>435</v>
      </c>
      <c r="E387">
        <v>8.7016441421976705</v>
      </c>
      <c r="F387">
        <v>1.6923376886524011E-6</v>
      </c>
    </row>
    <row r="388" spans="4:6">
      <c r="D388">
        <v>436</v>
      </c>
      <c r="E388">
        <v>8.6949386145137506</v>
      </c>
      <c r="F388">
        <v>-6.7038353462312017E-3</v>
      </c>
    </row>
    <row r="389" spans="4:6">
      <c r="D389">
        <v>437</v>
      </c>
      <c r="E389">
        <v>8.701644126760387</v>
      </c>
      <c r="F389">
        <v>1.676900405200854E-6</v>
      </c>
    </row>
    <row r="390" spans="4:6">
      <c r="D390">
        <v>438</v>
      </c>
      <c r="E390">
        <v>8.6949689951565983</v>
      </c>
      <c r="F390">
        <v>-6.6734547033835412E-3</v>
      </c>
    </row>
    <row r="391" spans="4:6">
      <c r="D391">
        <v>439</v>
      </c>
      <c r="E391">
        <v>8.7016441115335965</v>
      </c>
      <c r="F391">
        <v>1.6616736147057054E-6</v>
      </c>
    </row>
    <row r="392" spans="4:6">
      <c r="D392">
        <v>440</v>
      </c>
      <c r="E392">
        <v>8.694999101221061</v>
      </c>
      <c r="F392">
        <v>-6.6433486389207985E-3</v>
      </c>
    </row>
    <row r="393" spans="4:6">
      <c r="D393">
        <v>441</v>
      </c>
      <c r="E393">
        <v>8.7016440965183897</v>
      </c>
      <c r="F393">
        <v>1.6466584078500546E-6</v>
      </c>
    </row>
    <row r="394" spans="4:6">
      <c r="D394">
        <v>442</v>
      </c>
      <c r="E394">
        <v>8.6950289364128288</v>
      </c>
      <c r="F394">
        <v>-6.6135134471529966E-3</v>
      </c>
    </row>
    <row r="395" spans="4:6">
      <c r="D395">
        <v>443</v>
      </c>
      <c r="E395">
        <v>8.7016440817016338</v>
      </c>
      <c r="F395">
        <v>1.6318416520277879E-6</v>
      </c>
    </row>
    <row r="396" spans="4:6">
      <c r="D396">
        <v>444</v>
      </c>
      <c r="E396">
        <v>8.6950585043788085</v>
      </c>
      <c r="F396">
        <v>-6.5839454811733589E-3</v>
      </c>
    </row>
    <row r="397" spans="4:6">
      <c r="D397">
        <v>445</v>
      </c>
      <c r="E397">
        <v>8.7016440670810038</v>
      </c>
      <c r="F397">
        <v>1.6172210219878025E-6</v>
      </c>
    </row>
    <row r="398" spans="4:6">
      <c r="D398">
        <v>446</v>
      </c>
      <c r="E398">
        <v>8.6950878086922714</v>
      </c>
      <c r="F398">
        <v>-6.5546411677104288E-3</v>
      </c>
    </row>
    <row r="399" spans="4:6">
      <c r="D399">
        <v>447</v>
      </c>
      <c r="E399">
        <v>8.7016440526607113</v>
      </c>
      <c r="F399">
        <v>1.6028007294721647E-6</v>
      </c>
    </row>
    <row r="400" spans="4:6">
      <c r="D400">
        <v>448</v>
      </c>
      <c r="E400">
        <v>8.6951168528665157</v>
      </c>
      <c r="F400">
        <v>-6.5255969934661096E-3</v>
      </c>
    </row>
    <row r="401" spans="4:6">
      <c r="D401">
        <v>449</v>
      </c>
      <c r="E401">
        <v>8.7016440384281832</v>
      </c>
      <c r="F401">
        <v>1.5885682014271651E-6</v>
      </c>
    </row>
    <row r="402" spans="4:6">
      <c r="D402">
        <v>450</v>
      </c>
      <c r="E402">
        <v>8.6951456403625382</v>
      </c>
      <c r="F402">
        <v>-6.4968094974435786E-3</v>
      </c>
    </row>
    <row r="403" spans="4:6">
      <c r="D403">
        <v>451</v>
      </c>
      <c r="E403">
        <v>8.7016440243889193</v>
      </c>
      <c r="F403">
        <v>1.5745289374535787E-6</v>
      </c>
    </row>
    <row r="404" spans="4:6">
      <c r="D404">
        <v>452</v>
      </c>
      <c r="E404">
        <v>8.6951741745537401</v>
      </c>
      <c r="F404">
        <v>-6.468275306241722E-3</v>
      </c>
    </row>
    <row r="405" spans="4:6">
      <c r="D405">
        <v>453</v>
      </c>
      <c r="E405">
        <v>8.7016440105334212</v>
      </c>
      <c r="F405">
        <v>1.560673439371385E-6</v>
      </c>
    </row>
    <row r="406" spans="4:6">
      <c r="D406">
        <v>454</v>
      </c>
      <c r="E406">
        <v>8.6952024587866532</v>
      </c>
      <c r="F406">
        <v>-6.4399910733285992E-3</v>
      </c>
    </row>
    <row r="407" spans="4:6">
      <c r="D407">
        <v>455</v>
      </c>
      <c r="E407">
        <v>8.7016439968614563</v>
      </c>
      <c r="F407">
        <v>1.5470014744778382E-6</v>
      </c>
    </row>
    <row r="408" spans="4:6">
      <c r="D408">
        <v>456</v>
      </c>
      <c r="E408">
        <v>8.6952304963303355</v>
      </c>
      <c r="F408">
        <v>-6.4119535296462971E-3</v>
      </c>
    </row>
    <row r="409" spans="4:6">
      <c r="D409">
        <v>457</v>
      </c>
      <c r="E409">
        <v>8.7016439833660293</v>
      </c>
      <c r="F409">
        <v>1.5335060474797046E-6</v>
      </c>
    </row>
    <row r="410" spans="4:6">
      <c r="D410">
        <v>458</v>
      </c>
      <c r="E410">
        <v>8.6952582903924096</v>
      </c>
      <c r="F410">
        <v>-6.3841594675722035E-3</v>
      </c>
    </row>
    <row r="411" spans="4:6">
      <c r="D411">
        <v>459</v>
      </c>
      <c r="E411">
        <v>8.701643970045847</v>
      </c>
      <c r="F411">
        <v>1.5201858651892053E-6</v>
      </c>
    </row>
    <row r="412" spans="4:6">
      <c r="D412">
        <v>460</v>
      </c>
      <c r="E412">
        <v>8.6952858441435374</v>
      </c>
      <c r="F412">
        <v>-6.3566057164443635E-3</v>
      </c>
    </row>
    <row r="413" spans="4:6">
      <c r="D413">
        <v>461</v>
      </c>
      <c r="E413">
        <v>8.7016439568990638</v>
      </c>
      <c r="F413">
        <v>1.507039081971584E-6</v>
      </c>
    </row>
    <row r="414" spans="4:6">
      <c r="D414">
        <v>462</v>
      </c>
      <c r="E414">
        <v>8.6953131606897909</v>
      </c>
      <c r="F414">
        <v>-6.3292891701909326E-3</v>
      </c>
    </row>
    <row r="415" spans="4:6">
      <c r="D415">
        <v>463</v>
      </c>
      <c r="E415">
        <v>8.7016439439215922</v>
      </c>
      <c r="F415">
        <v>1.4940616104297533E-6</v>
      </c>
    </row>
    <row r="416" spans="4:6">
      <c r="D416">
        <v>464</v>
      </c>
      <c r="E416">
        <v>8.6953402430734723</v>
      </c>
      <c r="F416">
        <v>-6.3022067865095011E-3</v>
      </c>
    </row>
    <row r="417" spans="4:6">
      <c r="D417">
        <v>465</v>
      </c>
      <c r="E417">
        <v>8.7016439311135088</v>
      </c>
      <c r="F417">
        <v>1.4812535269470573E-6</v>
      </c>
    </row>
    <row r="418" spans="4:6">
      <c r="D418">
        <v>466</v>
      </c>
      <c r="E418">
        <v>8.6953670943061141</v>
      </c>
      <c r="F418">
        <v>-6.2753555538677119E-3</v>
      </c>
    </row>
    <row r="419" spans="4:6">
      <c r="D419">
        <v>467</v>
      </c>
      <c r="E419">
        <v>8.7016439184692143</v>
      </c>
      <c r="F419">
        <v>1.4686092324467381E-6</v>
      </c>
    </row>
    <row r="420" spans="4:6">
      <c r="D420">
        <v>468</v>
      </c>
      <c r="E420">
        <v>8.695393717328459</v>
      </c>
      <c r="F420">
        <v>-6.2487325315228048E-3</v>
      </c>
    </row>
    <row r="421" spans="4:6">
      <c r="D421">
        <v>469</v>
      </c>
      <c r="E421">
        <v>8.7016439059824862</v>
      </c>
      <c r="F421">
        <v>1.4561225043507875E-6</v>
      </c>
    </row>
    <row r="422" spans="4:6">
      <c r="D422">
        <v>470</v>
      </c>
      <c r="E422">
        <v>8.6954201150439019</v>
      </c>
      <c r="F422">
        <v>-6.2223348160799219E-3</v>
      </c>
    </row>
    <row r="423" spans="4:6">
      <c r="D423">
        <v>471</v>
      </c>
      <c r="E423">
        <v>8.7016438936593978</v>
      </c>
      <c r="F423">
        <v>1.4437994160232392E-6</v>
      </c>
    </row>
    <row r="424" spans="4:6">
      <c r="D424">
        <v>472</v>
      </c>
      <c r="E424">
        <v>8.6954462903053038</v>
      </c>
      <c r="F424">
        <v>-6.1961595546780046E-3</v>
      </c>
    </row>
    <row r="425" spans="4:6">
      <c r="D425">
        <v>473</v>
      </c>
      <c r="E425">
        <v>8.7016438814872927</v>
      </c>
      <c r="F425">
        <v>1.4316273109216127E-6</v>
      </c>
    </row>
    <row r="426" spans="4:6">
      <c r="D426">
        <v>474</v>
      </c>
      <c r="E426">
        <v>8.6954722459091798</v>
      </c>
      <c r="F426">
        <v>-6.1702039508020334E-3</v>
      </c>
    </row>
    <row r="427" spans="4:6">
      <c r="D427">
        <v>475</v>
      </c>
      <c r="E427">
        <v>8.7016438694697662</v>
      </c>
      <c r="F427">
        <v>1.4196097843921507E-6</v>
      </c>
    </row>
    <row r="428" spans="4:6">
      <c r="D428">
        <v>476</v>
      </c>
      <c r="E428">
        <v>8.6954979846160345</v>
      </c>
      <c r="F428">
        <v>-6.1444652439472947E-3</v>
      </c>
    </row>
    <row r="429" spans="4:6">
      <c r="D429">
        <v>477</v>
      </c>
      <c r="E429">
        <v>8.7016438576043935</v>
      </c>
      <c r="F429">
        <v>1.4077444117077675E-6</v>
      </c>
    </row>
    <row r="430" spans="4:6">
      <c r="D430">
        <v>478</v>
      </c>
      <c r="E430">
        <v>8.6955235091330039</v>
      </c>
      <c r="F430">
        <v>-6.1189407269779394E-3</v>
      </c>
    </row>
    <row r="431" spans="4:6">
      <c r="D431">
        <v>479</v>
      </c>
      <c r="E431">
        <v>8.7016438458855294</v>
      </c>
      <c r="F431">
        <v>1.3960255476064276E-6</v>
      </c>
    </row>
    <row r="432" spans="4:6">
      <c r="D432">
        <v>480</v>
      </c>
      <c r="E432">
        <v>8.6955488221238504</v>
      </c>
      <c r="F432">
        <v>-6.0936277361314239E-3</v>
      </c>
    </row>
    <row r="433" spans="4:6">
      <c r="D433">
        <v>481</v>
      </c>
      <c r="E433">
        <v>8.7016438343170268</v>
      </c>
      <c r="F433">
        <v>1.3844570450061155E-6</v>
      </c>
    </row>
    <row r="434" spans="4:6">
      <c r="D434">
        <v>482</v>
      </c>
      <c r="E434">
        <v>8.6955739262115994</v>
      </c>
      <c r="F434">
        <v>-6.0685236483823957E-3</v>
      </c>
    </row>
    <row r="435" spans="4:6">
      <c r="D435">
        <v>483</v>
      </c>
      <c r="E435">
        <v>8.7016438228880677</v>
      </c>
      <c r="F435">
        <v>1.3730280858936794E-6</v>
      </c>
    </row>
    <row r="436" spans="4:6">
      <c r="D436">
        <v>484</v>
      </c>
      <c r="E436">
        <v>8.6955988239744535</v>
      </c>
      <c r="F436">
        <v>-6.0436258855283143E-3</v>
      </c>
    </row>
    <row r="437" spans="4:6">
      <c r="D437">
        <v>485</v>
      </c>
      <c r="E437">
        <v>8.7016438116006061</v>
      </c>
      <c r="F437">
        <v>1.3617406242616426E-6</v>
      </c>
    </row>
    <row r="438" spans="4:6">
      <c r="D438">
        <v>486</v>
      </c>
      <c r="E438">
        <v>8.6956235179465029</v>
      </c>
      <c r="F438">
        <v>-6.0189319134789088E-3</v>
      </c>
    </row>
    <row r="439" spans="4:6">
      <c r="D439">
        <v>487</v>
      </c>
      <c r="E439">
        <v>8.7016438004511301</v>
      </c>
      <c r="F439">
        <v>1.3505911482525335E-6</v>
      </c>
    </row>
    <row r="440" spans="4:6">
      <c r="D440">
        <v>488</v>
      </c>
      <c r="E440">
        <v>8.6956480106209764</v>
      </c>
      <c r="F440">
        <v>-5.9944392390054446E-3</v>
      </c>
    </row>
    <row r="441" spans="4:6">
      <c r="D441">
        <v>489</v>
      </c>
      <c r="E441">
        <v>8.7016437894352894</v>
      </c>
      <c r="F441">
        <v>1.3395753075684524E-6</v>
      </c>
    </row>
    <row r="442" spans="4:6">
      <c r="D442">
        <v>490</v>
      </c>
      <c r="E442">
        <v>8.6956723044546234</v>
      </c>
      <c r="F442">
        <v>-5.9701454053584513E-3</v>
      </c>
    </row>
    <row r="443" spans="4:6">
      <c r="D443">
        <v>491</v>
      </c>
      <c r="E443">
        <v>8.7016437785572265</v>
      </c>
      <c r="F443">
        <v>1.328697244673549E-6</v>
      </c>
    </row>
    <row r="444" spans="4:6">
      <c r="D444">
        <v>492</v>
      </c>
      <c r="E444">
        <v>8.6956964018502578</v>
      </c>
      <c r="F444">
        <v>-5.946048009723981E-3</v>
      </c>
    </row>
    <row r="445" spans="4:6">
      <c r="D445">
        <v>493</v>
      </c>
      <c r="E445">
        <v>8.7016437678097098</v>
      </c>
      <c r="F445">
        <v>1.3179497280191299E-6</v>
      </c>
    </row>
    <row r="446" spans="4:6">
      <c r="D446">
        <v>494</v>
      </c>
      <c r="E446">
        <v>8.6957203051947278</v>
      </c>
      <c r="F446">
        <v>-5.9221446652539811E-3</v>
      </c>
    </row>
    <row r="447" spans="4:6">
      <c r="D447">
        <v>495</v>
      </c>
      <c r="E447">
        <v>8.70164375719364</v>
      </c>
      <c r="F447">
        <v>1.3073336582181128E-6</v>
      </c>
    </row>
    <row r="448" spans="4:6">
      <c r="D448">
        <v>496</v>
      </c>
      <c r="E448">
        <v>8.6957440168220366</v>
      </c>
      <c r="F448">
        <v>-5.8984330379452388E-3</v>
      </c>
    </row>
    <row r="449" spans="4:6">
      <c r="D449">
        <v>497</v>
      </c>
      <c r="E449">
        <v>8.701643746702894</v>
      </c>
      <c r="F449">
        <v>1.2968429121684721E-6</v>
      </c>
    </row>
    <row r="450" spans="4:6">
      <c r="D450">
        <v>498</v>
      </c>
      <c r="E450">
        <v>8.6957675390251321</v>
      </c>
      <c r="F450">
        <v>-5.8749108348497003E-3</v>
      </c>
    </row>
    <row r="451" spans="4:6">
      <c r="D451">
        <v>499</v>
      </c>
      <c r="E451">
        <v>8.7016437363408254</v>
      </c>
      <c r="F451">
        <v>1.2864808436319208E-6</v>
      </c>
    </row>
    <row r="452" spans="4:6">
      <c r="D452">
        <v>500</v>
      </c>
      <c r="E452">
        <v>8.6957908740721521</v>
      </c>
      <c r="F452">
        <v>-5.8515757878296881E-3</v>
      </c>
    </row>
  </sheetData>
  <phoneticPr fontId="5" type="noConversion"/>
  <pageMargins left="0.75" right="0.75" top="1" bottom="1"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K18"/>
  <sheetViews>
    <sheetView workbookViewId="0">
      <selection sqref="A1:I14"/>
    </sheetView>
  </sheetViews>
  <sheetFormatPr baseColWidth="10" defaultColWidth="8.83203125" defaultRowHeight="13"/>
  <sheetData>
    <row r="1" spans="1:11" ht="12.75" customHeight="1">
      <c r="A1" s="12" t="s">
        <v>42</v>
      </c>
      <c r="B1" s="12"/>
      <c r="C1" s="12"/>
      <c r="D1" s="12"/>
      <c r="E1" s="12"/>
      <c r="F1" s="12"/>
      <c r="G1" s="12"/>
      <c r="H1" s="12"/>
      <c r="I1" s="12"/>
      <c r="J1" s="6"/>
      <c r="K1" s="6"/>
    </row>
    <row r="2" spans="1:11">
      <c r="A2" s="12"/>
      <c r="B2" s="12"/>
      <c r="C2" s="12"/>
      <c r="D2" s="12"/>
      <c r="E2" s="12"/>
      <c r="F2" s="12"/>
      <c r="G2" s="12"/>
      <c r="H2" s="12"/>
      <c r="I2" s="12"/>
      <c r="J2" s="6"/>
      <c r="K2" s="6"/>
    </row>
    <row r="3" spans="1:11">
      <c r="A3" s="12"/>
      <c r="B3" s="12"/>
      <c r="C3" s="12"/>
      <c r="D3" s="12"/>
      <c r="E3" s="12"/>
      <c r="F3" s="12"/>
      <c r="G3" s="12"/>
      <c r="H3" s="12"/>
      <c r="I3" s="12"/>
      <c r="J3" s="6"/>
      <c r="K3" s="6"/>
    </row>
    <row r="4" spans="1:11">
      <c r="A4" s="12"/>
      <c r="B4" s="12"/>
      <c r="C4" s="12"/>
      <c r="D4" s="12"/>
      <c r="E4" s="12"/>
      <c r="F4" s="12"/>
      <c r="G4" s="12"/>
      <c r="H4" s="12"/>
      <c r="I4" s="12"/>
      <c r="J4" s="6"/>
      <c r="K4" s="6"/>
    </row>
    <row r="5" spans="1:11">
      <c r="A5" s="12"/>
      <c r="B5" s="12"/>
      <c r="C5" s="12"/>
      <c r="D5" s="12"/>
      <c r="E5" s="12"/>
      <c r="F5" s="12"/>
      <c r="G5" s="12"/>
      <c r="H5" s="12"/>
      <c r="I5" s="12"/>
      <c r="J5" s="6"/>
      <c r="K5" s="6"/>
    </row>
    <row r="6" spans="1:11">
      <c r="A6" s="12"/>
      <c r="B6" s="12"/>
      <c r="C6" s="12"/>
      <c r="D6" s="12"/>
      <c r="E6" s="12"/>
      <c r="F6" s="12"/>
      <c r="G6" s="12"/>
      <c r="H6" s="12"/>
      <c r="I6" s="12"/>
      <c r="J6" s="6"/>
      <c r="K6" s="6"/>
    </row>
    <row r="7" spans="1:11">
      <c r="A7" s="12"/>
      <c r="B7" s="12"/>
      <c r="C7" s="12"/>
      <c r="D7" s="12"/>
      <c r="E7" s="12"/>
      <c r="F7" s="12"/>
      <c r="G7" s="12"/>
      <c r="H7" s="12"/>
      <c r="I7" s="12"/>
      <c r="J7" s="6"/>
      <c r="K7" s="6"/>
    </row>
    <row r="8" spans="1:11">
      <c r="A8" s="12"/>
      <c r="B8" s="12"/>
      <c r="C8" s="12"/>
      <c r="D8" s="12"/>
      <c r="E8" s="12"/>
      <c r="F8" s="12"/>
      <c r="G8" s="12"/>
      <c r="H8" s="12"/>
      <c r="I8" s="12"/>
      <c r="J8" s="6"/>
      <c r="K8" s="6"/>
    </row>
    <row r="9" spans="1:11">
      <c r="A9" s="12"/>
      <c r="B9" s="12"/>
      <c r="C9" s="12"/>
      <c r="D9" s="12"/>
      <c r="E9" s="12"/>
      <c r="F9" s="12"/>
      <c r="G9" s="12"/>
      <c r="H9" s="12"/>
      <c r="I9" s="12"/>
      <c r="J9" s="6"/>
      <c r="K9" s="6"/>
    </row>
    <row r="10" spans="1:11">
      <c r="A10" s="12"/>
      <c r="B10" s="12"/>
      <c r="C10" s="12"/>
      <c r="D10" s="12"/>
      <c r="E10" s="12"/>
      <c r="F10" s="12"/>
      <c r="G10" s="12"/>
      <c r="H10" s="12"/>
      <c r="I10" s="12"/>
      <c r="J10" s="6"/>
      <c r="K10" s="6"/>
    </row>
    <row r="11" spans="1:11">
      <c r="A11" s="12"/>
      <c r="B11" s="12"/>
      <c r="C11" s="12"/>
      <c r="D11" s="12"/>
      <c r="E11" s="12"/>
      <c r="F11" s="12"/>
      <c r="G11" s="12"/>
      <c r="H11" s="12"/>
      <c r="I11" s="12"/>
      <c r="J11" s="6"/>
      <c r="K11" s="6"/>
    </row>
    <row r="12" spans="1:11">
      <c r="A12" s="12"/>
      <c r="B12" s="12"/>
      <c r="C12" s="12"/>
      <c r="D12" s="12"/>
      <c r="E12" s="12"/>
      <c r="F12" s="12"/>
      <c r="G12" s="12"/>
      <c r="H12" s="12"/>
      <c r="I12" s="12"/>
      <c r="J12" s="6"/>
      <c r="K12" s="6"/>
    </row>
    <row r="13" spans="1:11">
      <c r="A13" s="12"/>
      <c r="B13" s="12"/>
      <c r="C13" s="12"/>
      <c r="D13" s="12"/>
      <c r="E13" s="12"/>
      <c r="F13" s="12"/>
      <c r="G13" s="12"/>
      <c r="H13" s="12"/>
      <c r="I13" s="12"/>
      <c r="J13" s="6"/>
      <c r="K13" s="6"/>
    </row>
    <row r="14" spans="1:11">
      <c r="A14" s="12"/>
      <c r="B14" s="12"/>
      <c r="C14" s="12"/>
      <c r="D14" s="12"/>
      <c r="E14" s="12"/>
      <c r="F14" s="12"/>
      <c r="G14" s="12"/>
      <c r="H14" s="12"/>
      <c r="I14" s="12"/>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sheetData>
  <mergeCells count="1">
    <mergeCell ref="A1:I14"/>
  </mergeCells>
  <phoneticPr fontId="5" type="noConversion"/>
  <pageMargins left="0.75" right="0.75" top="1" bottom="1"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42"/>
  <sheetViews>
    <sheetView workbookViewId="0">
      <selection activeCell="A2" sqref="A2"/>
    </sheetView>
  </sheetViews>
  <sheetFormatPr baseColWidth="10" defaultColWidth="8.83203125" defaultRowHeight="13"/>
  <cols>
    <col min="1" max="1" width="12.5" customWidth="1"/>
    <col min="4" max="4" width="13.6640625" customWidth="1"/>
    <col min="5" max="5" width="12.1640625" customWidth="1"/>
  </cols>
  <sheetData>
    <row r="1" spans="1:6" ht="14">
      <c r="A1" s="5" t="s">
        <v>40</v>
      </c>
      <c r="B1" s="2"/>
      <c r="D1" s="5" t="s">
        <v>5</v>
      </c>
      <c r="E1" s="5" t="s">
        <v>6</v>
      </c>
      <c r="F1" s="5" t="s">
        <v>7</v>
      </c>
    </row>
    <row r="2" spans="1:6" ht="14">
      <c r="A2" s="2" t="s">
        <v>0</v>
      </c>
      <c r="B2" s="2">
        <v>50</v>
      </c>
      <c r="D2">
        <v>50</v>
      </c>
      <c r="E2">
        <v>8.6956512230913923</v>
      </c>
      <c r="F2">
        <v>-5.9912267685895415E-3</v>
      </c>
    </row>
    <row r="3" spans="1:6" ht="14">
      <c r="A3" s="2" t="s">
        <v>9</v>
      </c>
      <c r="B3" s="2">
        <v>55</v>
      </c>
      <c r="D3">
        <v>100</v>
      </c>
      <c r="E3">
        <v>8.7149227119389252</v>
      </c>
      <c r="F3">
        <v>1.3280262078943394E-2</v>
      </c>
    </row>
    <row r="4" spans="1:6" ht="14">
      <c r="A4" s="2" t="s">
        <v>3</v>
      </c>
      <c r="B4" s="2">
        <v>0.3</v>
      </c>
      <c r="D4">
        <v>200</v>
      </c>
      <c r="E4">
        <v>8.7048052544024905</v>
      </c>
      <c r="F4">
        <v>3.1628045425087237E-3</v>
      </c>
    </row>
    <row r="5" spans="1:6" ht="14">
      <c r="A5" s="2" t="s">
        <v>4</v>
      </c>
      <c r="B5" s="2">
        <v>0.01</v>
      </c>
      <c r="D5">
        <v>300</v>
      </c>
      <c r="E5">
        <v>8.7038838589179921</v>
      </c>
      <c r="F5">
        <v>2.2414090580102908E-3</v>
      </c>
    </row>
    <row r="6" spans="1:6" ht="14">
      <c r="A6" s="2" t="s">
        <v>1</v>
      </c>
      <c r="B6" s="2">
        <v>1</v>
      </c>
      <c r="D6">
        <v>400</v>
      </c>
      <c r="E6">
        <v>8.7020463943117221</v>
      </c>
      <c r="F6">
        <v>4.0394445174030125E-4</v>
      </c>
    </row>
    <row r="7" spans="1:6" ht="14">
      <c r="A7" s="2" t="s">
        <v>2</v>
      </c>
      <c r="B7" s="2">
        <v>0</v>
      </c>
      <c r="D7">
        <v>500</v>
      </c>
      <c r="E7">
        <v>8.7044032352330447</v>
      </c>
      <c r="F7">
        <v>2.7607853730629017E-3</v>
      </c>
    </row>
    <row r="8" spans="1:6" ht="14">
      <c r="A8" s="2" t="s">
        <v>19</v>
      </c>
      <c r="B8" s="2">
        <f>(LN(B2/B3)+(B5+B4^2/2)*B6)/(B4*SQRT(B6))</f>
        <v>-0.13436726601441631</v>
      </c>
      <c r="D8">
        <v>600</v>
      </c>
      <c r="E8">
        <v>8.7009807148672262</v>
      </c>
      <c r="F8">
        <v>-6.6173499275556935E-4</v>
      </c>
    </row>
    <row r="9" spans="1:6" ht="14">
      <c r="A9" s="2" t="s">
        <v>20</v>
      </c>
      <c r="B9" s="2">
        <f>(LN(B2/B3)+(B5-B4^2/2)*B6)/(B4*SQRT(B6))</f>
        <v>-0.43436726601441628</v>
      </c>
      <c r="D9">
        <v>700</v>
      </c>
      <c r="E9">
        <v>8.7021476098323554</v>
      </c>
      <c r="F9">
        <v>5.0515997237354782E-4</v>
      </c>
    </row>
    <row r="10" spans="1:6" ht="14">
      <c r="A10" s="2"/>
      <c r="B10" s="2"/>
      <c r="D10">
        <v>800</v>
      </c>
      <c r="E10">
        <v>8.7034035407674555</v>
      </c>
      <c r="F10">
        <v>1.7610909074736725E-3</v>
      </c>
    </row>
    <row r="11" spans="1:6" ht="14">
      <c r="A11" s="2"/>
      <c r="B11" s="2"/>
      <c r="D11">
        <v>900</v>
      </c>
      <c r="E11">
        <v>8.7022875053912543</v>
      </c>
      <c r="F11">
        <v>6.4505553127247595E-4</v>
      </c>
    </row>
    <row r="12" spans="1:6" ht="14">
      <c r="A12" s="3" t="s">
        <v>8</v>
      </c>
      <c r="B12" s="2">
        <f>B3*EXP(-B5*B6)*(1-NORMSDIST(B9))-B2*(1-NORMSDIST(B8))</f>
        <v>8.7016424498599818</v>
      </c>
      <c r="D12">
        <v>1000</v>
      </c>
      <c r="E12">
        <v>8.70035506176648</v>
      </c>
      <c r="F12">
        <v>-1.2873880935018178E-3</v>
      </c>
    </row>
    <row r="13" spans="1:6">
      <c r="D13">
        <v>1100</v>
      </c>
      <c r="E13">
        <v>8.7023402409196997</v>
      </c>
      <c r="F13">
        <v>6.9779105971790045E-4</v>
      </c>
    </row>
    <row r="14" spans="1:6">
      <c r="D14">
        <v>1200</v>
      </c>
      <c r="E14">
        <v>8.7028171590065995</v>
      </c>
      <c r="F14">
        <v>1.1747091466176585E-3</v>
      </c>
    </row>
    <row r="15" spans="1:6">
      <c r="D15">
        <v>1300</v>
      </c>
      <c r="E15">
        <v>8.702259124978049</v>
      </c>
      <c r="F15">
        <v>6.1667511806717812E-4</v>
      </c>
    </row>
    <row r="16" spans="1:6">
      <c r="D16">
        <v>1400</v>
      </c>
      <c r="E16">
        <v>8.7009838878932797</v>
      </c>
      <c r="F16">
        <v>-6.585619667021092E-4</v>
      </c>
    </row>
    <row r="17" spans="4:6">
      <c r="D17">
        <v>1500</v>
      </c>
      <c r="E17">
        <v>8.7016223932845964</v>
      </c>
      <c r="F17">
        <v>-2.0056575385396513E-5</v>
      </c>
    </row>
    <row r="18" spans="4:6">
      <c r="D18">
        <v>1600</v>
      </c>
      <c r="E18">
        <v>8.7023630974664439</v>
      </c>
      <c r="F18">
        <v>7.2064760646206594E-4</v>
      </c>
    </row>
    <row r="19" spans="4:6">
      <c r="D19">
        <v>1700</v>
      </c>
      <c r="E19">
        <v>8.7024552696618098</v>
      </c>
      <c r="F19">
        <v>8.1281980182801306E-4</v>
      </c>
    </row>
    <row r="20" spans="4:6">
      <c r="D20">
        <v>1800</v>
      </c>
      <c r="E20">
        <v>8.7020504323963852</v>
      </c>
      <c r="F20">
        <v>4.079825364033951E-4</v>
      </c>
    </row>
    <row r="21" spans="4:6">
      <c r="D21">
        <v>1900</v>
      </c>
      <c r="E21">
        <v>8.7012629923387657</v>
      </c>
      <c r="F21">
        <v>-3.7945752121615328E-4</v>
      </c>
    </row>
    <row r="22" spans="4:6">
      <c r="D22">
        <v>2000</v>
      </c>
      <c r="E22">
        <v>8.7014153646883159</v>
      </c>
      <c r="F22">
        <v>-2.2708517166591946E-4</v>
      </c>
    </row>
    <row r="23" spans="4:6">
      <c r="D23">
        <v>2100</v>
      </c>
      <c r="E23">
        <v>8.7020368073457437</v>
      </c>
      <c r="F23">
        <v>3.9435748576188701E-4</v>
      </c>
    </row>
    <row r="24" spans="4:6">
      <c r="D24">
        <v>2200</v>
      </c>
      <c r="E24">
        <v>8.7022695486200643</v>
      </c>
      <c r="F24">
        <v>6.2709876008248955E-4</v>
      </c>
    </row>
    <row r="25" spans="4:6">
      <c r="D25">
        <v>2300</v>
      </c>
      <c r="E25">
        <v>8.7021843958322105</v>
      </c>
      <c r="F25">
        <v>5.4194597222867458E-4</v>
      </c>
    </row>
    <row r="26" spans="4:6">
      <c r="D26">
        <v>2400</v>
      </c>
      <c r="E26">
        <v>8.7018384496632635</v>
      </c>
      <c r="F26">
        <v>1.9599980328166566E-4</v>
      </c>
    </row>
    <row r="27" spans="4:6">
      <c r="D27">
        <v>2500</v>
      </c>
      <c r="E27">
        <v>8.7012780835375487</v>
      </c>
      <c r="F27">
        <v>-3.6436632243308509E-4</v>
      </c>
    </row>
    <row r="28" spans="4:6">
      <c r="D28">
        <v>2600</v>
      </c>
      <c r="E28">
        <v>8.701452744948174</v>
      </c>
      <c r="F28">
        <v>-1.8970491180780868E-4</v>
      </c>
    </row>
    <row r="29" spans="4:6">
      <c r="D29">
        <v>2700</v>
      </c>
      <c r="E29">
        <v>8.7018973791668994</v>
      </c>
      <c r="F29">
        <v>2.5492930691761728E-4</v>
      </c>
    </row>
    <row r="30" spans="4:6">
      <c r="D30">
        <v>2800</v>
      </c>
      <c r="E30">
        <v>8.7021073923992844</v>
      </c>
      <c r="F30">
        <v>4.649425393026263E-4</v>
      </c>
    </row>
    <row r="31" spans="4:6">
      <c r="D31">
        <v>2900</v>
      </c>
      <c r="E31">
        <v>8.7021168047740094</v>
      </c>
      <c r="F31">
        <v>4.7435491402758601E-4</v>
      </c>
    </row>
    <row r="32" spans="4:6">
      <c r="D32">
        <v>3000</v>
      </c>
      <c r="E32">
        <v>8.7019543618430859</v>
      </c>
      <c r="F32">
        <v>3.1191198310409618E-4</v>
      </c>
    </row>
    <row r="33" spans="4:6">
      <c r="D33">
        <v>3100</v>
      </c>
      <c r="E33">
        <v>8.7016444594144922</v>
      </c>
      <c r="F33">
        <v>2.0095545103515633E-6</v>
      </c>
    </row>
    <row r="34" spans="4:6">
      <c r="D34">
        <v>3200</v>
      </c>
      <c r="E34">
        <v>8.7012078860304918</v>
      </c>
      <c r="F34">
        <v>-4.3456382949003114E-4</v>
      </c>
    </row>
    <row r="35" spans="4:6">
      <c r="D35">
        <v>3300</v>
      </c>
      <c r="E35">
        <v>8.7015638484193758</v>
      </c>
      <c r="F35">
        <v>-7.86014406060076E-5</v>
      </c>
    </row>
    <row r="36" spans="4:6">
      <c r="D36">
        <v>3400</v>
      </c>
      <c r="E36">
        <v>8.7018591691959006</v>
      </c>
      <c r="F36">
        <v>2.1671933591882464E-4</v>
      </c>
    </row>
    <row r="37" spans="4:6">
      <c r="D37">
        <v>3500</v>
      </c>
      <c r="E37">
        <v>8.7020091823141481</v>
      </c>
      <c r="F37">
        <v>3.6673245416629641E-4</v>
      </c>
    </row>
    <row r="38" spans="4:6">
      <c r="D38">
        <v>3600</v>
      </c>
      <c r="E38">
        <v>8.7020309776168041</v>
      </c>
      <c r="F38">
        <v>3.885277568222989E-4</v>
      </c>
    </row>
    <row r="39" spans="4:6">
      <c r="D39">
        <v>3700</v>
      </c>
      <c r="E39">
        <v>8.7019394911318635</v>
      </c>
      <c r="F39">
        <v>2.9704127188168172E-4</v>
      </c>
    </row>
    <row r="40" spans="4:6">
      <c r="D40">
        <v>3800</v>
      </c>
      <c r="E40">
        <v>8.7017478135630455</v>
      </c>
      <c r="F40">
        <v>1.0536370306368781E-4</v>
      </c>
    </row>
    <row r="41" spans="4:6">
      <c r="D41">
        <v>3900</v>
      </c>
      <c r="E41">
        <v>8.701467448859912</v>
      </c>
      <c r="F41">
        <v>-1.7500100006984098E-4</v>
      </c>
    </row>
    <row r="42" spans="4:6">
      <c r="D42">
        <v>4000</v>
      </c>
      <c r="E42">
        <v>8.7013848401211398</v>
      </c>
      <c r="F42">
        <v>-2.5760973884203509E-4</v>
      </c>
    </row>
  </sheetData>
  <phoneticPr fontId="5" type="noConversion"/>
  <pageMargins left="0.75" right="0.75" top="1" bottom="1"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42"/>
  <sheetViews>
    <sheetView workbookViewId="0">
      <selection activeCell="D1" sqref="D1:F1"/>
    </sheetView>
  </sheetViews>
  <sheetFormatPr baseColWidth="10" defaultColWidth="8.83203125" defaultRowHeight="13"/>
  <sheetData>
    <row r="1" spans="1:6" ht="14">
      <c r="A1" s="5" t="s">
        <v>39</v>
      </c>
      <c r="B1" s="2"/>
      <c r="D1" s="5" t="s">
        <v>5</v>
      </c>
      <c r="E1" s="5" t="s">
        <v>11</v>
      </c>
      <c r="F1" s="5" t="s">
        <v>10</v>
      </c>
    </row>
    <row r="2" spans="1:6" ht="14">
      <c r="A2" s="2" t="s">
        <v>0</v>
      </c>
      <c r="B2" s="2">
        <v>50</v>
      </c>
      <c r="D2">
        <v>50</v>
      </c>
      <c r="E2">
        <v>8.7271558408836434</v>
      </c>
      <c r="F2">
        <v>2.5513391023661569E-2</v>
      </c>
    </row>
    <row r="3" spans="1:6" ht="14">
      <c r="A3" s="2" t="s">
        <v>9</v>
      </c>
      <c r="B3" s="2">
        <v>55</v>
      </c>
      <c r="D3">
        <v>100</v>
      </c>
      <c r="E3">
        <v>8.7014655521114399</v>
      </c>
      <c r="F3">
        <v>-1.7689774854190432E-4</v>
      </c>
    </row>
    <row r="4" spans="1:6" ht="14">
      <c r="A4" s="2" t="s">
        <v>3</v>
      </c>
      <c r="B4" s="2">
        <v>0.3</v>
      </c>
      <c r="D4">
        <v>200</v>
      </c>
      <c r="E4">
        <v>8.6971070307745286</v>
      </c>
      <c r="F4">
        <v>-4.5354190854531851E-3</v>
      </c>
    </row>
    <row r="5" spans="1:6" ht="14">
      <c r="A5" s="2" t="s">
        <v>4</v>
      </c>
      <c r="B5" s="2">
        <v>0.01</v>
      </c>
      <c r="D5">
        <v>300</v>
      </c>
      <c r="E5">
        <v>8.7032439534940167</v>
      </c>
      <c r="F5">
        <v>1.6015036340348843E-3</v>
      </c>
    </row>
    <row r="6" spans="1:6" ht="14">
      <c r="A6" s="2" t="s">
        <v>1</v>
      </c>
      <c r="B6" s="2">
        <v>1</v>
      </c>
      <c r="D6">
        <v>400</v>
      </c>
      <c r="E6">
        <v>8.7041002534991669</v>
      </c>
      <c r="F6">
        <v>2.4578036391851299E-3</v>
      </c>
    </row>
    <row r="7" spans="1:6" ht="14">
      <c r="A7" s="2" t="s">
        <v>2</v>
      </c>
      <c r="B7" s="2">
        <v>0</v>
      </c>
      <c r="D7">
        <v>500</v>
      </c>
      <c r="E7">
        <v>8.7012081983928145</v>
      </c>
      <c r="F7">
        <v>-4.3425146716735696E-4</v>
      </c>
    </row>
    <row r="8" spans="1:6" ht="14">
      <c r="A8" s="2" t="s">
        <v>19</v>
      </c>
      <c r="B8" s="2">
        <f>(LN(B2/B3)+(B5+B4^2/2)*B6)/(B4*SQRT(B6))</f>
        <v>-0.13436726601441631</v>
      </c>
      <c r="D8">
        <v>600</v>
      </c>
      <c r="E8">
        <v>8.7031237378356749</v>
      </c>
      <c r="F8">
        <v>1.4812879756931352E-3</v>
      </c>
    </row>
    <row r="9" spans="1:6" ht="14">
      <c r="A9" s="2" t="s">
        <v>20</v>
      </c>
      <c r="B9" s="2">
        <f>(LN(B2/B3)+(B5-B4^2/2)*B6)/(B4*SQRT(B6))</f>
        <v>-0.43436726601441628</v>
      </c>
      <c r="D9">
        <v>700</v>
      </c>
      <c r="E9">
        <v>8.7024566115033934</v>
      </c>
      <c r="F9">
        <v>8.1416164341163721E-4</v>
      </c>
    </row>
    <row r="10" spans="1:6" ht="14">
      <c r="A10" s="2"/>
      <c r="B10" s="2"/>
      <c r="D10">
        <v>800</v>
      </c>
      <c r="E10">
        <v>8.7013435054423898</v>
      </c>
      <c r="F10">
        <v>-2.9894441759203971E-4</v>
      </c>
    </row>
    <row r="11" spans="1:6" ht="14">
      <c r="A11" s="2"/>
      <c r="B11" s="2"/>
      <c r="D11">
        <v>900</v>
      </c>
      <c r="E11">
        <v>8.7030629724133757</v>
      </c>
      <c r="F11">
        <v>1.4205225533938659E-3</v>
      </c>
    </row>
    <row r="12" spans="1:6" ht="14">
      <c r="A12" s="3" t="s">
        <v>8</v>
      </c>
      <c r="B12" s="2">
        <f>B3*EXP(-B5*B6)*(1-NORMSDIST(B9))-B2*(1-NORMSDIST(B8))</f>
        <v>8.7016424498599818</v>
      </c>
      <c r="D12">
        <v>1000</v>
      </c>
      <c r="E12">
        <v>8.7013230923951799</v>
      </c>
      <c r="F12">
        <v>-3.1935746480193927E-4</v>
      </c>
    </row>
    <row r="13" spans="1:6">
      <c r="D13">
        <v>1100</v>
      </c>
      <c r="E13">
        <v>8.7018505650818021</v>
      </c>
      <c r="F13">
        <v>2.0811522182029307E-4</v>
      </c>
    </row>
    <row r="14" spans="1:6">
      <c r="D14">
        <v>1200</v>
      </c>
      <c r="E14">
        <v>8.7027048702067074</v>
      </c>
      <c r="F14">
        <v>1.0624203467255455E-3</v>
      </c>
    </row>
    <row r="15" spans="1:6">
      <c r="D15">
        <v>1300</v>
      </c>
      <c r="E15">
        <v>8.7016342945950651</v>
      </c>
      <c r="F15">
        <v>-8.1552649167093705E-6</v>
      </c>
    </row>
    <row r="16" spans="1:6">
      <c r="D16">
        <v>1400</v>
      </c>
      <c r="E16">
        <v>8.7013701892921755</v>
      </c>
      <c r="F16">
        <v>-2.7226056780627061E-4</v>
      </c>
    </row>
    <row r="17" spans="4:6">
      <c r="D17">
        <v>1500</v>
      </c>
      <c r="E17">
        <v>8.7024325855779399</v>
      </c>
      <c r="F17">
        <v>7.9013571795805149E-4</v>
      </c>
    </row>
    <row r="18" spans="4:6">
      <c r="D18">
        <v>1600</v>
      </c>
      <c r="E18">
        <v>8.7021854424932084</v>
      </c>
      <c r="F18">
        <v>5.4299263322654667E-4</v>
      </c>
    </row>
    <row r="19" spans="4:6">
      <c r="D19">
        <v>1700</v>
      </c>
      <c r="E19">
        <v>8.7009543666282987</v>
      </c>
      <c r="F19">
        <v>-6.8808323168312313E-4</v>
      </c>
    </row>
    <row r="20" spans="4:6">
      <c r="D20">
        <v>1800</v>
      </c>
      <c r="E20">
        <v>8.7018132329952707</v>
      </c>
      <c r="F20">
        <v>1.7078313528884337E-4</v>
      </c>
    </row>
    <row r="21" spans="4:6">
      <c r="D21">
        <v>1900</v>
      </c>
      <c r="E21">
        <v>8.7023091260323149</v>
      </c>
      <c r="F21">
        <v>6.6667617233306942E-4</v>
      </c>
    </row>
    <row r="22" spans="4:6">
      <c r="D22">
        <v>2000</v>
      </c>
      <c r="E22">
        <v>8.7020164846532992</v>
      </c>
      <c r="F22">
        <v>3.7403479331743483E-4</v>
      </c>
    </row>
    <row r="23" spans="4:6">
      <c r="D23">
        <v>2100</v>
      </c>
      <c r="E23">
        <v>8.7010961580620538</v>
      </c>
      <c r="F23">
        <v>-5.46291797927978E-4</v>
      </c>
    </row>
    <row r="24" spans="4:6">
      <c r="D24">
        <v>2200</v>
      </c>
      <c r="E24">
        <v>8.7016936129523099</v>
      </c>
      <c r="F24">
        <v>5.1163092328110338E-5</v>
      </c>
    </row>
    <row r="25" spans="4:6">
      <c r="D25">
        <v>2300</v>
      </c>
      <c r="E25">
        <v>8.7021617902832133</v>
      </c>
      <c r="F25">
        <v>5.1934042323154017E-4</v>
      </c>
    </row>
    <row r="26" spans="4:6">
      <c r="D26">
        <v>2400</v>
      </c>
      <c r="E26">
        <v>8.7020806817480878</v>
      </c>
      <c r="F26">
        <v>4.3823188810598879E-4</v>
      </c>
    </row>
    <row r="27" spans="4:6">
      <c r="D27">
        <v>2500</v>
      </c>
      <c r="E27">
        <v>8.7015441287853044</v>
      </c>
      <c r="F27">
        <v>-9.8321074677443221E-5</v>
      </c>
    </row>
    <row r="28" spans="4:6">
      <c r="D28">
        <v>2600</v>
      </c>
      <c r="E28">
        <v>8.7013069972695281</v>
      </c>
      <c r="F28">
        <v>-3.3545259045375531E-4</v>
      </c>
    </row>
    <row r="29" spans="4:6">
      <c r="D29">
        <v>2700</v>
      </c>
      <c r="E29">
        <v>8.7019126133902454</v>
      </c>
      <c r="F29">
        <v>2.7016353026354523E-4</v>
      </c>
    </row>
    <row r="30" spans="4:6">
      <c r="D30">
        <v>2800</v>
      </c>
      <c r="E30">
        <v>8.7020994809084815</v>
      </c>
      <c r="F30">
        <v>4.5703104849970089E-4</v>
      </c>
    </row>
    <row r="31" spans="4:6">
      <c r="D31">
        <v>2900</v>
      </c>
      <c r="E31">
        <v>8.7019285674693485</v>
      </c>
      <c r="F31">
        <v>2.8611760936669839E-4</v>
      </c>
    </row>
    <row r="32" spans="4:6">
      <c r="D32">
        <v>3000</v>
      </c>
      <c r="E32">
        <v>8.7014514316764053</v>
      </c>
      <c r="F32">
        <v>-1.910181835764746E-4</v>
      </c>
    </row>
    <row r="33" spans="4:6">
      <c r="D33">
        <v>3100</v>
      </c>
      <c r="E33">
        <v>8.7014185653136096</v>
      </c>
      <c r="F33">
        <v>-2.2388454637223276E-4</v>
      </c>
    </row>
    <row r="34" spans="4:6">
      <c r="D34">
        <v>3200</v>
      </c>
      <c r="E34">
        <v>8.7018714012062333</v>
      </c>
      <c r="F34">
        <v>2.2895134625144919E-4</v>
      </c>
    </row>
    <row r="35" spans="4:6">
      <c r="D35">
        <v>3300</v>
      </c>
      <c r="E35">
        <v>8.7020283257471309</v>
      </c>
      <c r="F35">
        <v>3.8587588714911192E-4</v>
      </c>
    </row>
    <row r="36" spans="4:6">
      <c r="D36">
        <v>3400</v>
      </c>
      <c r="E36">
        <v>8.7019262216421307</v>
      </c>
      <c r="F36">
        <v>2.8377178214888943E-4</v>
      </c>
    </row>
    <row r="37" spans="4:6">
      <c r="D37">
        <v>3500</v>
      </c>
      <c r="E37">
        <v>8.7015970869409678</v>
      </c>
      <c r="F37">
        <v>-4.5362919014024783E-5</v>
      </c>
    </row>
    <row r="38" spans="4:6">
      <c r="D38">
        <v>3600</v>
      </c>
      <c r="E38">
        <v>8.7012732047007564</v>
      </c>
      <c r="F38">
        <v>-3.6924515922542867E-4</v>
      </c>
    </row>
    <row r="39" spans="4:6">
      <c r="D39">
        <v>3700</v>
      </c>
      <c r="E39">
        <v>8.7017193927279965</v>
      </c>
      <c r="F39">
        <v>7.6942868014739929E-5</v>
      </c>
    </row>
    <row r="40" spans="4:6">
      <c r="D40">
        <v>3800</v>
      </c>
      <c r="E40">
        <v>8.701939835640113</v>
      </c>
      <c r="F40">
        <v>2.9738578013116523E-4</v>
      </c>
    </row>
    <row r="41" spans="4:6">
      <c r="D41">
        <v>3900</v>
      </c>
      <c r="E41">
        <v>8.7019589633809158</v>
      </c>
      <c r="F41">
        <v>3.1651352093398089E-4</v>
      </c>
    </row>
    <row r="42" spans="4:6">
      <c r="D42">
        <v>4000</v>
      </c>
      <c r="E42">
        <v>8.7017983801463128</v>
      </c>
      <c r="F42">
        <v>1.5593028633098527E-4</v>
      </c>
    </row>
  </sheetData>
  <phoneticPr fontId="5" type="noConversion"/>
  <pageMargins left="0.75" right="0.75" top="1" bottom="1"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2"/>
  <sheetViews>
    <sheetView workbookViewId="0">
      <selection activeCell="F1" activeCellId="1" sqref="D1:D65536 F1:F65536"/>
    </sheetView>
  </sheetViews>
  <sheetFormatPr baseColWidth="10" defaultColWidth="8.83203125" defaultRowHeight="13"/>
  <sheetData>
    <row r="1" spans="1:6" ht="14">
      <c r="A1" s="5" t="s">
        <v>39</v>
      </c>
      <c r="B1" s="2"/>
      <c r="D1" s="5" t="s">
        <v>5</v>
      </c>
      <c r="E1" s="5" t="s">
        <v>11</v>
      </c>
      <c r="F1" s="5" t="s">
        <v>10</v>
      </c>
    </row>
    <row r="2" spans="1:6" ht="14">
      <c r="A2" s="2" t="s">
        <v>0</v>
      </c>
      <c r="B2" s="2">
        <v>50</v>
      </c>
      <c r="D2">
        <v>51</v>
      </c>
      <c r="E2">
        <v>8.7017632548065276</v>
      </c>
      <c r="F2">
        <v>1.2080494654576057E-4</v>
      </c>
    </row>
    <row r="3" spans="1:6" ht="14">
      <c r="A3" s="2" t="s">
        <v>9</v>
      </c>
      <c r="B3" s="2">
        <v>55</v>
      </c>
      <c r="D3">
        <v>101</v>
      </c>
      <c r="E3">
        <v>8.7016735827033482</v>
      </c>
      <c r="F3">
        <v>3.1132843366421525E-5</v>
      </c>
    </row>
    <row r="4" spans="1:6" ht="14">
      <c r="A4" s="2" t="s">
        <v>3</v>
      </c>
      <c r="B4" s="2">
        <v>0.3</v>
      </c>
      <c r="D4">
        <v>201</v>
      </c>
      <c r="E4">
        <v>8.701650353138529</v>
      </c>
      <c r="F4">
        <v>7.9032785471611078E-6</v>
      </c>
    </row>
    <row r="5" spans="1:6" ht="14">
      <c r="A5" s="2" t="s">
        <v>4</v>
      </c>
      <c r="B5" s="2">
        <v>0.01</v>
      </c>
      <c r="D5">
        <v>301</v>
      </c>
      <c r="E5">
        <v>8.7016459804614144</v>
      </c>
      <c r="F5">
        <v>3.5306014325442447E-6</v>
      </c>
    </row>
    <row r="6" spans="1:6" ht="14">
      <c r="A6" s="2" t="s">
        <v>1</v>
      </c>
      <c r="B6" s="2">
        <v>1</v>
      </c>
      <c r="D6">
        <v>401</v>
      </c>
      <c r="E6">
        <v>8.7016444409222071</v>
      </c>
      <c r="F6">
        <v>1.9910622253149768E-6</v>
      </c>
    </row>
    <row r="7" spans="1:6" ht="14">
      <c r="A7" s="2" t="s">
        <v>2</v>
      </c>
      <c r="B7" s="2">
        <v>0</v>
      </c>
      <c r="D7">
        <v>501</v>
      </c>
      <c r="E7">
        <v>8.7016437261004231</v>
      </c>
      <c r="F7">
        <v>1.2762404413280137E-6</v>
      </c>
    </row>
    <row r="8" spans="1:6" ht="14">
      <c r="A8" s="2" t="s">
        <v>19</v>
      </c>
      <c r="B8" s="2">
        <f>(LN(B2/B3)+(B5+B4^2/2)*B6)/(B4*SQRT(B6))</f>
        <v>-0.13436726601441631</v>
      </c>
      <c r="D8">
        <v>601</v>
      </c>
      <c r="E8">
        <v>8.7016433370477451</v>
      </c>
      <c r="F8">
        <v>8.8718776325436011E-7</v>
      </c>
    </row>
    <row r="9" spans="1:6" ht="14">
      <c r="A9" s="2" t="s">
        <v>20</v>
      </c>
      <c r="B9" s="2">
        <f>(LN(B2/B3)+(B5-B4^2/2)*B6)/(B4*SQRT(B6))</f>
        <v>-0.43436726601441628</v>
      </c>
      <c r="D9">
        <v>701</v>
      </c>
      <c r="E9">
        <v>8.701643102154506</v>
      </c>
      <c r="F9">
        <v>6.5229452417270295E-7</v>
      </c>
    </row>
    <row r="10" spans="1:6" ht="14">
      <c r="A10" s="2"/>
      <c r="B10" s="2"/>
      <c r="D10">
        <v>801</v>
      </c>
      <c r="E10">
        <v>8.7016429495447039</v>
      </c>
      <c r="F10">
        <v>4.996847220439804E-7</v>
      </c>
    </row>
    <row r="11" spans="1:6" ht="14">
      <c r="A11" s="2"/>
      <c r="B11" s="2"/>
      <c r="D11">
        <v>901</v>
      </c>
      <c r="E11">
        <v>8.7016428448409808</v>
      </c>
      <c r="F11">
        <v>3.9498099901891237E-7</v>
      </c>
    </row>
    <row r="12" spans="1:6" ht="14">
      <c r="A12" s="3" t="s">
        <v>8</v>
      </c>
      <c r="B12" s="2">
        <f>B3*EXP(-B5*B6)*(1-NORMSDIST(B9))-B2*(1-NORMSDIST(B8))</f>
        <v>8.7016424498599818</v>
      </c>
      <c r="D12">
        <v>1001</v>
      </c>
      <c r="E12">
        <v>8.7016427699040992</v>
      </c>
      <c r="F12">
        <v>3.2004411743002947E-7</v>
      </c>
    </row>
    <row r="13" spans="1:6">
      <c r="D13">
        <v>1101</v>
      </c>
      <c r="E13">
        <v>8.7016427144373552</v>
      </c>
      <c r="F13">
        <v>2.6457737334339981E-7</v>
      </c>
    </row>
    <row r="14" spans="1:6">
      <c r="D14">
        <v>1201</v>
      </c>
      <c r="E14">
        <v>8.7016426722338931</v>
      </c>
      <c r="F14">
        <v>2.2237391128498984E-7</v>
      </c>
    </row>
    <row r="15" spans="1:6">
      <c r="D15">
        <v>1301</v>
      </c>
      <c r="E15">
        <v>8.7016426393777397</v>
      </c>
      <c r="F15">
        <v>1.8951775793141223E-7</v>
      </c>
    </row>
    <row r="16" spans="1:6">
      <c r="D16">
        <v>1401</v>
      </c>
      <c r="E16">
        <v>8.7016426132899554</v>
      </c>
      <c r="F16">
        <v>1.6342997355422995E-7</v>
      </c>
    </row>
    <row r="17" spans="4:6">
      <c r="D17">
        <v>1501</v>
      </c>
      <c r="E17">
        <v>8.701642592253906</v>
      </c>
      <c r="F17">
        <v>1.4239392420734021E-7</v>
      </c>
    </row>
    <row r="18" spans="4:6">
      <c r="D18">
        <v>1601</v>
      </c>
      <c r="E18">
        <v>8.7016425750213457</v>
      </c>
      <c r="F18">
        <v>1.2516136393969646E-7</v>
      </c>
    </row>
    <row r="19" spans="4:6">
      <c r="D19">
        <v>1701</v>
      </c>
      <c r="E19">
        <v>8.7016425607352019</v>
      </c>
      <c r="F19">
        <v>1.1087522011621331E-7</v>
      </c>
    </row>
    <row r="20" spans="4:6">
      <c r="D20">
        <v>1801</v>
      </c>
      <c r="E20">
        <v>8.7016425487781159</v>
      </c>
      <c r="F20">
        <v>9.8918134128211932E-8</v>
      </c>
    </row>
    <row r="21" spans="4:6">
      <c r="D21">
        <v>1901</v>
      </c>
      <c r="E21">
        <v>8.7016425386362037</v>
      </c>
      <c r="F21">
        <v>8.8776221929265375E-8</v>
      </c>
    </row>
    <row r="22" spans="4:6">
      <c r="D22">
        <v>2001</v>
      </c>
      <c r="E22">
        <v>8.7016425300058273</v>
      </c>
      <c r="F22">
        <v>8.014584551574444E-8</v>
      </c>
    </row>
    <row r="23" spans="4:6">
      <c r="D23">
        <v>2101</v>
      </c>
      <c r="E23">
        <v>8.701642522543521</v>
      </c>
      <c r="F23">
        <v>7.2683539187323731E-8</v>
      </c>
    </row>
    <row r="24" spans="4:6">
      <c r="D24">
        <v>2201</v>
      </c>
      <c r="E24">
        <v>8.7016425160959461</v>
      </c>
      <c r="F24">
        <v>6.6235964268912539E-8</v>
      </c>
    </row>
    <row r="25" spans="4:6">
      <c r="D25">
        <v>2301</v>
      </c>
      <c r="E25">
        <v>8.7016425104745281</v>
      </c>
      <c r="F25">
        <v>6.0614546271153813E-8</v>
      </c>
    </row>
    <row r="26" spans="4:6">
      <c r="D26">
        <v>2401</v>
      </c>
      <c r="E26">
        <v>8.7016425055149202</v>
      </c>
      <c r="F26">
        <v>5.565493843562308E-8</v>
      </c>
    </row>
    <row r="27" spans="4:6">
      <c r="D27">
        <v>2501</v>
      </c>
      <c r="E27">
        <v>8.7016425011585081</v>
      </c>
      <c r="F27">
        <v>5.1298526315690651E-8</v>
      </c>
    </row>
    <row r="28" spans="4:6">
      <c r="D28">
        <v>2601</v>
      </c>
      <c r="E28">
        <v>8.7016424972888586</v>
      </c>
      <c r="F28">
        <v>4.7428876825961197E-8</v>
      </c>
    </row>
    <row r="29" spans="4:6">
      <c r="D29">
        <v>2701</v>
      </c>
      <c r="E29">
        <v>8.7016424938425825</v>
      </c>
      <c r="F29">
        <v>4.398260067262072E-8</v>
      </c>
    </row>
    <row r="30" spans="4:6">
      <c r="D30">
        <v>2801</v>
      </c>
      <c r="E30">
        <v>8.7016424907786156</v>
      </c>
      <c r="F30">
        <v>4.0918633814612804E-8</v>
      </c>
    </row>
    <row r="31" spans="4:6">
      <c r="D31">
        <v>2901</v>
      </c>
      <c r="E31">
        <v>8.7016424880021948</v>
      </c>
      <c r="F31">
        <v>3.8142212943625964E-8</v>
      </c>
    </row>
    <row r="32" spans="4:6">
      <c r="D32">
        <v>3001</v>
      </c>
      <c r="E32">
        <v>8.7016424855090087</v>
      </c>
      <c r="F32">
        <v>3.5649026841610976E-8</v>
      </c>
    </row>
    <row r="33" spans="4:6">
      <c r="D33">
        <v>3101</v>
      </c>
      <c r="E33">
        <v>8.7016424832522432</v>
      </c>
      <c r="F33">
        <v>3.3392261400422285E-8</v>
      </c>
    </row>
    <row r="34" spans="4:6">
      <c r="D34">
        <v>3201</v>
      </c>
      <c r="E34">
        <v>8.7016424812023416</v>
      </c>
      <c r="F34">
        <v>3.1342359818609111E-8</v>
      </c>
    </row>
    <row r="35" spans="4:6">
      <c r="D35">
        <v>3301</v>
      </c>
      <c r="E35">
        <v>8.7016424793038425</v>
      </c>
      <c r="F35">
        <v>2.94438606829317E-8</v>
      </c>
    </row>
    <row r="36" spans="4:6">
      <c r="D36">
        <v>3401</v>
      </c>
      <c r="E36">
        <v>8.7016424776130172</v>
      </c>
      <c r="F36">
        <v>2.7753035425348571E-8</v>
      </c>
    </row>
    <row r="37" spans="4:6">
      <c r="D37">
        <v>3501</v>
      </c>
      <c r="E37">
        <v>8.7016424760281446</v>
      </c>
      <c r="F37">
        <v>2.616816274780831E-8</v>
      </c>
    </row>
    <row r="38" spans="4:6">
      <c r="D38">
        <v>3601</v>
      </c>
      <c r="E38">
        <v>8.7016424746068513</v>
      </c>
      <c r="F38">
        <v>2.47468694425379E-8</v>
      </c>
    </row>
    <row r="39" spans="4:6">
      <c r="D39">
        <v>3701</v>
      </c>
      <c r="E39">
        <v>8.7016424733021385</v>
      </c>
      <c r="F39">
        <v>2.3442156660280489E-8</v>
      </c>
    </row>
    <row r="40" spans="4:6">
      <c r="D40">
        <v>3801</v>
      </c>
      <c r="E40">
        <v>8.7016424720692509</v>
      </c>
      <c r="F40">
        <v>2.2209269090467387E-8</v>
      </c>
    </row>
    <row r="41" spans="4:6">
      <c r="D41">
        <v>3901</v>
      </c>
      <c r="E41">
        <v>8.7016424709546367</v>
      </c>
      <c r="F41">
        <v>2.1094654911735233E-8</v>
      </c>
    </row>
    <row r="42" spans="4:6">
      <c r="D42">
        <v>4001</v>
      </c>
      <c r="E42">
        <v>8.7016424699000474</v>
      </c>
      <c r="F42">
        <v>2.0040065606963253E-8</v>
      </c>
    </row>
  </sheetData>
  <phoneticPr fontId="5" type="noConversion"/>
  <pageMargins left="0.75" right="0.75" top="1" bottom="1"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G7"/>
  <sheetViews>
    <sheetView workbookViewId="0">
      <selection activeCell="I8" sqref="I8"/>
    </sheetView>
  </sheetViews>
  <sheetFormatPr baseColWidth="10" defaultColWidth="8.83203125" defaultRowHeight="13"/>
  <sheetData>
    <row r="1" spans="1:7">
      <c r="A1" s="12" t="s">
        <v>51</v>
      </c>
      <c r="B1" s="12"/>
      <c r="C1" s="12"/>
      <c r="D1" s="12"/>
      <c r="E1" s="12"/>
      <c r="F1" s="12"/>
      <c r="G1" s="12"/>
    </row>
    <row r="2" spans="1:7">
      <c r="A2" s="12"/>
      <c r="B2" s="12"/>
      <c r="C2" s="12"/>
      <c r="D2" s="12"/>
      <c r="E2" s="12"/>
      <c r="F2" s="12"/>
      <c r="G2" s="12"/>
    </row>
    <row r="3" spans="1:7">
      <c r="A3" s="12"/>
      <c r="B3" s="12"/>
      <c r="C3" s="12"/>
      <c r="D3" s="12"/>
      <c r="E3" s="12"/>
      <c r="F3" s="12"/>
      <c r="G3" s="12"/>
    </row>
    <row r="4" spans="1:7">
      <c r="A4" s="12"/>
      <c r="B4" s="12"/>
      <c r="C4" s="12"/>
      <c r="D4" s="12"/>
      <c r="E4" s="12"/>
      <c r="F4" s="12"/>
      <c r="G4" s="12"/>
    </row>
    <row r="5" spans="1:7">
      <c r="A5" s="12"/>
      <c r="B5" s="12"/>
      <c r="C5" s="12"/>
      <c r="D5" s="12"/>
      <c r="E5" s="12"/>
      <c r="F5" s="12"/>
      <c r="G5" s="12"/>
    </row>
    <row r="6" spans="1:7">
      <c r="A6" s="12"/>
      <c r="B6" s="12"/>
      <c r="C6" s="12"/>
      <c r="D6" s="12"/>
      <c r="E6" s="12"/>
      <c r="F6" s="12"/>
      <c r="G6" s="12"/>
    </row>
    <row r="7" spans="1:7">
      <c r="A7" s="12"/>
      <c r="B7" s="12"/>
      <c r="C7" s="12"/>
      <c r="D7" s="12"/>
      <c r="E7" s="12"/>
      <c r="F7" s="12"/>
      <c r="G7" s="12"/>
    </row>
  </sheetData>
  <mergeCells count="1">
    <mergeCell ref="A1:G7"/>
  </mergeCells>
  <phoneticPr fontId="5" type="noConversion"/>
  <pageMargins left="0.75" right="0.75" top="1" bottom="1"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52"/>
  <sheetViews>
    <sheetView workbookViewId="0">
      <selection activeCell="E7" sqref="E7"/>
    </sheetView>
  </sheetViews>
  <sheetFormatPr baseColWidth="10" defaultColWidth="8.83203125" defaultRowHeight="13"/>
  <cols>
    <col min="1" max="1" width="17.6640625" customWidth="1"/>
    <col min="2" max="2" width="22.1640625" customWidth="1"/>
    <col min="4" max="4" width="15.6640625" customWidth="1"/>
    <col min="5" max="5" width="20.5" customWidth="1"/>
    <col min="6" max="6" width="16.33203125" customWidth="1"/>
  </cols>
  <sheetData>
    <row r="1" spans="1:6" ht="14">
      <c r="A1" s="5" t="s">
        <v>44</v>
      </c>
      <c r="B1" s="2"/>
      <c r="D1" t="s">
        <v>45</v>
      </c>
      <c r="E1" t="s">
        <v>46</v>
      </c>
    </row>
    <row r="2" spans="1:6" ht="14">
      <c r="A2" s="2" t="s">
        <v>0</v>
      </c>
      <c r="B2" s="2">
        <v>50</v>
      </c>
      <c r="D2">
        <v>20000</v>
      </c>
      <c r="E2">
        <v>8.7679262965871576</v>
      </c>
    </row>
    <row r="3" spans="1:6" ht="14">
      <c r="A3" s="2" t="s">
        <v>9</v>
      </c>
      <c r="B3" s="2">
        <v>55</v>
      </c>
      <c r="D3">
        <v>20001</v>
      </c>
      <c r="E3">
        <v>8.7678105537107509</v>
      </c>
      <c r="F3" s="7">
        <f>E3-E2</f>
        <v>-1.1574287640669922E-4</v>
      </c>
    </row>
    <row r="4" spans="1:6" ht="14">
      <c r="A4" s="2" t="s">
        <v>3</v>
      </c>
      <c r="B4" s="2">
        <v>0.3</v>
      </c>
    </row>
    <row r="5" spans="1:6" ht="14">
      <c r="A5" s="2" t="s">
        <v>4</v>
      </c>
      <c r="B5" s="2">
        <v>0.01</v>
      </c>
      <c r="D5">
        <v>22999</v>
      </c>
      <c r="E5">
        <v>8.7679128688812273</v>
      </c>
    </row>
    <row r="6" spans="1:6" ht="14">
      <c r="A6" s="2" t="s">
        <v>1</v>
      </c>
      <c r="B6" s="2">
        <v>1</v>
      </c>
      <c r="D6">
        <v>22998</v>
      </c>
      <c r="E6">
        <v>8.7678389979132856</v>
      </c>
      <c r="F6" s="7">
        <f>E6-E5</f>
        <v>-7.3870967941758181E-5</v>
      </c>
    </row>
    <row r="7" spans="1:6" ht="14">
      <c r="A7" s="2" t="s">
        <v>2</v>
      </c>
      <c r="B7" s="2">
        <v>0</v>
      </c>
      <c r="D7">
        <v>22997</v>
      </c>
      <c r="E7">
        <v>8.7679129636172295</v>
      </c>
      <c r="F7" s="8">
        <f>E7-E5</f>
        <v>9.4736002154149901E-8</v>
      </c>
    </row>
    <row r="8" spans="1:6" ht="14">
      <c r="A8" s="2" t="s">
        <v>47</v>
      </c>
      <c r="B8">
        <f>(LN(B2/B3)+(B5+B4^2/2)*B6)/B4/SQRT(B6)</f>
        <v>-0.13436726601441631</v>
      </c>
    </row>
    <row r="9" spans="1:6" ht="14">
      <c r="A9" s="2" t="s">
        <v>20</v>
      </c>
      <c r="B9">
        <f>(LN(B2/B3)+(B5-B4^2/2)*B6)/B4/SQRT(B6)</f>
        <v>-0.43436726601441628</v>
      </c>
    </row>
    <row r="10" spans="1:6" ht="14">
      <c r="A10" s="2" t="s">
        <v>29</v>
      </c>
      <c r="B10">
        <v>8.7679129636172295</v>
      </c>
    </row>
    <row r="11" spans="1:6" ht="14">
      <c r="A11" s="2" t="s">
        <v>48</v>
      </c>
    </row>
    <row r="12" spans="1:6" ht="14">
      <c r="A12" s="2" t="s">
        <v>43</v>
      </c>
    </row>
    <row r="13" spans="1:6" ht="14">
      <c r="A13" s="2" t="s">
        <v>49</v>
      </c>
    </row>
    <row r="14" spans="1:6" ht="14">
      <c r="A14" s="2" t="s">
        <v>50</v>
      </c>
    </row>
    <row r="15" spans="1:6" ht="14">
      <c r="A15" s="2" t="str">
        <f>"Finally we decided to use the Value where N = 22999, and the simulated value is "&amp;E5</f>
        <v>Finally we decided to use the Value where N = 22999, and the simulated value is 8.76791286888123</v>
      </c>
    </row>
    <row r="952" spans="4:6">
      <c r="D952">
        <v>1000</v>
      </c>
      <c r="E952">
        <v>8.7667126300747249</v>
      </c>
      <c r="F952">
        <v>4.517811036418987</v>
      </c>
    </row>
  </sheetData>
  <phoneticPr fontId="5" type="noConversion"/>
  <pageMargins left="0.75" right="0.75" top="1" bottom="1"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452"/>
  <sheetViews>
    <sheetView workbookViewId="0">
      <selection activeCell="D1" sqref="D1:F1"/>
    </sheetView>
  </sheetViews>
  <sheetFormatPr baseColWidth="10" defaultColWidth="8.83203125" defaultRowHeight="13"/>
  <cols>
    <col min="1" max="1" width="18.6640625" customWidth="1"/>
    <col min="4" max="4" width="14.33203125" customWidth="1"/>
    <col min="11" max="11" width="23.1640625" customWidth="1"/>
  </cols>
  <sheetData>
    <row r="1" spans="1:6" ht="14">
      <c r="A1" s="5" t="s">
        <v>14</v>
      </c>
      <c r="B1" s="2"/>
      <c r="D1" s="5" t="s">
        <v>5</v>
      </c>
      <c r="E1" s="5" t="s">
        <v>15</v>
      </c>
      <c r="F1" s="5" t="s">
        <v>16</v>
      </c>
    </row>
    <row r="2" spans="1:6" ht="14">
      <c r="A2" s="2" t="s">
        <v>0</v>
      </c>
      <c r="B2" s="2">
        <v>50</v>
      </c>
      <c r="D2">
        <v>50</v>
      </c>
      <c r="E2">
        <v>8.7685048349398969</v>
      </c>
      <c r="F2">
        <v>5.9187132266735887E-4</v>
      </c>
    </row>
    <row r="3" spans="1:6" ht="14">
      <c r="A3" s="2" t="s">
        <v>9</v>
      </c>
      <c r="B3" s="2">
        <v>55</v>
      </c>
      <c r="D3">
        <v>51</v>
      </c>
      <c r="E3">
        <v>8.79343643281263</v>
      </c>
      <c r="F3">
        <v>2.5523469195400494E-2</v>
      </c>
    </row>
    <row r="4" spans="1:6" ht="14">
      <c r="A4" s="2" t="s">
        <v>3</v>
      </c>
      <c r="B4" s="2">
        <v>0.3</v>
      </c>
      <c r="D4">
        <v>52</v>
      </c>
      <c r="E4">
        <v>8.7718512236103514</v>
      </c>
      <c r="F4">
        <v>3.9382599931219175E-3</v>
      </c>
    </row>
    <row r="5" spans="1:6" ht="14">
      <c r="A5" s="2" t="s">
        <v>4</v>
      </c>
      <c r="B5" s="2">
        <v>0.01</v>
      </c>
      <c r="D5">
        <v>53</v>
      </c>
      <c r="E5">
        <v>8.7910182550876499</v>
      </c>
      <c r="F5">
        <v>2.3105291470420397E-2</v>
      </c>
    </row>
    <row r="6" spans="1:6" ht="14">
      <c r="A6" s="2" t="s">
        <v>1</v>
      </c>
      <c r="B6" s="2">
        <v>1</v>
      </c>
      <c r="D6">
        <v>54</v>
      </c>
      <c r="E6">
        <v>8.774697622984732</v>
      </c>
      <c r="F6">
        <v>6.7846593675024991E-3</v>
      </c>
    </row>
    <row r="7" spans="1:6" ht="14">
      <c r="A7" s="2" t="s">
        <v>2</v>
      </c>
      <c r="B7" s="2">
        <v>0</v>
      </c>
      <c r="D7">
        <v>55</v>
      </c>
      <c r="E7">
        <v>8.7886103933104014</v>
      </c>
      <c r="F7">
        <v>2.0697429693171898E-2</v>
      </c>
    </row>
    <row r="8" spans="1:6" ht="14">
      <c r="A8" s="2"/>
      <c r="B8" s="2"/>
      <c r="D8">
        <v>56</v>
      </c>
      <c r="E8">
        <v>8.7771092933175456</v>
      </c>
      <c r="F8">
        <v>9.1963297003161415E-3</v>
      </c>
    </row>
    <row r="9" spans="1:6" ht="14">
      <c r="A9" s="2"/>
      <c r="B9" s="2"/>
      <c r="D9">
        <v>57</v>
      </c>
      <c r="E9">
        <v>8.7862214391854412</v>
      </c>
      <c r="F9">
        <v>1.8308475568211691E-2</v>
      </c>
    </row>
    <row r="10" spans="1:6" ht="14">
      <c r="A10" s="3" t="s">
        <v>29</v>
      </c>
      <c r="B10" s="2">
        <f>8.76791296361723</f>
        <v>8.7679129636172295</v>
      </c>
      <c r="D10">
        <v>58</v>
      </c>
      <c r="E10">
        <v>8.7791414214469405</v>
      </c>
      <c r="F10">
        <v>1.1228457829711047E-2</v>
      </c>
    </row>
    <row r="11" spans="1:6">
      <c r="D11">
        <v>59</v>
      </c>
      <c r="E11">
        <v>8.7838901697356722</v>
      </c>
      <c r="F11">
        <v>1.5977206118442666E-2</v>
      </c>
    </row>
    <row r="12" spans="1:6">
      <c r="D12">
        <v>60</v>
      </c>
      <c r="E12">
        <v>8.7808412265110292</v>
      </c>
      <c r="F12">
        <v>1.2928262893799669E-2</v>
      </c>
    </row>
    <row r="13" spans="1:6">
      <c r="D13">
        <v>61</v>
      </c>
      <c r="E13">
        <v>8.7815915112459653</v>
      </c>
      <c r="F13">
        <v>1.3678547628735771E-2</v>
      </c>
    </row>
    <row r="14" spans="1:6">
      <c r="D14">
        <v>62</v>
      </c>
      <c r="E14">
        <v>8.7822490455734954</v>
      </c>
      <c r="F14">
        <v>1.43360819562659E-2</v>
      </c>
    </row>
    <row r="15" spans="1:6">
      <c r="D15">
        <v>63</v>
      </c>
      <c r="E15">
        <v>8.7793390371235951</v>
      </c>
      <c r="F15">
        <v>1.1426073506365597E-2</v>
      </c>
    </row>
    <row r="16" spans="1:6">
      <c r="D16">
        <v>64</v>
      </c>
      <c r="E16">
        <v>8.7834011486531622</v>
      </c>
      <c r="F16">
        <v>1.5488185035932744E-2</v>
      </c>
    </row>
    <row r="17" spans="4:6">
      <c r="D17">
        <v>65</v>
      </c>
      <c r="E17">
        <v>8.7771180142312737</v>
      </c>
      <c r="F17">
        <v>9.2050506140441968E-3</v>
      </c>
    </row>
    <row r="18" spans="4:6">
      <c r="D18">
        <v>66</v>
      </c>
      <c r="E18">
        <v>8.7843299373329842</v>
      </c>
      <c r="F18">
        <v>1.6416973715754679E-2</v>
      </c>
    </row>
    <row r="19" spans="4:6">
      <c r="D19">
        <v>67</v>
      </c>
      <c r="E19">
        <v>8.7749516703053736</v>
      </c>
      <c r="F19">
        <v>7.0387066881441029E-3</v>
      </c>
    </row>
    <row r="20" spans="4:6">
      <c r="D20">
        <v>68</v>
      </c>
      <c r="E20">
        <v>8.7850599269739806</v>
      </c>
      <c r="F20">
        <v>1.7146963356751144E-2</v>
      </c>
    </row>
    <row r="21" spans="4:6">
      <c r="D21">
        <v>69</v>
      </c>
      <c r="E21">
        <v>8.7728206082294893</v>
      </c>
      <c r="F21">
        <v>4.9076446122597872E-3</v>
      </c>
    </row>
    <row r="22" spans="4:6">
      <c r="D22">
        <v>70</v>
      </c>
      <c r="E22">
        <v>8.7856135621865175</v>
      </c>
      <c r="F22">
        <v>1.7700598569287962E-2</v>
      </c>
    </row>
    <row r="23" spans="4:6">
      <c r="D23">
        <v>71</v>
      </c>
      <c r="E23">
        <v>8.7707237140028127</v>
      </c>
      <c r="F23">
        <v>2.810750385583205E-3</v>
      </c>
    </row>
    <row r="24" spans="4:6">
      <c r="D24">
        <v>72</v>
      </c>
      <c r="E24">
        <v>8.7860106363824357</v>
      </c>
      <c r="F24">
        <v>1.8097672765206241E-2</v>
      </c>
    </row>
    <row r="25" spans="4:6">
      <c r="D25">
        <v>73</v>
      </c>
      <c r="E25">
        <v>8.76866175797438</v>
      </c>
      <c r="F25">
        <v>7.4879435715047293E-4</v>
      </c>
    </row>
    <row r="26" spans="4:6">
      <c r="D26">
        <v>74</v>
      </c>
      <c r="E26">
        <v>8.7862688115802214</v>
      </c>
      <c r="F26">
        <v>1.8355847962991945E-2</v>
      </c>
    </row>
    <row r="27" spans="4:6">
      <c r="D27">
        <v>75</v>
      </c>
      <c r="E27">
        <v>8.7666414852468986</v>
      </c>
      <c r="F27">
        <v>-1.2714783703309251E-3</v>
      </c>
    </row>
    <row r="28" spans="4:6">
      <c r="D28">
        <v>76</v>
      </c>
      <c r="E28">
        <v>8.7864037440862575</v>
      </c>
      <c r="F28">
        <v>1.8490780469027968E-2</v>
      </c>
    </row>
    <row r="29" spans="4:6">
      <c r="D29">
        <v>77</v>
      </c>
      <c r="E29">
        <v>8.7647175558798569</v>
      </c>
      <c r="F29">
        <v>-3.1954077373725909E-3</v>
      </c>
    </row>
    <row r="30" spans="4:6">
      <c r="D30">
        <v>78</v>
      </c>
      <c r="E30">
        <v>8.7864291388273639</v>
      </c>
      <c r="F30">
        <v>1.8516175210134378E-2</v>
      </c>
    </row>
    <row r="31" spans="4:6">
      <c r="D31">
        <v>79</v>
      </c>
      <c r="E31">
        <v>8.7628253202437882</v>
      </c>
      <c r="F31">
        <v>-5.0876433734412529E-3</v>
      </c>
    </row>
    <row r="32" spans="4:6">
      <c r="D32">
        <v>80</v>
      </c>
      <c r="E32">
        <v>8.7863568446422136</v>
      </c>
      <c r="F32">
        <v>1.8443881024984066E-2</v>
      </c>
    </row>
    <row r="33" spans="4:6">
      <c r="D33">
        <v>81</v>
      </c>
      <c r="E33">
        <v>8.7609701048229756</v>
      </c>
      <c r="F33">
        <v>-6.9428587942539366E-3</v>
      </c>
    </row>
    <row r="34" spans="4:6">
      <c r="D34">
        <v>82</v>
      </c>
      <c r="E34">
        <v>8.7861972508660209</v>
      </c>
      <c r="F34">
        <v>1.8284287248791387E-2</v>
      </c>
    </row>
    <row r="35" spans="4:6">
      <c r="D35">
        <v>83</v>
      </c>
      <c r="E35">
        <v>8.7591920449709182</v>
      </c>
      <c r="F35">
        <v>-8.7209186463113042E-3</v>
      </c>
    </row>
    <row r="36" spans="4:6">
      <c r="D36">
        <v>84</v>
      </c>
      <c r="E36">
        <v>8.7859597507341523</v>
      </c>
      <c r="F36">
        <v>1.8046787116922758E-2</v>
      </c>
    </row>
    <row r="37" spans="4:6">
      <c r="D37">
        <v>85</v>
      </c>
      <c r="E37">
        <v>8.7575405347612367</v>
      </c>
      <c r="F37">
        <v>-1.0372428855992766E-2</v>
      </c>
    </row>
    <row r="38" spans="4:6">
      <c r="D38">
        <v>86</v>
      </c>
      <c r="E38">
        <v>8.7856538116937379</v>
      </c>
      <c r="F38">
        <v>1.7740848076508442E-2</v>
      </c>
    </row>
    <row r="39" spans="4:6">
      <c r="D39">
        <v>87</v>
      </c>
      <c r="E39">
        <v>8.7560318166636506</v>
      </c>
      <c r="F39">
        <v>-1.1881146953578892E-2</v>
      </c>
    </row>
    <row r="40" spans="4:6">
      <c r="D40">
        <v>88</v>
      </c>
      <c r="E40">
        <v>8.7852878073617582</v>
      </c>
      <c r="F40">
        <v>1.737484374452869E-2</v>
      </c>
    </row>
    <row r="41" spans="4:6">
      <c r="D41">
        <v>89</v>
      </c>
      <c r="E41">
        <v>8.7551293159388948</v>
      </c>
      <c r="F41">
        <v>-1.2783647678334731E-2</v>
      </c>
    </row>
    <row r="42" spans="4:6">
      <c r="D42">
        <v>90</v>
      </c>
      <c r="E42">
        <v>8.784866635453648</v>
      </c>
      <c r="F42">
        <v>1.6953671836418494E-2</v>
      </c>
    </row>
    <row r="43" spans="4:6">
      <c r="D43">
        <v>91</v>
      </c>
      <c r="E43">
        <v>8.7571930443223671</v>
      </c>
      <c r="F43">
        <v>-1.0719919294862379E-2</v>
      </c>
    </row>
    <row r="44" spans="4:6">
      <c r="D44">
        <v>92</v>
      </c>
      <c r="E44">
        <v>8.7843961557645933</v>
      </c>
      <c r="F44">
        <v>1.6483192147363823E-2</v>
      </c>
    </row>
    <row r="45" spans="4:6">
      <c r="D45">
        <v>93</v>
      </c>
      <c r="E45">
        <v>8.7592503671403872</v>
      </c>
      <c r="F45">
        <v>-8.6625964768423103E-3</v>
      </c>
    </row>
    <row r="46" spans="4:6">
      <c r="D46">
        <v>94</v>
      </c>
      <c r="E46">
        <v>8.7838843643025974</v>
      </c>
      <c r="F46">
        <v>1.5971400685367954E-2</v>
      </c>
    </row>
    <row r="47" spans="4:6">
      <c r="D47">
        <v>95</v>
      </c>
      <c r="E47">
        <v>8.7611410926733129</v>
      </c>
      <c r="F47">
        <v>-6.7718709439166247E-3</v>
      </c>
    </row>
    <row r="48" spans="4:6">
      <c r="D48">
        <v>96</v>
      </c>
      <c r="E48">
        <v>8.7833388647937838</v>
      </c>
      <c r="F48">
        <v>1.5425901176554291E-2</v>
      </c>
    </row>
    <row r="49" spans="4:6">
      <c r="D49">
        <v>97</v>
      </c>
      <c r="E49">
        <v>8.7628777082639377</v>
      </c>
      <c r="F49">
        <v>-5.0352553532917455E-3</v>
      </c>
    </row>
    <row r="50" spans="4:6">
      <c r="D50">
        <v>98</v>
      </c>
      <c r="E50">
        <v>8.782758463358693</v>
      </c>
      <c r="F50">
        <v>1.4845499741463541E-2</v>
      </c>
    </row>
    <row r="51" spans="4:6">
      <c r="D51">
        <v>99</v>
      </c>
      <c r="E51">
        <v>8.7644722636511752</v>
      </c>
      <c r="F51">
        <v>-3.4406999660543391E-3</v>
      </c>
    </row>
    <row r="52" spans="4:6">
      <c r="D52">
        <v>100</v>
      </c>
      <c r="E52">
        <v>8.7821509990387447</v>
      </c>
      <c r="F52">
        <v>1.4238035421515249E-2</v>
      </c>
    </row>
    <row r="53" spans="4:6">
      <c r="D53">
        <v>101</v>
      </c>
      <c r="E53">
        <v>8.7659349550973467</v>
      </c>
      <c r="F53">
        <v>-1.9780085198828345E-3</v>
      </c>
    </row>
    <row r="54" spans="4:6">
      <c r="D54">
        <v>102</v>
      </c>
      <c r="E54">
        <v>8.7815152923331663</v>
      </c>
      <c r="F54">
        <v>1.3602328715936807E-2</v>
      </c>
    </row>
    <row r="55" spans="4:6">
      <c r="D55">
        <v>103</v>
      </c>
      <c r="E55">
        <v>8.7672749476307494</v>
      </c>
      <c r="F55">
        <v>-6.3801598648005609E-4</v>
      </c>
    </row>
    <row r="56" spans="4:6">
      <c r="D56">
        <v>104</v>
      </c>
      <c r="E56">
        <v>8.7808544710973848</v>
      </c>
      <c r="F56">
        <v>1.2941507480155323E-2</v>
      </c>
    </row>
    <row r="57" spans="4:6">
      <c r="D57">
        <v>105</v>
      </c>
      <c r="E57">
        <v>8.7685025284400435</v>
      </c>
      <c r="F57">
        <v>5.89564822814026E-4</v>
      </c>
    </row>
    <row r="58" spans="4:6">
      <c r="D58">
        <v>106</v>
      </c>
      <c r="E58">
        <v>8.7801735600486168</v>
      </c>
      <c r="F58">
        <v>1.2260596431387327E-2</v>
      </c>
    </row>
    <row r="59" spans="4:6">
      <c r="D59">
        <v>107</v>
      </c>
      <c r="E59">
        <v>8.7696253756058713</v>
      </c>
      <c r="F59">
        <v>1.7124119886418043E-3</v>
      </c>
    </row>
    <row r="60" spans="4:6">
      <c r="D60">
        <v>108</v>
      </c>
      <c r="E60">
        <v>8.7794764280981674</v>
      </c>
      <c r="F60">
        <v>1.1563464480937924E-2</v>
      </c>
    </row>
    <row r="61" spans="4:6">
      <c r="D61">
        <v>109</v>
      </c>
      <c r="E61">
        <v>8.770649372790615</v>
      </c>
      <c r="F61">
        <v>2.7364091733854679E-3</v>
      </c>
    </row>
    <row r="62" spans="4:6">
      <c r="D62">
        <v>110</v>
      </c>
      <c r="E62">
        <v>8.7787620709612479</v>
      </c>
      <c r="F62">
        <v>1.0849107344018449E-2</v>
      </c>
    </row>
    <row r="63" spans="4:6">
      <c r="D63">
        <v>111</v>
      </c>
      <c r="E63">
        <v>8.7715817230947195</v>
      </c>
      <c r="F63">
        <v>3.6687594774900134E-3</v>
      </c>
    </row>
    <row r="64" spans="4:6">
      <c r="D64">
        <v>112</v>
      </c>
      <c r="E64">
        <v>8.7780332681822095</v>
      </c>
      <c r="F64">
        <v>1.0120304564980032E-2</v>
      </c>
    </row>
    <row r="65" spans="4:6">
      <c r="D65">
        <v>113</v>
      </c>
      <c r="E65">
        <v>8.772428380230183</v>
      </c>
      <c r="F65">
        <v>4.5154166129535156E-3</v>
      </c>
    </row>
    <row r="66" spans="4:6">
      <c r="D66">
        <v>114</v>
      </c>
      <c r="E66">
        <v>8.7772908474989642</v>
      </c>
      <c r="F66">
        <v>9.377883881734661E-3</v>
      </c>
    </row>
    <row r="67" spans="4:6">
      <c r="D67">
        <v>115</v>
      </c>
      <c r="E67">
        <v>8.7731950812666941</v>
      </c>
      <c r="F67">
        <v>5.2821176494646238E-3</v>
      </c>
    </row>
    <row r="68" spans="4:6">
      <c r="D68">
        <v>116</v>
      </c>
      <c r="E68">
        <v>8.7765368237224113</v>
      </c>
      <c r="F68">
        <v>8.6238601051817909E-3</v>
      </c>
    </row>
    <row r="69" spans="4:6">
      <c r="D69">
        <v>117</v>
      </c>
      <c r="E69">
        <v>8.7738893076416371</v>
      </c>
      <c r="F69">
        <v>5.9763440244076094E-3</v>
      </c>
    </row>
    <row r="70" spans="4:6">
      <c r="D70">
        <v>118</v>
      </c>
      <c r="E70">
        <v>8.7757733142026364</v>
      </c>
      <c r="F70">
        <v>7.8603505854069056E-3</v>
      </c>
    </row>
    <row r="71" spans="4:6">
      <c r="D71">
        <v>119</v>
      </c>
      <c r="E71">
        <v>8.7745137061517386</v>
      </c>
      <c r="F71">
        <v>6.6007425345091519E-3</v>
      </c>
    </row>
    <row r="72" spans="4:6">
      <c r="D72">
        <v>120</v>
      </c>
      <c r="E72">
        <v>8.7750009185630109</v>
      </c>
      <c r="F72">
        <v>7.0879549457814051E-3</v>
      </c>
    </row>
    <row r="73" spans="4:6">
      <c r="D73">
        <v>121</v>
      </c>
      <c r="E73">
        <v>8.7750728904147977</v>
      </c>
      <c r="F73">
        <v>7.1599267975681613E-3</v>
      </c>
    </row>
    <row r="74" spans="4:6">
      <c r="D74">
        <v>122</v>
      </c>
      <c r="E74">
        <v>8.7742209213210849</v>
      </c>
      <c r="F74">
        <v>6.3079577038553936E-3</v>
      </c>
    </row>
    <row r="75" spans="4:6">
      <c r="D75">
        <v>123</v>
      </c>
      <c r="E75">
        <v>8.7755711651420452</v>
      </c>
      <c r="F75">
        <v>7.6582015248156665E-3</v>
      </c>
    </row>
    <row r="76" spans="4:6">
      <c r="D76">
        <v>124</v>
      </c>
      <c r="E76">
        <v>8.7734345027978531</v>
      </c>
      <c r="F76">
        <v>5.5215391806235914E-3</v>
      </c>
    </row>
    <row r="77" spans="4:6">
      <c r="D77">
        <v>125</v>
      </c>
      <c r="E77">
        <v>8.776012300438973</v>
      </c>
      <c r="F77">
        <v>8.0993368217434636E-3</v>
      </c>
    </row>
    <row r="78" spans="4:6">
      <c r="D78">
        <v>126</v>
      </c>
      <c r="E78">
        <v>8.7726427482651044</v>
      </c>
      <c r="F78">
        <v>4.7297846478748795E-3</v>
      </c>
    </row>
    <row r="79" spans="4:6">
      <c r="D79">
        <v>127</v>
      </c>
      <c r="E79">
        <v>8.7763999328797375</v>
      </c>
      <c r="F79">
        <v>8.4869692625080262E-3</v>
      </c>
    </row>
    <row r="80" spans="4:6">
      <c r="D80">
        <v>128</v>
      </c>
      <c r="E80">
        <v>8.7718503698143415</v>
      </c>
      <c r="F80">
        <v>3.9374061971120256E-3</v>
      </c>
    </row>
    <row r="81" spans="4:6">
      <c r="D81">
        <v>129</v>
      </c>
      <c r="E81">
        <v>8.7767374398928375</v>
      </c>
      <c r="F81">
        <v>8.8244762756080064E-3</v>
      </c>
    </row>
    <row r="82" spans="4:6">
      <c r="D82">
        <v>130</v>
      </c>
      <c r="E82">
        <v>8.7710593793573857</v>
      </c>
      <c r="F82">
        <v>3.1464157401561721E-3</v>
      </c>
    </row>
    <row r="83" spans="4:6">
      <c r="D83">
        <v>131</v>
      </c>
      <c r="E83">
        <v>8.7770279514349294</v>
      </c>
      <c r="F83">
        <v>9.1149878176999266E-3</v>
      </c>
    </row>
    <row r="84" spans="4:6">
      <c r="D84">
        <v>132</v>
      </c>
      <c r="E84">
        <v>8.7702745170164622</v>
      </c>
      <c r="F84">
        <v>2.3615533992327187E-3</v>
      </c>
    </row>
    <row r="85" spans="4:6">
      <c r="D85">
        <v>133</v>
      </c>
      <c r="E85">
        <v>8.7772752038843542</v>
      </c>
      <c r="F85">
        <v>9.3622402671247329E-3</v>
      </c>
    </row>
    <row r="86" spans="4:6">
      <c r="D86">
        <v>134</v>
      </c>
      <c r="E86">
        <v>8.769488918453483</v>
      </c>
      <c r="F86">
        <v>1.5759548362535014E-3</v>
      </c>
    </row>
    <row r="87" spans="4:6">
      <c r="D87">
        <v>135</v>
      </c>
      <c r="E87">
        <v>8.7774820882534197</v>
      </c>
      <c r="F87">
        <v>9.569124636190196E-3</v>
      </c>
    </row>
    <row r="88" spans="4:6">
      <c r="D88">
        <v>136</v>
      </c>
      <c r="E88">
        <v>8.7687021472093072</v>
      </c>
      <c r="F88">
        <v>7.8918359207769129E-4</v>
      </c>
    </row>
    <row r="89" spans="4:6">
      <c r="D89">
        <v>137</v>
      </c>
      <c r="E89">
        <v>8.7776500563498256</v>
      </c>
      <c r="F89">
        <v>9.7370927325961532E-3</v>
      </c>
    </row>
    <row r="90" spans="4:6">
      <c r="D90">
        <v>138</v>
      </c>
      <c r="E90">
        <v>8.767916097420887</v>
      </c>
      <c r="F90">
        <v>3.1338036574624084E-6</v>
      </c>
    </row>
    <row r="91" spans="4:6">
      <c r="D91">
        <v>139</v>
      </c>
      <c r="E91">
        <v>8.7777814756694656</v>
      </c>
      <c r="F91">
        <v>9.8685120522361558E-3</v>
      </c>
    </row>
    <row r="92" spans="4:6">
      <c r="D92">
        <v>140</v>
      </c>
      <c r="E92">
        <v>8.7671292705094412</v>
      </c>
      <c r="F92">
        <v>-7.8369310778825252E-4</v>
      </c>
    </row>
    <row r="93" spans="4:6">
      <c r="D93">
        <v>141</v>
      </c>
      <c r="E93">
        <v>8.7778785630183656</v>
      </c>
      <c r="F93">
        <v>9.9655994011360605E-3</v>
      </c>
    </row>
    <row r="94" spans="4:6">
      <c r="D94">
        <v>142</v>
      </c>
      <c r="E94">
        <v>8.7663422115475829</v>
      </c>
      <c r="F94">
        <v>-1.5707520696466304E-3</v>
      </c>
    </row>
    <row r="95" spans="4:6">
      <c r="D95">
        <v>143</v>
      </c>
      <c r="E95">
        <v>8.7779433917802159</v>
      </c>
      <c r="F95">
        <v>1.0030428162986382E-2</v>
      </c>
    </row>
    <row r="96" spans="4:6">
      <c r="D96">
        <v>144</v>
      </c>
      <c r="E96">
        <v>8.765559910147271</v>
      </c>
      <c r="F96">
        <v>-2.3530534699585104E-3</v>
      </c>
    </row>
    <row r="97" spans="4:6">
      <c r="D97">
        <v>145</v>
      </c>
      <c r="E97">
        <v>8.777977897224023</v>
      </c>
      <c r="F97">
        <v>1.0064933606793502E-2</v>
      </c>
    </row>
    <row r="98" spans="4:6">
      <c r="D98">
        <v>146</v>
      </c>
      <c r="E98">
        <v>8.7648042576226608</v>
      </c>
      <c r="F98">
        <v>-3.1087059945686946E-3</v>
      </c>
    </row>
    <row r="99" spans="4:6">
      <c r="D99">
        <v>147</v>
      </c>
      <c r="E99">
        <v>8.7779840885535574</v>
      </c>
      <c r="F99">
        <v>1.0071124936327891E-2</v>
      </c>
    </row>
    <row r="100" spans="4:6">
      <c r="D100">
        <v>148</v>
      </c>
      <c r="E100">
        <v>8.7640571377156711</v>
      </c>
      <c r="F100">
        <v>-3.8558259015584184E-3</v>
      </c>
    </row>
    <row r="101" spans="4:6">
      <c r="D101">
        <v>149</v>
      </c>
      <c r="E101">
        <v>8.7779639473642259</v>
      </c>
      <c r="F101">
        <v>1.0050983746996422E-2</v>
      </c>
    </row>
    <row r="102" spans="4:6">
      <c r="D102">
        <v>150</v>
      </c>
      <c r="E102">
        <v>8.7633150327241349</v>
      </c>
      <c r="F102">
        <v>-4.5979308930945706E-3</v>
      </c>
    </row>
    <row r="103" spans="4:6">
      <c r="D103">
        <v>151</v>
      </c>
      <c r="E103">
        <v>8.7779191317958425</v>
      </c>
      <c r="F103">
        <v>1.0006168178612995E-2</v>
      </c>
    </row>
    <row r="104" spans="4:6">
      <c r="D104">
        <v>152</v>
      </c>
      <c r="E104">
        <v>8.7625745166840101</v>
      </c>
      <c r="F104">
        <v>-5.3384469332193873E-3</v>
      </c>
    </row>
    <row r="105" spans="4:6">
      <c r="D105">
        <v>153</v>
      </c>
      <c r="E105">
        <v>8.7778506108137133</v>
      </c>
      <c r="F105">
        <v>9.9376471964838231E-3</v>
      </c>
    </row>
    <row r="106" spans="4:6">
      <c r="D106">
        <v>154</v>
      </c>
      <c r="E106">
        <v>8.7618873716050647</v>
      </c>
      <c r="F106">
        <v>-6.0255920121647932E-3</v>
      </c>
    </row>
    <row r="107" spans="4:6">
      <c r="D107">
        <v>155</v>
      </c>
      <c r="E107">
        <v>8.7777598040007714</v>
      </c>
      <c r="F107">
        <v>9.8468403835418883E-3</v>
      </c>
    </row>
    <row r="108" spans="4:6">
      <c r="D108">
        <v>156</v>
      </c>
      <c r="E108">
        <v>8.7612280130669014</v>
      </c>
      <c r="F108">
        <v>-6.6849505503281392E-3</v>
      </c>
    </row>
    <row r="109" spans="4:6">
      <c r="D109">
        <v>157</v>
      </c>
      <c r="E109">
        <v>8.7776479677594033</v>
      </c>
      <c r="F109">
        <v>9.7350041421737643E-3</v>
      </c>
    </row>
    <row r="110" spans="4:6">
      <c r="D110">
        <v>158</v>
      </c>
      <c r="E110">
        <v>8.7607322213038152</v>
      </c>
      <c r="F110">
        <v>-7.1807423134142567E-3</v>
      </c>
    </row>
    <row r="111" spans="4:6">
      <c r="D111">
        <v>159</v>
      </c>
      <c r="E111">
        <v>8.7775163333673234</v>
      </c>
      <c r="F111">
        <v>9.6033697500939041E-3</v>
      </c>
    </row>
    <row r="112" spans="4:6">
      <c r="D112">
        <v>160</v>
      </c>
      <c r="E112">
        <v>8.7614200029930416</v>
      </c>
      <c r="F112">
        <v>-6.4929606241879156E-3</v>
      </c>
    </row>
    <row r="113" spans="4:6">
      <c r="D113">
        <v>161</v>
      </c>
      <c r="E113">
        <v>8.7773660558630127</v>
      </c>
      <c r="F113">
        <v>9.4530922457831679E-3</v>
      </c>
    </row>
    <row r="114" spans="4:6">
      <c r="D114">
        <v>162</v>
      </c>
      <c r="E114">
        <v>8.7623077777864768</v>
      </c>
      <c r="F114">
        <v>-5.6051858307526459E-3</v>
      </c>
    </row>
    <row r="115" spans="4:6">
      <c r="D115">
        <v>163</v>
      </c>
      <c r="E115">
        <v>8.7771982187310797</v>
      </c>
      <c r="F115">
        <v>9.2852551138502548E-3</v>
      </c>
    </row>
    <row r="116" spans="4:6">
      <c r="D116">
        <v>164</v>
      </c>
      <c r="E116">
        <v>8.7631484293218325</v>
      </c>
      <c r="F116">
        <v>-4.7645342953970271E-3</v>
      </c>
    </row>
    <row r="117" spans="4:6">
      <c r="D117">
        <v>165</v>
      </c>
      <c r="E117">
        <v>8.7770141794321077</v>
      </c>
      <c r="F117">
        <v>9.1012158148782163E-3</v>
      </c>
    </row>
    <row r="118" spans="4:6">
      <c r="D118">
        <v>166</v>
      </c>
      <c r="E118">
        <v>8.7639440756114251</v>
      </c>
      <c r="F118">
        <v>-3.9688880058044163E-3</v>
      </c>
    </row>
    <row r="119" spans="4:6">
      <c r="D119">
        <v>167</v>
      </c>
      <c r="E119">
        <v>8.776814802461308</v>
      </c>
      <c r="F119">
        <v>8.901838844078469E-3</v>
      </c>
    </row>
    <row r="120" spans="4:6">
      <c r="D120">
        <v>168</v>
      </c>
      <c r="E120">
        <v>8.7646967236751152</v>
      </c>
      <c r="F120">
        <v>-3.2162399421142851E-3</v>
      </c>
    </row>
    <row r="121" spans="4:6">
      <c r="D121">
        <v>169</v>
      </c>
      <c r="E121">
        <v>8.7766018256000642</v>
      </c>
      <c r="F121">
        <v>8.6888619828346947E-3</v>
      </c>
    </row>
    <row r="122" spans="4:6">
      <c r="D122">
        <v>170</v>
      </c>
      <c r="E122">
        <v>8.7654083099344469</v>
      </c>
      <c r="F122">
        <v>-2.5046536827826316E-3</v>
      </c>
    </row>
    <row r="123" spans="4:6">
      <c r="D123">
        <v>171</v>
      </c>
      <c r="E123">
        <v>8.7763753723532627</v>
      </c>
      <c r="F123">
        <v>8.4624087360332112E-3</v>
      </c>
    </row>
    <row r="124" spans="4:6">
      <c r="D124">
        <v>172</v>
      </c>
      <c r="E124">
        <v>8.7660806880604749</v>
      </c>
      <c r="F124">
        <v>-1.8322755567545812E-3</v>
      </c>
    </row>
    <row r="125" spans="4:6">
      <c r="D125">
        <v>173</v>
      </c>
      <c r="E125">
        <v>8.776135858206807</v>
      </c>
      <c r="F125">
        <v>8.2228945895774785E-3</v>
      </c>
    </row>
    <row r="126" spans="4:6">
      <c r="D126">
        <v>174</v>
      </c>
      <c r="E126">
        <v>8.766715543634545</v>
      </c>
      <c r="F126">
        <v>-1.1974199826845222E-3</v>
      </c>
    </row>
    <row r="127" spans="4:6">
      <c r="D127">
        <v>175</v>
      </c>
      <c r="E127">
        <v>8.7758840714864128</v>
      </c>
      <c r="F127">
        <v>7.9711078691833137E-3</v>
      </c>
    </row>
    <row r="128" spans="4:6">
      <c r="D128">
        <v>176</v>
      </c>
      <c r="E128">
        <v>8.7673146541965927</v>
      </c>
      <c r="F128">
        <v>-5.9830942063676673E-4</v>
      </c>
    </row>
    <row r="129" spans="4:6">
      <c r="D129">
        <v>177</v>
      </c>
      <c r="E129">
        <v>8.7756211330275438</v>
      </c>
      <c r="F129">
        <v>7.7081694103142695E-3</v>
      </c>
    </row>
    <row r="130" spans="4:6">
      <c r="D130">
        <v>178</v>
      </c>
      <c r="E130">
        <v>8.7678795478863858</v>
      </c>
      <c r="F130">
        <v>-3.3415730843699976E-5</v>
      </c>
    </row>
    <row r="131" spans="4:6">
      <c r="D131">
        <v>179</v>
      </c>
      <c r="E131">
        <v>8.7753479341874669</v>
      </c>
      <c r="F131">
        <v>7.4349705702374536E-3</v>
      </c>
    </row>
    <row r="132" spans="4:6">
      <c r="D132">
        <v>180</v>
      </c>
      <c r="E132">
        <v>8.7684115935617122</v>
      </c>
      <c r="F132">
        <v>4.9862994448268694E-4</v>
      </c>
    </row>
    <row r="133" spans="4:6">
      <c r="D133">
        <v>181</v>
      </c>
      <c r="E133">
        <v>8.7750644682758239</v>
      </c>
      <c r="F133">
        <v>7.1515046585943765E-3</v>
      </c>
    </row>
    <row r="134" spans="4:6">
      <c r="D134">
        <v>182</v>
      </c>
      <c r="E134">
        <v>8.7689127255951931</v>
      </c>
      <c r="F134">
        <v>9.997619779635869E-4</v>
      </c>
    </row>
    <row r="135" spans="4:6">
      <c r="D135">
        <v>183</v>
      </c>
      <c r="E135">
        <v>8.7747723882164266</v>
      </c>
      <c r="F135">
        <v>6.8594245991970837E-3</v>
      </c>
    </row>
    <row r="136" spans="4:6">
      <c r="D136">
        <v>184</v>
      </c>
      <c r="E136">
        <v>8.7693836791934867</v>
      </c>
      <c r="F136">
        <v>1.4707155762572199E-3</v>
      </c>
    </row>
    <row r="137" spans="4:6">
      <c r="D137">
        <v>185</v>
      </c>
      <c r="E137">
        <v>8.774471443312537</v>
      </c>
      <c r="F137">
        <v>6.5584796953075397E-3</v>
      </c>
    </row>
    <row r="138" spans="4:6">
      <c r="D138">
        <v>186</v>
      </c>
      <c r="E138">
        <v>8.769825710163623</v>
      </c>
      <c r="F138">
        <v>1.9127465463935067E-3</v>
      </c>
    </row>
    <row r="139" spans="4:6">
      <c r="D139">
        <v>187</v>
      </c>
      <c r="E139">
        <v>8.7741621155314373</v>
      </c>
      <c r="F139">
        <v>6.2491519142078289E-3</v>
      </c>
    </row>
    <row r="140" spans="4:6">
      <c r="D140">
        <v>188</v>
      </c>
      <c r="E140">
        <v>8.7702400269571008</v>
      </c>
      <c r="F140">
        <v>2.3270633398713159E-3</v>
      </c>
    </row>
    <row r="141" spans="4:6">
      <c r="D141">
        <v>189</v>
      </c>
      <c r="E141">
        <v>8.7738470022017214</v>
      </c>
      <c r="F141">
        <v>5.9340385844919297E-3</v>
      </c>
    </row>
    <row r="142" spans="4:6">
      <c r="D142">
        <v>190</v>
      </c>
      <c r="E142">
        <v>8.7706278748516961</v>
      </c>
      <c r="F142">
        <v>2.7149112344666548E-3</v>
      </c>
    </row>
    <row r="143" spans="4:6">
      <c r="D143">
        <v>191</v>
      </c>
      <c r="E143">
        <v>8.7735257574646663</v>
      </c>
      <c r="F143">
        <v>5.6127938474368477E-3</v>
      </c>
    </row>
    <row r="144" spans="4:6">
      <c r="D144">
        <v>192</v>
      </c>
      <c r="E144">
        <v>8.7709902960159081</v>
      </c>
      <c r="F144">
        <v>3.0773323986785783E-3</v>
      </c>
    </row>
    <row r="145" spans="4:6">
      <c r="D145">
        <v>193</v>
      </c>
      <c r="E145">
        <v>8.7731972983729776</v>
      </c>
      <c r="F145">
        <v>5.2843347557480769E-3</v>
      </c>
    </row>
    <row r="146" spans="4:6">
      <c r="D146">
        <v>194</v>
      </c>
      <c r="E146">
        <v>8.7713282846388925</v>
      </c>
      <c r="F146">
        <v>3.4153210216629759E-3</v>
      </c>
    </row>
    <row r="147" spans="4:6">
      <c r="D147">
        <v>195</v>
      </c>
      <c r="E147">
        <v>8.772862395333096</v>
      </c>
      <c r="F147">
        <v>4.9494317158664813E-3</v>
      </c>
    </row>
    <row r="148" spans="4:6">
      <c r="D148">
        <v>196</v>
      </c>
      <c r="E148">
        <v>8.7716428351396836</v>
      </c>
      <c r="F148">
        <v>3.7298715224540757E-3</v>
      </c>
    </row>
    <row r="149" spans="4:6">
      <c r="D149">
        <v>197</v>
      </c>
      <c r="E149">
        <v>8.7725225555249029</v>
      </c>
      <c r="F149">
        <v>4.6095919076734049E-3</v>
      </c>
    </row>
    <row r="150" spans="4:6">
      <c r="D150">
        <v>198</v>
      </c>
      <c r="E150">
        <v>8.7719349221468885</v>
      </c>
      <c r="F150">
        <v>4.021958529659031E-3</v>
      </c>
    </row>
    <row r="151" spans="4:6">
      <c r="D151">
        <v>199</v>
      </c>
      <c r="E151">
        <v>8.772176707454058</v>
      </c>
      <c r="F151">
        <v>4.2637438368284819E-3</v>
      </c>
    </row>
    <row r="152" spans="4:6">
      <c r="D152">
        <v>200</v>
      </c>
      <c r="E152">
        <v>8.7722059009494533</v>
      </c>
      <c r="F152">
        <v>4.2929373322238007E-3</v>
      </c>
    </row>
    <row r="153" spans="4:6">
      <c r="D153">
        <v>201</v>
      </c>
      <c r="E153">
        <v>8.7718252237786292</v>
      </c>
      <c r="F153">
        <v>3.9122601613996721E-3</v>
      </c>
    </row>
    <row r="154" spans="4:6">
      <c r="D154">
        <v>202</v>
      </c>
      <c r="E154">
        <v>8.7724561771069336</v>
      </c>
      <c r="F154">
        <v>4.543213489704101E-3</v>
      </c>
    </row>
    <row r="155" spans="4:6">
      <c r="D155">
        <v>203</v>
      </c>
      <c r="E155">
        <v>8.7714684581784184</v>
      </c>
      <c r="F155">
        <v>3.5554945611888655E-3</v>
      </c>
    </row>
    <row r="156" spans="4:6">
      <c r="D156">
        <v>204</v>
      </c>
      <c r="E156">
        <v>8.772686553912509</v>
      </c>
      <c r="F156">
        <v>4.7735902952794618E-3</v>
      </c>
    </row>
    <row r="157" spans="4:6">
      <c r="D157">
        <v>205</v>
      </c>
      <c r="E157">
        <v>8.7711067466220012</v>
      </c>
      <c r="F157">
        <v>3.1937830047716886E-3</v>
      </c>
    </row>
    <row r="158" spans="4:6">
      <c r="D158">
        <v>206</v>
      </c>
      <c r="E158">
        <v>8.7728978942039468</v>
      </c>
      <c r="F158">
        <v>4.9849305867173399E-3</v>
      </c>
    </row>
    <row r="159" spans="4:6">
      <c r="D159">
        <v>207</v>
      </c>
      <c r="E159">
        <v>8.7707443539752088</v>
      </c>
      <c r="F159">
        <v>2.8313903579793021E-3</v>
      </c>
    </row>
    <row r="160" spans="4:6">
      <c r="D160">
        <v>208</v>
      </c>
      <c r="E160">
        <v>8.7730912279921434</v>
      </c>
      <c r="F160">
        <v>5.1782643749138657E-3</v>
      </c>
    </row>
    <row r="161" spans="4:6">
      <c r="D161">
        <v>209</v>
      </c>
      <c r="E161">
        <v>8.7703790839492601</v>
      </c>
      <c r="F161">
        <v>2.4661203320306413E-3</v>
      </c>
    </row>
    <row r="162" spans="4:6">
      <c r="D162">
        <v>210</v>
      </c>
      <c r="E162">
        <v>8.773267134172384</v>
      </c>
      <c r="F162">
        <v>5.3541705551545249E-3</v>
      </c>
    </row>
    <row r="163" spans="4:6">
      <c r="D163">
        <v>211</v>
      </c>
      <c r="E163">
        <v>8.7700096492193662</v>
      </c>
      <c r="F163">
        <v>2.0966856021367164E-3</v>
      </c>
    </row>
    <row r="164" spans="4:6">
      <c r="D164">
        <v>212</v>
      </c>
      <c r="E164">
        <v>8.77342616455425</v>
      </c>
      <c r="F164">
        <v>5.5132009370204571E-3</v>
      </c>
    </row>
    <row r="165" spans="4:6">
      <c r="D165">
        <v>213</v>
      </c>
      <c r="E165">
        <v>8.7696366399215169</v>
      </c>
      <c r="F165">
        <v>1.7236763042873804E-3</v>
      </c>
    </row>
    <row r="166" spans="4:6">
      <c r="D166">
        <v>214</v>
      </c>
      <c r="E166">
        <v>8.7735688997846477</v>
      </c>
      <c r="F166">
        <v>5.6559361674182185E-3</v>
      </c>
    </row>
    <row r="167" spans="4:6">
      <c r="D167">
        <v>215</v>
      </c>
      <c r="E167">
        <v>8.7692601998953901</v>
      </c>
      <c r="F167">
        <v>1.3472362781605796E-3</v>
      </c>
    </row>
    <row r="168" spans="4:6">
      <c r="D168">
        <v>216</v>
      </c>
      <c r="E168">
        <v>8.7736959702644253</v>
      </c>
      <c r="F168">
        <v>5.7830066471957764E-3</v>
      </c>
    </row>
    <row r="169" spans="4:6">
      <c r="D169">
        <v>217</v>
      </c>
      <c r="E169">
        <v>8.7688804762728036</v>
      </c>
      <c r="F169">
        <v>9.6751265557415422E-4</v>
      </c>
    </row>
    <row r="170" spans="4:6">
      <c r="D170">
        <v>218</v>
      </c>
      <c r="E170">
        <v>8.7738079791320569</v>
      </c>
      <c r="F170">
        <v>5.8950155148274064E-3</v>
      </c>
    </row>
    <row r="171" spans="4:6">
      <c r="D171">
        <v>219</v>
      </c>
      <c r="E171">
        <v>8.7684982020686668</v>
      </c>
      <c r="F171">
        <v>5.852384514373199E-4</v>
      </c>
    </row>
    <row r="172" spans="4:6">
      <c r="D172">
        <v>220</v>
      </c>
      <c r="E172">
        <v>8.7739055053959358</v>
      </c>
      <c r="F172">
        <v>5.9925417787063395E-3</v>
      </c>
    </row>
    <row r="173" spans="4:6">
      <c r="D173">
        <v>221</v>
      </c>
      <c r="E173">
        <v>8.7681193707440439</v>
      </c>
      <c r="F173">
        <v>2.0640712681441187E-4</v>
      </c>
    </row>
    <row r="174" spans="4:6">
      <c r="D174">
        <v>222</v>
      </c>
      <c r="E174">
        <v>8.7739891027641406</v>
      </c>
      <c r="F174">
        <v>6.0761391469110748E-3</v>
      </c>
    </row>
    <row r="175" spans="4:6">
      <c r="D175">
        <v>223</v>
      </c>
      <c r="E175">
        <v>8.7677388382412218</v>
      </c>
      <c r="F175">
        <v>-1.741253760076944E-4</v>
      </c>
    </row>
    <row r="176" spans="4:6">
      <c r="D176">
        <v>224</v>
      </c>
      <c r="E176">
        <v>8.7740593025454174</v>
      </c>
      <c r="F176">
        <v>6.1463389281879444E-3</v>
      </c>
    </row>
    <row r="177" spans="4:6">
      <c r="D177">
        <v>225</v>
      </c>
      <c r="E177">
        <v>8.7673563667393601</v>
      </c>
      <c r="F177">
        <v>-5.5659687786935308E-4</v>
      </c>
    </row>
    <row r="178" spans="4:6">
      <c r="D178">
        <v>226</v>
      </c>
      <c r="E178">
        <v>8.7741167081850442</v>
      </c>
      <c r="F178">
        <v>6.2037445678146952E-3</v>
      </c>
    </row>
    <row r="179" spans="4:6">
      <c r="D179">
        <v>227</v>
      </c>
      <c r="E179">
        <v>8.7669715277735083</v>
      </c>
      <c r="F179">
        <v>-9.4143584372119449E-4</v>
      </c>
    </row>
    <row r="180" spans="4:6">
      <c r="D180">
        <v>228</v>
      </c>
      <c r="E180">
        <v>8.7741618178983796</v>
      </c>
      <c r="F180">
        <v>6.2488542811500736E-3</v>
      </c>
    </row>
    <row r="181" spans="4:6">
      <c r="D181">
        <v>229</v>
      </c>
      <c r="E181">
        <v>8.7665851891972277</v>
      </c>
      <c r="F181">
        <v>-1.3277744200017594E-3</v>
      </c>
    </row>
    <row r="182" spans="4:6">
      <c r="D182">
        <v>230</v>
      </c>
      <c r="E182">
        <v>8.7741949975590163</v>
      </c>
      <c r="F182">
        <v>6.2820339417868354E-3</v>
      </c>
    </row>
    <row r="183" spans="4:6">
      <c r="D183">
        <v>231</v>
      </c>
      <c r="E183">
        <v>8.7661969270672433</v>
      </c>
      <c r="F183">
        <v>-1.7160365499861996E-3</v>
      </c>
    </row>
    <row r="184" spans="4:6">
      <c r="D184">
        <v>232</v>
      </c>
      <c r="E184">
        <v>8.7742169953583229</v>
      </c>
      <c r="F184">
        <v>6.3040317410933966E-3</v>
      </c>
    </row>
    <row r="185" spans="4:6">
      <c r="D185">
        <v>233</v>
      </c>
      <c r="E185">
        <v>8.7658069204324356</v>
      </c>
      <c r="F185">
        <v>-2.1060431847939043E-3</v>
      </c>
    </row>
    <row r="186" spans="4:6">
      <c r="D186">
        <v>234</v>
      </c>
      <c r="E186">
        <v>8.7742291342144512</v>
      </c>
      <c r="F186">
        <v>6.3161705972216708E-3</v>
      </c>
    </row>
    <row r="187" spans="4:6">
      <c r="D187">
        <v>235</v>
      </c>
      <c r="E187">
        <v>8.76542117605287</v>
      </c>
      <c r="F187">
        <v>-2.4917875643595266E-3</v>
      </c>
    </row>
    <row r="188" spans="4:6">
      <c r="D188">
        <v>236</v>
      </c>
      <c r="E188">
        <v>8.7742309903110112</v>
      </c>
      <c r="F188">
        <v>6.3180266937816754E-3</v>
      </c>
    </row>
    <row r="189" spans="4:6">
      <c r="D189">
        <v>237</v>
      </c>
      <c r="E189">
        <v>8.7650409737042274</v>
      </c>
      <c r="F189">
        <v>-2.8719899130020821E-3</v>
      </c>
    </row>
    <row r="190" spans="4:6">
      <c r="D190">
        <v>238</v>
      </c>
      <c r="E190">
        <v>8.7742225910758407</v>
      </c>
      <c r="F190">
        <v>6.3096274586111889E-3</v>
      </c>
    </row>
    <row r="191" spans="4:6">
      <c r="D191">
        <v>239</v>
      </c>
      <c r="E191">
        <v>8.7646590633437462</v>
      </c>
      <c r="F191">
        <v>-3.2539002734832678E-3</v>
      </c>
    </row>
    <row r="192" spans="4:6">
      <c r="D192">
        <v>240</v>
      </c>
      <c r="E192">
        <v>8.7742043571394817</v>
      </c>
      <c r="F192">
        <v>6.2913935222521644E-3</v>
      </c>
    </row>
    <row r="193" spans="4:6">
      <c r="D193">
        <v>241</v>
      </c>
      <c r="E193">
        <v>8.7642763386356961</v>
      </c>
      <c r="F193">
        <v>-3.6366249815333873E-3</v>
      </c>
    </row>
    <row r="194" spans="4:6">
      <c r="D194">
        <v>242</v>
      </c>
      <c r="E194">
        <v>8.7741767066865517</v>
      </c>
      <c r="F194">
        <v>6.2637430693222029E-3</v>
      </c>
    </row>
    <row r="195" spans="4:6">
      <c r="D195">
        <v>243</v>
      </c>
      <c r="E195">
        <v>8.7639202412391892</v>
      </c>
      <c r="F195">
        <v>-3.9927223780402699E-3</v>
      </c>
    </row>
    <row r="196" spans="4:6">
      <c r="D196">
        <v>244</v>
      </c>
      <c r="E196">
        <v>8.774139928861274</v>
      </c>
      <c r="F196">
        <v>6.2269652440445356E-3</v>
      </c>
    </row>
    <row r="197" spans="4:6">
      <c r="D197">
        <v>245</v>
      </c>
      <c r="E197">
        <v>8.7635737983978057</v>
      </c>
      <c r="F197">
        <v>-4.3391652194237906E-3</v>
      </c>
    </row>
    <row r="198" spans="4:6">
      <c r="D198">
        <v>246</v>
      </c>
      <c r="E198">
        <v>8.77409434759055</v>
      </c>
      <c r="F198">
        <v>6.1813839733204645E-3</v>
      </c>
    </row>
    <row r="199" spans="4:6">
      <c r="D199">
        <v>247</v>
      </c>
      <c r="E199">
        <v>8.7633042661035034</v>
      </c>
      <c r="F199">
        <v>-4.6086975137260566E-3</v>
      </c>
    </row>
    <row r="200" spans="4:6">
      <c r="D200">
        <v>248</v>
      </c>
      <c r="E200">
        <v>8.7740404543822077</v>
      </c>
      <c r="F200">
        <v>6.1274907649782051E-3</v>
      </c>
    </row>
    <row r="201" spans="4:6">
      <c r="D201">
        <v>249</v>
      </c>
      <c r="E201">
        <v>8.7635947068237723</v>
      </c>
      <c r="F201">
        <v>-4.3182567934572091E-3</v>
      </c>
    </row>
    <row r="202" spans="4:6">
      <c r="D202">
        <v>250</v>
      </c>
      <c r="E202">
        <v>8.7739785798494374</v>
      </c>
      <c r="F202">
        <v>6.0656162322079155E-3</v>
      </c>
    </row>
    <row r="203" spans="4:6">
      <c r="D203">
        <v>251</v>
      </c>
      <c r="E203">
        <v>8.7640509727722815</v>
      </c>
      <c r="F203">
        <v>-3.8619908449479823E-3</v>
      </c>
    </row>
    <row r="204" spans="4:6">
      <c r="D204">
        <v>252</v>
      </c>
      <c r="E204">
        <v>8.7739088187299998</v>
      </c>
      <c r="F204">
        <v>5.995855112770343E-3</v>
      </c>
    </row>
    <row r="205" spans="4:6">
      <c r="D205">
        <v>253</v>
      </c>
      <c r="E205">
        <v>8.7644898104135525</v>
      </c>
      <c r="F205">
        <v>-3.4231532036770318E-3</v>
      </c>
    </row>
    <row r="206" spans="4:6">
      <c r="D206">
        <v>254</v>
      </c>
      <c r="E206">
        <v>8.77383149272117</v>
      </c>
      <c r="F206">
        <v>5.9185291039405286E-3</v>
      </c>
    </row>
    <row r="207" spans="4:6">
      <c r="D207">
        <v>255</v>
      </c>
      <c r="E207">
        <v>8.7649116542029777</v>
      </c>
      <c r="F207">
        <v>-3.0013094142518071E-3</v>
      </c>
    </row>
    <row r="208" spans="4:6">
      <c r="D208">
        <v>256</v>
      </c>
      <c r="E208">
        <v>8.7737470580143686</v>
      </c>
      <c r="F208">
        <v>5.8340943971391113E-3</v>
      </c>
    </row>
    <row r="209" spans="4:6">
      <c r="D209">
        <v>257</v>
      </c>
      <c r="E209">
        <v>8.7653169880853916</v>
      </c>
      <c r="F209">
        <v>-2.5959755318378797E-3</v>
      </c>
    </row>
    <row r="210" spans="4:6">
      <c r="D210">
        <v>258</v>
      </c>
      <c r="E210">
        <v>8.7736563347899708</v>
      </c>
      <c r="F210">
        <v>5.7433711727412629E-3</v>
      </c>
    </row>
    <row r="211" spans="4:6">
      <c r="D211">
        <v>259</v>
      </c>
      <c r="E211">
        <v>8.7657062831328485</v>
      </c>
      <c r="F211">
        <v>-2.2066804843809962E-3</v>
      </c>
    </row>
    <row r="212" spans="4:6">
      <c r="D212">
        <v>260</v>
      </c>
      <c r="E212">
        <v>8.773559309739202</v>
      </c>
      <c r="F212">
        <v>5.6463461219724564E-3</v>
      </c>
    </row>
    <row r="213" spans="4:6">
      <c r="D213">
        <v>261</v>
      </c>
      <c r="E213">
        <v>8.7660800178978153</v>
      </c>
      <c r="F213">
        <v>-1.8329457194141696E-3</v>
      </c>
    </row>
    <row r="214" spans="4:6">
      <c r="D214">
        <v>262</v>
      </c>
      <c r="E214">
        <v>8.7734563780277366</v>
      </c>
      <c r="F214">
        <v>5.543414410507097E-3</v>
      </c>
    </row>
    <row r="215" spans="4:6">
      <c r="D215">
        <v>263</v>
      </c>
      <c r="E215">
        <v>8.7664386570716601</v>
      </c>
      <c r="F215">
        <v>-1.4743065455693483E-3</v>
      </c>
    </row>
    <row r="216" spans="4:6">
      <c r="D216">
        <v>264</v>
      </c>
      <c r="E216">
        <v>8.7733471866067632</v>
      </c>
      <c r="F216">
        <v>5.4342229895336658E-3</v>
      </c>
    </row>
    <row r="217" spans="4:6">
      <c r="D217">
        <v>265</v>
      </c>
      <c r="E217">
        <v>8.766782632247935</v>
      </c>
      <c r="F217">
        <v>-1.1303313692945238E-3</v>
      </c>
    </row>
    <row r="218" spans="4:6">
      <c r="D218">
        <v>266</v>
      </c>
      <c r="E218">
        <v>8.7732321317175845</v>
      </c>
      <c r="F218">
        <v>5.3191681003550428E-3</v>
      </c>
    </row>
    <row r="219" spans="4:6">
      <c r="D219">
        <v>267</v>
      </c>
      <c r="E219">
        <v>8.7671126225378266</v>
      </c>
      <c r="F219">
        <v>-8.0034107940285537E-4</v>
      </c>
    </row>
    <row r="220" spans="4:6">
      <c r="D220">
        <v>268</v>
      </c>
      <c r="E220">
        <v>8.7731111882724324</v>
      </c>
      <c r="F220">
        <v>5.198224655202921E-3</v>
      </c>
    </row>
    <row r="221" spans="4:6">
      <c r="D221">
        <v>269</v>
      </c>
      <c r="E221">
        <v>8.7674289056520909</v>
      </c>
      <c r="F221">
        <v>-4.8405796513861787E-4</v>
      </c>
    </row>
    <row r="222" spans="4:6">
      <c r="D222">
        <v>270</v>
      </c>
      <c r="E222">
        <v>8.7729846515784491</v>
      </c>
      <c r="F222">
        <v>5.0716879612195953E-3</v>
      </c>
    </row>
    <row r="223" spans="4:6">
      <c r="D223">
        <v>271</v>
      </c>
      <c r="E223">
        <v>8.7677317762962694</v>
      </c>
      <c r="F223">
        <v>-1.811873209600634E-4</v>
      </c>
    </row>
    <row r="224" spans="4:6">
      <c r="D224">
        <v>272</v>
      </c>
      <c r="E224">
        <v>8.7728531742602982</v>
      </c>
      <c r="F224">
        <v>4.9402106430687098E-3</v>
      </c>
    </row>
    <row r="225" spans="4:6">
      <c r="D225">
        <v>273</v>
      </c>
      <c r="E225">
        <v>8.7680217541151855</v>
      </c>
      <c r="F225">
        <v>1.087904979559795E-4</v>
      </c>
    </row>
    <row r="226" spans="4:6">
      <c r="D226">
        <v>274</v>
      </c>
      <c r="E226">
        <v>8.7727166919658544</v>
      </c>
      <c r="F226">
        <v>4.8037283486248583E-3</v>
      </c>
    </row>
    <row r="227" spans="4:6">
      <c r="D227">
        <v>275</v>
      </c>
      <c r="E227">
        <v>8.768299199704817</v>
      </c>
      <c r="F227">
        <v>3.8623608758747707E-4</v>
      </c>
    </row>
    <row r="228" spans="4:6">
      <c r="D228">
        <v>276</v>
      </c>
      <c r="E228">
        <v>8.7725752882722485</v>
      </c>
      <c r="F228">
        <v>4.6623246550190345E-3</v>
      </c>
    </row>
    <row r="229" spans="4:6">
      <c r="D229">
        <v>277</v>
      </c>
      <c r="E229">
        <v>8.7685646358481719</v>
      </c>
      <c r="F229">
        <v>6.5167223094242388E-4</v>
      </c>
    </row>
    <row r="230" spans="4:6">
      <c r="D230">
        <v>278</v>
      </c>
      <c r="E230">
        <v>8.7724289801859392</v>
      </c>
      <c r="F230">
        <v>4.516016568709702E-3</v>
      </c>
    </row>
    <row r="231" spans="4:6">
      <c r="D231">
        <v>279</v>
      </c>
      <c r="E231">
        <v>8.7688181219546095</v>
      </c>
      <c r="F231">
        <v>9.0515833738002982E-4</v>
      </c>
    </row>
    <row r="232" spans="4:6">
      <c r="D232">
        <v>280</v>
      </c>
      <c r="E232">
        <v>8.7722779471046461</v>
      </c>
      <c r="F232">
        <v>4.3649834874166515E-3</v>
      </c>
    </row>
    <row r="233" spans="4:6">
      <c r="D233">
        <v>281</v>
      </c>
      <c r="E233">
        <v>8.7690601456389512</v>
      </c>
      <c r="F233">
        <v>1.1471820217217044E-3</v>
      </c>
    </row>
    <row r="234" spans="4:6">
      <c r="D234">
        <v>282</v>
      </c>
      <c r="E234">
        <v>8.7721228359312633</v>
      </c>
      <c r="F234">
        <v>4.2098723140338024E-3</v>
      </c>
    </row>
    <row r="235" spans="4:6">
      <c r="D235">
        <v>283</v>
      </c>
      <c r="E235">
        <v>8.7692908810843999</v>
      </c>
      <c r="F235">
        <v>1.3779174671704197E-3</v>
      </c>
    </row>
    <row r="236" spans="4:6">
      <c r="D236">
        <v>284</v>
      </c>
      <c r="E236">
        <v>8.7719633455386656</v>
      </c>
      <c r="F236">
        <v>4.0503819214361414E-3</v>
      </c>
    </row>
    <row r="237" spans="4:6">
      <c r="D237">
        <v>285</v>
      </c>
      <c r="E237">
        <v>8.7695106475986009</v>
      </c>
      <c r="F237">
        <v>1.5976839813713895E-3</v>
      </c>
    </row>
    <row r="238" spans="4:6">
      <c r="D238">
        <v>286</v>
      </c>
      <c r="E238">
        <v>8.7717996375934888</v>
      </c>
      <c r="F238">
        <v>3.8866739762593028E-3</v>
      </c>
    </row>
    <row r="239" spans="4:6">
      <c r="D239">
        <v>287</v>
      </c>
      <c r="E239">
        <v>8.7697197401107889</v>
      </c>
      <c r="F239">
        <v>1.8067764935594255E-3</v>
      </c>
    </row>
    <row r="240" spans="4:6">
      <c r="D240">
        <v>288</v>
      </c>
      <c r="E240">
        <v>8.7716318672487255</v>
      </c>
      <c r="F240">
        <v>3.7189036314959623E-3</v>
      </c>
    </row>
    <row r="241" spans="4:6">
      <c r="D241">
        <v>289</v>
      </c>
      <c r="E241">
        <v>8.7699184878682637</v>
      </c>
      <c r="F241">
        <v>2.0055242510341742E-3</v>
      </c>
    </row>
    <row r="242" spans="4:6">
      <c r="D242">
        <v>290</v>
      </c>
      <c r="E242">
        <v>8.7714601731798041</v>
      </c>
      <c r="F242">
        <v>3.5472095625745936E-3</v>
      </c>
    </row>
    <row r="243" spans="4:6">
      <c r="D243">
        <v>291</v>
      </c>
      <c r="E243">
        <v>8.7701071632663812</v>
      </c>
      <c r="F243">
        <v>2.1941996491516846E-3</v>
      </c>
    </row>
    <row r="244" spans="4:6">
      <c r="D244">
        <v>292</v>
      </c>
      <c r="E244">
        <v>8.7712847100129316</v>
      </c>
      <c r="F244">
        <v>3.3717463957021465E-3</v>
      </c>
    </row>
    <row r="245" spans="4:6">
      <c r="D245">
        <v>293</v>
      </c>
      <c r="E245">
        <v>8.7702862899266378</v>
      </c>
      <c r="F245">
        <v>2.3733263094083412E-3</v>
      </c>
    </row>
    <row r="246" spans="4:6">
      <c r="D246">
        <v>294</v>
      </c>
      <c r="E246">
        <v>8.7711058300757117</v>
      </c>
      <c r="F246">
        <v>3.1928664584821576E-3</v>
      </c>
    </row>
    <row r="247" spans="4:6">
      <c r="D247">
        <v>295</v>
      </c>
      <c r="E247">
        <v>8.7704559014286509</v>
      </c>
      <c r="F247">
        <v>2.5429378114214529E-3</v>
      </c>
    </row>
    <row r="248" spans="4:6">
      <c r="D248">
        <v>296</v>
      </c>
      <c r="E248">
        <v>8.770923462651508</v>
      </c>
      <c r="F248">
        <v>3.0104990342785243E-3</v>
      </c>
    </row>
    <row r="249" spans="4:6">
      <c r="D249">
        <v>297</v>
      </c>
      <c r="E249">
        <v>8.7706164363657066</v>
      </c>
      <c r="F249">
        <v>2.7034727484771537E-3</v>
      </c>
    </row>
    <row r="250" spans="4:6">
      <c r="D250">
        <v>298</v>
      </c>
      <c r="E250">
        <v>8.7707378593819065</v>
      </c>
      <c r="F250">
        <v>2.8248957646770378E-3</v>
      </c>
    </row>
    <row r="251" spans="4:6">
      <c r="D251">
        <v>299</v>
      </c>
      <c r="E251">
        <v>8.7707679550031887</v>
      </c>
      <c r="F251">
        <v>2.854991385959238E-3</v>
      </c>
    </row>
    <row r="252" spans="4:6">
      <c r="D252">
        <v>300</v>
      </c>
      <c r="E252">
        <v>8.7705501255622789</v>
      </c>
      <c r="F252">
        <v>2.6371619450493711E-3</v>
      </c>
    </row>
    <row r="253" spans="4:6">
      <c r="D253">
        <v>301</v>
      </c>
      <c r="E253">
        <v>8.770910686981825</v>
      </c>
      <c r="F253">
        <v>2.9977233645954726E-3</v>
      </c>
    </row>
    <row r="254" spans="4:6">
      <c r="D254">
        <v>302</v>
      </c>
      <c r="E254">
        <v>8.7703600008098341</v>
      </c>
      <c r="F254">
        <v>2.4470371926046397E-3</v>
      </c>
    </row>
    <row r="255" spans="4:6">
      <c r="D255">
        <v>303</v>
      </c>
      <c r="E255">
        <v>8.771044876865421</v>
      </c>
      <c r="F255">
        <v>3.1319132481915091E-3</v>
      </c>
    </row>
    <row r="256" spans="4:6">
      <c r="D256">
        <v>304</v>
      </c>
      <c r="E256">
        <v>8.7701669912021796</v>
      </c>
      <c r="F256">
        <v>2.2540275849500802E-3</v>
      </c>
    </row>
    <row r="257" spans="4:6">
      <c r="D257">
        <v>305</v>
      </c>
      <c r="E257">
        <v>8.7711707532464924</v>
      </c>
      <c r="F257">
        <v>3.2577896292629305E-3</v>
      </c>
    </row>
    <row r="258" spans="4:6">
      <c r="D258">
        <v>306</v>
      </c>
      <c r="E258">
        <v>8.769972204373353</v>
      </c>
      <c r="F258">
        <v>2.0592407561235149E-3</v>
      </c>
    </row>
    <row r="259" spans="4:6">
      <c r="D259">
        <v>307</v>
      </c>
      <c r="E259">
        <v>8.7712885386191513</v>
      </c>
      <c r="F259">
        <v>3.3755750019217601E-3</v>
      </c>
    </row>
    <row r="260" spans="4:6">
      <c r="D260">
        <v>308</v>
      </c>
      <c r="E260">
        <v>8.7697746434071124</v>
      </c>
      <c r="F260">
        <v>1.8616797898829418E-3</v>
      </c>
    </row>
    <row r="261" spans="4:6">
      <c r="D261">
        <v>309</v>
      </c>
      <c r="E261">
        <v>8.7713985367088263</v>
      </c>
      <c r="F261">
        <v>3.4855730915968053E-3</v>
      </c>
    </row>
    <row r="262" spans="4:6">
      <c r="D262">
        <v>310</v>
      </c>
      <c r="E262">
        <v>8.7695743718891741</v>
      </c>
      <c r="F262">
        <v>1.6614082719446088E-3</v>
      </c>
    </row>
    <row r="263" spans="4:6">
      <c r="D263">
        <v>311</v>
      </c>
      <c r="E263">
        <v>8.7715010273906167</v>
      </c>
      <c r="F263">
        <v>3.5880637733871623E-3</v>
      </c>
    </row>
    <row r="264" spans="4:6">
      <c r="D264">
        <v>312</v>
      </c>
      <c r="E264">
        <v>8.7693714912662664</v>
      </c>
      <c r="F264">
        <v>1.458527649036867E-3</v>
      </c>
    </row>
    <row r="265" spans="4:6">
      <c r="D265">
        <v>313</v>
      </c>
      <c r="E265">
        <v>8.7715960570784901</v>
      </c>
      <c r="F265">
        <v>3.6830934612606114E-3</v>
      </c>
    </row>
    <row r="266" spans="4:6">
      <c r="D266">
        <v>314</v>
      </c>
      <c r="E266">
        <v>8.7691663481822637</v>
      </c>
      <c r="F266">
        <v>1.2533845650342101E-3</v>
      </c>
    </row>
    <row r="267" spans="4:6">
      <c r="D267">
        <v>315</v>
      </c>
      <c r="E267">
        <v>8.771683824597444</v>
      </c>
      <c r="F267">
        <v>3.7708609802145077E-3</v>
      </c>
    </row>
    <row r="268" spans="4:6">
      <c r="D268">
        <v>316</v>
      </c>
      <c r="E268">
        <v>8.7689588727338226</v>
      </c>
      <c r="F268">
        <v>1.0459091165930801E-3</v>
      </c>
    </row>
    <row r="269" spans="4:6">
      <c r="D269">
        <v>317</v>
      </c>
      <c r="E269">
        <v>8.7717645229076968</v>
      </c>
      <c r="F269">
        <v>3.8515592904673213E-3</v>
      </c>
    </row>
    <row r="270" spans="4:6">
      <c r="D270">
        <v>318</v>
      </c>
      <c r="E270">
        <v>8.7687492859584637</v>
      </c>
      <c r="F270">
        <v>8.3632234123420801E-4</v>
      </c>
    </row>
    <row r="271" spans="4:6">
      <c r="D271">
        <v>319</v>
      </c>
      <c r="E271">
        <v>8.7718383415165082</v>
      </c>
      <c r="F271">
        <v>3.9253778992787147E-3</v>
      </c>
    </row>
    <row r="272" spans="4:6">
      <c r="D272">
        <v>320</v>
      </c>
      <c r="E272">
        <v>8.7685374528981672</v>
      </c>
      <c r="F272">
        <v>6.2448928093772338E-4</v>
      </c>
    </row>
    <row r="273" spans="4:6">
      <c r="D273">
        <v>321</v>
      </c>
      <c r="E273">
        <v>8.7719055064411329</v>
      </c>
      <c r="F273">
        <v>3.9925428239033778E-3</v>
      </c>
    </row>
    <row r="274" spans="4:6">
      <c r="D274">
        <v>322</v>
      </c>
      <c r="E274">
        <v>8.7683239692131778</v>
      </c>
      <c r="F274">
        <v>4.1100559594831054E-4</v>
      </c>
    </row>
    <row r="275" spans="4:6">
      <c r="D275">
        <v>323</v>
      </c>
      <c r="E275">
        <v>8.7719661551297179</v>
      </c>
      <c r="F275">
        <v>4.0531915124883966E-3</v>
      </c>
    </row>
    <row r="276" spans="4:6">
      <c r="D276">
        <v>324</v>
      </c>
      <c r="E276">
        <v>8.7681105218348403</v>
      </c>
      <c r="F276">
        <v>1.9755821761080483E-4</v>
      </c>
    </row>
    <row r="277" spans="4:6">
      <c r="D277">
        <v>325</v>
      </c>
      <c r="E277">
        <v>8.7720204513233533</v>
      </c>
      <c r="F277">
        <v>4.1074877061237913E-3</v>
      </c>
    </row>
    <row r="278" spans="4:6">
      <c r="D278">
        <v>326</v>
      </c>
      <c r="E278">
        <v>8.7678958421577438</v>
      </c>
      <c r="F278">
        <v>-1.7121459485736068E-5</v>
      </c>
    </row>
    <row r="279" spans="4:6">
      <c r="D279">
        <v>327</v>
      </c>
      <c r="E279">
        <v>8.772068563644984</v>
      </c>
      <c r="F279">
        <v>4.1556000277545024E-3</v>
      </c>
    </row>
    <row r="280" spans="4:6">
      <c r="D280">
        <v>328</v>
      </c>
      <c r="E280">
        <v>8.7676795858609076</v>
      </c>
      <c r="F280">
        <v>-2.3337775632192859E-4</v>
      </c>
    </row>
    <row r="281" spans="4:6">
      <c r="D281">
        <v>329</v>
      </c>
      <c r="E281">
        <v>8.7721107381965382</v>
      </c>
      <c r="F281">
        <v>4.1977745793086996E-3</v>
      </c>
    </row>
    <row r="282" spans="4:6">
      <c r="D282">
        <v>330</v>
      </c>
      <c r="E282">
        <v>8.7674643861945842</v>
      </c>
      <c r="F282">
        <v>-4.4857742264525768E-4</v>
      </c>
    </row>
    <row r="283" spans="4:6">
      <c r="D283">
        <v>331</v>
      </c>
      <c r="E283">
        <v>8.7721471040861392</v>
      </c>
      <c r="F283">
        <v>4.2341404689096862E-3</v>
      </c>
    </row>
    <row r="284" spans="4:6">
      <c r="D284">
        <v>332</v>
      </c>
      <c r="E284">
        <v>8.7672490168101689</v>
      </c>
      <c r="F284">
        <v>-6.6394680706061138E-4</v>
      </c>
    </row>
    <row r="285" spans="4:6">
      <c r="D285">
        <v>333</v>
      </c>
      <c r="E285">
        <v>8.7721777808138732</v>
      </c>
      <c r="F285">
        <v>4.2648171966437332E-3</v>
      </c>
    </row>
    <row r="286" spans="4:6">
      <c r="D286">
        <v>334</v>
      </c>
      <c r="E286">
        <v>8.7670320125336065</v>
      </c>
      <c r="F286">
        <v>-8.809510836229606E-4</v>
      </c>
    </row>
    <row r="287" spans="4:6">
      <c r="D287">
        <v>335</v>
      </c>
      <c r="E287">
        <v>8.7722029045287986</v>
      </c>
      <c r="F287">
        <v>4.2899409115690901E-3</v>
      </c>
    </row>
    <row r="288" spans="4:6">
      <c r="D288">
        <v>336</v>
      </c>
      <c r="E288">
        <v>8.766813265772285</v>
      </c>
      <c r="F288">
        <v>-1.0996978449444583E-3</v>
      </c>
    </row>
    <row r="289" spans="4:6">
      <c r="D289">
        <v>337</v>
      </c>
      <c r="E289">
        <v>8.7722226074052863</v>
      </c>
      <c r="F289">
        <v>4.3096437880567606E-3</v>
      </c>
    </row>
    <row r="290" spans="4:6">
      <c r="D290">
        <v>338</v>
      </c>
      <c r="E290">
        <v>8.7665928461459437</v>
      </c>
      <c r="F290">
        <v>-1.3201174712857977E-3</v>
      </c>
    </row>
    <row r="291" spans="4:6">
      <c r="D291">
        <v>339</v>
      </c>
      <c r="E291">
        <v>8.7722370436156254</v>
      </c>
      <c r="F291">
        <v>4.3240799983959022E-3</v>
      </c>
    </row>
    <row r="292" spans="4:6">
      <c r="D292">
        <v>340</v>
      </c>
      <c r="E292">
        <v>8.7663709274291257</v>
      </c>
      <c r="F292">
        <v>-1.5420361881037792E-3</v>
      </c>
    </row>
    <row r="293" spans="4:6">
      <c r="D293">
        <v>341</v>
      </c>
      <c r="E293">
        <v>8.7722464167078709</v>
      </c>
      <c r="F293">
        <v>4.3334530906413704E-3</v>
      </c>
    </row>
    <row r="294" spans="4:6">
      <c r="D294">
        <v>342</v>
      </c>
      <c r="E294">
        <v>8.7661475846412937</v>
      </c>
      <c r="F294">
        <v>-1.7653789759357608E-3</v>
      </c>
    </row>
    <row r="295" spans="4:6">
      <c r="D295">
        <v>343</v>
      </c>
      <c r="E295">
        <v>8.7722507783826718</v>
      </c>
      <c r="F295">
        <v>4.3378147654422605E-3</v>
      </c>
    </row>
    <row r="296" spans="4:6">
      <c r="D296">
        <v>344</v>
      </c>
      <c r="E296">
        <v>8.7659257739132546</v>
      </c>
      <c r="F296">
        <v>-1.9871897039749342E-3</v>
      </c>
    </row>
    <row r="297" spans="4:6">
      <c r="D297">
        <v>345</v>
      </c>
      <c r="E297">
        <v>8.7722503676553671</v>
      </c>
      <c r="F297">
        <v>4.3374040381376489E-3</v>
      </c>
    </row>
    <row r="298" spans="4:6">
      <c r="D298">
        <v>346</v>
      </c>
      <c r="E298">
        <v>8.7657069307864255</v>
      </c>
      <c r="F298">
        <v>-2.2060328308040056E-3</v>
      </c>
    </row>
    <row r="299" spans="4:6">
      <c r="D299">
        <v>347</v>
      </c>
      <c r="E299">
        <v>8.7722453077717564</v>
      </c>
      <c r="F299">
        <v>4.3323441545268793E-3</v>
      </c>
    </row>
    <row r="300" spans="4:6">
      <c r="D300">
        <v>348</v>
      </c>
      <c r="E300">
        <v>8.7654867391670379</v>
      </c>
      <c r="F300">
        <v>-2.4262244501915831E-3</v>
      </c>
    </row>
    <row r="301" spans="4:6">
      <c r="D301">
        <v>349</v>
      </c>
      <c r="E301">
        <v>8.7722357022164186</v>
      </c>
      <c r="F301">
        <v>4.3227385991890799E-3</v>
      </c>
    </row>
    <row r="302" spans="4:6">
      <c r="D302">
        <v>350</v>
      </c>
      <c r="E302">
        <v>8.7652653999317849</v>
      </c>
      <c r="F302">
        <v>-2.6475636854446094E-3</v>
      </c>
    </row>
    <row r="303" spans="4:6">
      <c r="D303">
        <v>351</v>
      </c>
      <c r="E303">
        <v>8.772221576910157</v>
      </c>
      <c r="F303">
        <v>4.3086132929275323E-3</v>
      </c>
    </row>
    <row r="304" spans="4:6">
      <c r="D304">
        <v>352</v>
      </c>
      <c r="E304">
        <v>8.7650566977767621</v>
      </c>
      <c r="F304">
        <v>-2.8562658404673869E-3</v>
      </c>
    </row>
    <row r="305" spans="4:6">
      <c r="D305">
        <v>353</v>
      </c>
      <c r="E305">
        <v>8.772203141594229</v>
      </c>
      <c r="F305">
        <v>4.2901779769994874E-3</v>
      </c>
    </row>
    <row r="306" spans="4:6">
      <c r="D306">
        <v>354</v>
      </c>
      <c r="E306">
        <v>8.7648532757712889</v>
      </c>
      <c r="F306">
        <v>-3.059687845940573E-3</v>
      </c>
    </row>
    <row r="307" spans="4:6">
      <c r="D307">
        <v>355</v>
      </c>
      <c r="E307">
        <v>8.7721806600251853</v>
      </c>
      <c r="F307">
        <v>4.2676964079557678E-3</v>
      </c>
    </row>
    <row r="308" spans="4:6">
      <c r="D308">
        <v>356</v>
      </c>
      <c r="E308">
        <v>8.7646948317512656</v>
      </c>
      <c r="F308">
        <v>-3.2181318659638691E-3</v>
      </c>
    </row>
    <row r="309" spans="4:6">
      <c r="D309">
        <v>357</v>
      </c>
      <c r="E309">
        <v>8.77215406554682</v>
      </c>
      <c r="F309">
        <v>4.241101929590485E-3</v>
      </c>
    </row>
    <row r="310" spans="4:6">
      <c r="D310">
        <v>358</v>
      </c>
      <c r="E310">
        <v>8.7648631789749381</v>
      </c>
      <c r="F310">
        <v>-3.0497846422914421E-3</v>
      </c>
    </row>
    <row r="311" spans="4:6">
      <c r="D311">
        <v>359</v>
      </c>
      <c r="E311">
        <v>8.7721234819319616</v>
      </c>
      <c r="F311">
        <v>4.2105183147320702E-3</v>
      </c>
    </row>
    <row r="312" spans="4:6">
      <c r="D312">
        <v>360</v>
      </c>
      <c r="E312">
        <v>8.7651263745373065</v>
      </c>
      <c r="F312">
        <v>-2.7865890799230186E-3</v>
      </c>
    </row>
    <row r="313" spans="4:6">
      <c r="D313">
        <v>361</v>
      </c>
      <c r="E313">
        <v>8.7720889358450496</v>
      </c>
      <c r="F313">
        <v>4.1759722278200684E-3</v>
      </c>
    </row>
    <row r="314" spans="4:6">
      <c r="D314">
        <v>362</v>
      </c>
      <c r="E314">
        <v>8.7653817333864854</v>
      </c>
      <c r="F314">
        <v>-2.5312302307440859E-3</v>
      </c>
    </row>
    <row r="315" spans="4:6">
      <c r="D315">
        <v>363</v>
      </c>
      <c r="E315">
        <v>8.7720506687181974</v>
      </c>
      <c r="F315">
        <v>4.1377051009678922E-3</v>
      </c>
    </row>
    <row r="316" spans="4:6">
      <c r="D316">
        <v>364</v>
      </c>
      <c r="E316">
        <v>8.7656294278134705</v>
      </c>
      <c r="F316">
        <v>-2.2835358037589515E-3</v>
      </c>
    </row>
    <row r="317" spans="4:6">
      <c r="D317">
        <v>365</v>
      </c>
      <c r="E317">
        <v>8.7720086242985644</v>
      </c>
      <c r="F317">
        <v>4.0956606813349339E-3</v>
      </c>
    </row>
    <row r="318" spans="4:6">
      <c r="D318">
        <v>366</v>
      </c>
      <c r="E318">
        <v>8.7658696971554075</v>
      </c>
      <c r="F318">
        <v>-2.0432664618219576E-3</v>
      </c>
    </row>
    <row r="319" spans="4:6">
      <c r="D319">
        <v>367</v>
      </c>
      <c r="E319">
        <v>8.7719631753870022</v>
      </c>
      <c r="F319">
        <v>4.0502117697727158E-3</v>
      </c>
    </row>
    <row r="320" spans="4:6">
      <c r="D320">
        <v>368</v>
      </c>
      <c r="E320">
        <v>8.7661026341231025</v>
      </c>
      <c r="F320">
        <v>-1.810329494126961E-3</v>
      </c>
    </row>
    <row r="321" spans="4:6">
      <c r="D321">
        <v>369</v>
      </c>
      <c r="E321">
        <v>8.7719144804337397</v>
      </c>
      <c r="F321">
        <v>4.0015168165101755E-3</v>
      </c>
    </row>
    <row r="322" spans="4:6">
      <c r="D322">
        <v>370</v>
      </c>
      <c r="E322">
        <v>8.7663284109126245</v>
      </c>
      <c r="F322">
        <v>-1.5845527046050023E-3</v>
      </c>
    </row>
    <row r="323" spans="4:6">
      <c r="D323">
        <v>371</v>
      </c>
      <c r="E323">
        <v>8.7718622779409632</v>
      </c>
      <c r="F323">
        <v>3.9493143237336881E-3</v>
      </c>
    </row>
    <row r="324" spans="4:6">
      <c r="D324">
        <v>372</v>
      </c>
      <c r="E324">
        <v>8.7665471679573326</v>
      </c>
      <c r="F324">
        <v>-1.3657956598969179E-3</v>
      </c>
    </row>
    <row r="325" spans="4:6">
      <c r="D325">
        <v>373</v>
      </c>
      <c r="E325">
        <v>8.7718066564665556</v>
      </c>
      <c r="F325">
        <v>3.8936928493260581E-3</v>
      </c>
    </row>
    <row r="326" spans="4:6">
      <c r="D326">
        <v>374</v>
      </c>
      <c r="E326">
        <v>8.7667590314894994</v>
      </c>
      <c r="F326">
        <v>-1.1539321277300729E-3</v>
      </c>
    </row>
    <row r="327" spans="4:6">
      <c r="D327">
        <v>375</v>
      </c>
      <c r="E327">
        <v>8.7717477432450845</v>
      </c>
      <c r="F327">
        <v>3.8347796278550561E-3</v>
      </c>
    </row>
    <row r="328" spans="4:6">
      <c r="D328">
        <v>376</v>
      </c>
      <c r="E328">
        <v>8.7669641456587293</v>
      </c>
      <c r="F328">
        <v>-9.4881795850021433E-4</v>
      </c>
    </row>
    <row r="329" spans="4:6">
      <c r="D329">
        <v>377</v>
      </c>
      <c r="E329">
        <v>8.771685831470224</v>
      </c>
      <c r="F329">
        <v>3.7728678529944659E-3</v>
      </c>
    </row>
    <row r="330" spans="4:6">
      <c r="D330">
        <v>378</v>
      </c>
      <c r="E330">
        <v>8.7671626511775766</v>
      </c>
      <c r="F330">
        <v>-7.5031243965284489E-4</v>
      </c>
    </row>
    <row r="331" spans="4:6">
      <c r="D331">
        <v>379</v>
      </c>
      <c r="E331">
        <v>8.7716208273644174</v>
      </c>
      <c r="F331">
        <v>3.7078637471879006E-3</v>
      </c>
    </row>
    <row r="332" spans="4:6">
      <c r="D332">
        <v>380</v>
      </c>
      <c r="E332">
        <v>8.7673547262173628</v>
      </c>
      <c r="F332">
        <v>-5.5823739986671228E-4</v>
      </c>
    </row>
    <row r="333" spans="4:6">
      <c r="D333">
        <v>381</v>
      </c>
      <c r="E333">
        <v>8.7715527587019118</v>
      </c>
      <c r="F333">
        <v>3.6397950846822624E-3</v>
      </c>
    </row>
    <row r="334" spans="4:6">
      <c r="D334">
        <v>382</v>
      </c>
      <c r="E334">
        <v>8.7675406727099023</v>
      </c>
      <c r="F334">
        <v>-3.722909073271552E-4</v>
      </c>
    </row>
    <row r="335" spans="4:6">
      <c r="D335">
        <v>383</v>
      </c>
      <c r="E335">
        <v>8.7714819297413911</v>
      </c>
      <c r="F335">
        <v>3.5689661241615767E-3</v>
      </c>
    </row>
    <row r="336" spans="4:6">
      <c r="D336">
        <v>384</v>
      </c>
      <c r="E336">
        <v>8.7677204130107622</v>
      </c>
      <c r="F336">
        <v>-1.9255060646727884E-4</v>
      </c>
    </row>
    <row r="337" spans="4:6">
      <c r="D337">
        <v>385</v>
      </c>
      <c r="E337">
        <v>8.7714082045933157</v>
      </c>
      <c r="F337">
        <v>3.4952409760862224E-3</v>
      </c>
    </row>
    <row r="338" spans="4:6">
      <c r="D338">
        <v>386</v>
      </c>
      <c r="E338">
        <v>8.7678940817718889</v>
      </c>
      <c r="F338">
        <v>-1.8881845340601444E-5</v>
      </c>
    </row>
    <row r="339" spans="4:6">
      <c r="D339">
        <v>387</v>
      </c>
      <c r="E339">
        <v>8.7713319764669713</v>
      </c>
      <c r="F339">
        <v>3.419012849741776E-3</v>
      </c>
    </row>
    <row r="340" spans="4:6">
      <c r="D340">
        <v>388</v>
      </c>
      <c r="E340">
        <v>8.7680617956710378</v>
      </c>
      <c r="F340">
        <v>1.4883205380833431E-4</v>
      </c>
    </row>
    <row r="341" spans="4:6">
      <c r="D341">
        <v>389</v>
      </c>
      <c r="E341">
        <v>8.7712532276465396</v>
      </c>
      <c r="F341">
        <v>3.3402640293100916E-3</v>
      </c>
    </row>
    <row r="342" spans="4:6">
      <c r="D342">
        <v>390</v>
      </c>
      <c r="E342">
        <v>8.7682237072849798</v>
      </c>
      <c r="F342">
        <v>3.1074366775030171E-4</v>
      </c>
    </row>
    <row r="343" spans="4:6">
      <c r="D343">
        <v>391</v>
      </c>
      <c r="E343">
        <v>8.7711718082708376</v>
      </c>
      <c r="F343">
        <v>3.2588446536081506E-3</v>
      </c>
    </row>
    <row r="344" spans="4:6">
      <c r="D344">
        <v>392</v>
      </c>
      <c r="E344">
        <v>8.7683800283727145</v>
      </c>
      <c r="F344">
        <v>4.670647554849694E-4</v>
      </c>
    </row>
    <row r="345" spans="4:6">
      <c r="D345">
        <v>393</v>
      </c>
      <c r="E345">
        <v>8.7710877328274162</v>
      </c>
      <c r="F345">
        <v>3.1747692101866676E-3</v>
      </c>
    </row>
    <row r="346" spans="4:6">
      <c r="D346">
        <v>394</v>
      </c>
      <c r="E346">
        <v>8.7685307553218124</v>
      </c>
      <c r="F346">
        <v>6.1779170458287069E-4</v>
      </c>
    </row>
    <row r="347" spans="4:6">
      <c r="D347">
        <v>395</v>
      </c>
      <c r="E347">
        <v>8.7710011879430674</v>
      </c>
      <c r="F347">
        <v>3.088224325837885E-3</v>
      </c>
    </row>
    <row r="348" spans="4:6">
      <c r="D348">
        <v>396</v>
      </c>
      <c r="E348">
        <v>8.7686759975575992</v>
      </c>
      <c r="F348">
        <v>7.6303394036969507E-4</v>
      </c>
    </row>
    <row r="349" spans="4:6">
      <c r="D349">
        <v>397</v>
      </c>
      <c r="E349">
        <v>8.7709121170917665</v>
      </c>
      <c r="F349">
        <v>2.9991534745370529E-3</v>
      </c>
    </row>
    <row r="350" spans="4:6">
      <c r="D350">
        <v>398</v>
      </c>
      <c r="E350">
        <v>8.7688159094896889</v>
      </c>
      <c r="F350">
        <v>9.0294587245942637E-4</v>
      </c>
    </row>
    <row r="351" spans="4:6">
      <c r="D351">
        <v>399</v>
      </c>
      <c r="E351">
        <v>8.7708209367288266</v>
      </c>
      <c r="F351">
        <v>2.9079731115970731E-3</v>
      </c>
    </row>
    <row r="352" spans="4:6">
      <c r="D352">
        <v>400</v>
      </c>
      <c r="E352">
        <v>8.7689505863706394</v>
      </c>
      <c r="F352">
        <v>1.0376227534099058E-3</v>
      </c>
    </row>
    <row r="353" spans="4:6">
      <c r="D353">
        <v>401</v>
      </c>
      <c r="E353">
        <v>8.7707278109957389</v>
      </c>
      <c r="F353">
        <v>2.8148473785094552E-3</v>
      </c>
    </row>
    <row r="354" spans="4:6">
      <c r="D354">
        <v>402</v>
      </c>
      <c r="E354">
        <v>8.769080104589051</v>
      </c>
      <c r="F354">
        <v>1.1671409718214676E-3</v>
      </c>
    </row>
    <row r="355" spans="4:6">
      <c r="D355">
        <v>403</v>
      </c>
      <c r="E355">
        <v>8.7706324869681964</v>
      </c>
      <c r="F355">
        <v>2.7195233509669237E-3</v>
      </c>
    </row>
    <row r="356" spans="4:6">
      <c r="D356">
        <v>404</v>
      </c>
      <c r="E356">
        <v>8.7692047171426637</v>
      </c>
      <c r="F356">
        <v>1.2917535254342027E-3</v>
      </c>
    </row>
    <row r="357" spans="4:6">
      <c r="D357">
        <v>405</v>
      </c>
      <c r="E357">
        <v>8.7705350004132594</v>
      </c>
      <c r="F357">
        <v>2.6220367960299029E-3</v>
      </c>
    </row>
    <row r="358" spans="4:6">
      <c r="D358">
        <v>406</v>
      </c>
      <c r="E358">
        <v>8.7693243798673901</v>
      </c>
      <c r="F358">
        <v>1.4114162501606131E-3</v>
      </c>
    </row>
    <row r="359" spans="4:6">
      <c r="D359">
        <v>407</v>
      </c>
      <c r="E359">
        <v>8.7704353240948674</v>
      </c>
      <c r="F359">
        <v>2.522360477637875E-3</v>
      </c>
    </row>
    <row r="360" spans="4:6">
      <c r="D360">
        <v>408</v>
      </c>
      <c r="E360">
        <v>8.7694391898611741</v>
      </c>
      <c r="F360">
        <v>1.5262262439446062E-3</v>
      </c>
    </row>
    <row r="361" spans="4:6">
      <c r="D361">
        <v>409</v>
      </c>
      <c r="E361">
        <v>8.7703336990736052</v>
      </c>
      <c r="F361">
        <v>2.4207354563756667E-3</v>
      </c>
    </row>
    <row r="362" spans="4:6">
      <c r="D362">
        <v>410</v>
      </c>
      <c r="E362">
        <v>8.7695492497674721</v>
      </c>
      <c r="F362">
        <v>1.6362861502425829E-3</v>
      </c>
    </row>
    <row r="363" spans="4:6">
      <c r="D363">
        <v>411</v>
      </c>
      <c r="E363">
        <v>8.770230020121339</v>
      </c>
      <c r="F363">
        <v>2.3170565041095159E-3</v>
      </c>
    </row>
    <row r="364" spans="4:6">
      <c r="D364">
        <v>412</v>
      </c>
      <c r="E364">
        <v>8.7696547463575047</v>
      </c>
      <c r="F364">
        <v>1.741782740275255E-3</v>
      </c>
    </row>
    <row r="365" spans="4:6">
      <c r="D365">
        <v>413</v>
      </c>
      <c r="E365">
        <v>8.7701242611303627</v>
      </c>
      <c r="F365">
        <v>2.2112975131332036E-3</v>
      </c>
    </row>
    <row r="366" spans="4:6">
      <c r="D366">
        <v>414</v>
      </c>
      <c r="E366">
        <v>8.7697558441885679</v>
      </c>
      <c r="F366">
        <v>1.8428805713384122E-3</v>
      </c>
    </row>
    <row r="367" spans="4:6">
      <c r="D367">
        <v>415</v>
      </c>
      <c r="E367">
        <v>8.7700165049848593</v>
      </c>
      <c r="F367">
        <v>2.103541367629802E-3</v>
      </c>
    </row>
    <row r="368" spans="4:6">
      <c r="D368">
        <v>416</v>
      </c>
      <c r="E368">
        <v>8.769852508686224</v>
      </c>
      <c r="F368">
        <v>1.9395450689945193E-3</v>
      </c>
    </row>
    <row r="369" spans="4:6">
      <c r="D369">
        <v>417</v>
      </c>
      <c r="E369">
        <v>8.7699068898678245</v>
      </c>
      <c r="F369">
        <v>1.9939262505950239E-3</v>
      </c>
    </row>
    <row r="370" spans="4:6">
      <c r="D370">
        <v>418</v>
      </c>
      <c r="E370">
        <v>8.7699447783807418</v>
      </c>
      <c r="F370">
        <v>2.0318147635123296E-3</v>
      </c>
    </row>
    <row r="371" spans="4:6">
      <c r="D371">
        <v>419</v>
      </c>
      <c r="E371">
        <v>8.7697953466810166</v>
      </c>
      <c r="F371">
        <v>1.8823830637870742E-3</v>
      </c>
    </row>
    <row r="372" spans="4:6">
      <c r="D372">
        <v>420</v>
      </c>
      <c r="E372">
        <v>8.7700328321881926</v>
      </c>
      <c r="F372">
        <v>2.1198685709631349E-3</v>
      </c>
    </row>
    <row r="373" spans="4:6">
      <c r="D373">
        <v>421</v>
      </c>
      <c r="E373">
        <v>8.769682078498052</v>
      </c>
      <c r="F373">
        <v>1.7691148808225421E-3</v>
      </c>
    </row>
    <row r="374" spans="4:6">
      <c r="D374">
        <v>422</v>
      </c>
      <c r="E374">
        <v>8.7701166866073308</v>
      </c>
      <c r="F374">
        <v>2.2037229901012978E-3</v>
      </c>
    </row>
    <row r="375" spans="4:6">
      <c r="D375">
        <v>423</v>
      </c>
      <c r="E375">
        <v>8.7695669861011787</v>
      </c>
      <c r="F375">
        <v>1.6540224839491913E-3</v>
      </c>
    </row>
    <row r="376" spans="4:6">
      <c r="D376">
        <v>424</v>
      </c>
      <c r="E376">
        <v>8.7701963998790049</v>
      </c>
      <c r="F376">
        <v>2.2834362617754067E-3</v>
      </c>
    </row>
    <row r="377" spans="4:6">
      <c r="D377">
        <v>425</v>
      </c>
      <c r="E377">
        <v>8.7694501092438735</v>
      </c>
      <c r="F377">
        <v>1.5371456266439765E-3</v>
      </c>
    </row>
    <row r="378" spans="4:6">
      <c r="D378">
        <v>426</v>
      </c>
      <c r="E378">
        <v>8.770272064686317</v>
      </c>
      <c r="F378">
        <v>2.3591010690875436E-3</v>
      </c>
    </row>
    <row r="379" spans="4:6">
      <c r="D379">
        <v>427</v>
      </c>
      <c r="E379">
        <v>8.7693316601445517</v>
      </c>
      <c r="F379">
        <v>1.418696527322183E-3</v>
      </c>
    </row>
    <row r="380" spans="4:6">
      <c r="D380">
        <v>428</v>
      </c>
      <c r="E380">
        <v>8.7703437603292453</v>
      </c>
      <c r="F380">
        <v>2.430796712015848E-3</v>
      </c>
    </row>
    <row r="381" spans="4:6">
      <c r="D381">
        <v>429</v>
      </c>
      <c r="E381">
        <v>8.7692118612204037</v>
      </c>
      <c r="F381">
        <v>1.2988976031742538E-3</v>
      </c>
    </row>
    <row r="382" spans="4:6">
      <c r="D382">
        <v>430</v>
      </c>
      <c r="E382">
        <v>8.7704115610386211</v>
      </c>
      <c r="F382">
        <v>2.4985974213915796E-3</v>
      </c>
    </row>
    <row r="383" spans="4:6">
      <c r="D383">
        <v>431</v>
      </c>
      <c r="E383">
        <v>8.769091337397942</v>
      </c>
      <c r="F383">
        <v>1.178373780712505E-3</v>
      </c>
    </row>
    <row r="384" spans="4:6">
      <c r="D384">
        <v>432</v>
      </c>
      <c r="E384">
        <v>8.7704755407294019</v>
      </c>
      <c r="F384">
        <v>2.5625771121724483E-3</v>
      </c>
    </row>
    <row r="385" spans="4:6">
      <c r="D385">
        <v>433</v>
      </c>
      <c r="E385">
        <v>8.7689691852809784</v>
      </c>
      <c r="F385">
        <v>1.0562216637488575E-3</v>
      </c>
    </row>
    <row r="386" spans="4:6">
      <c r="D386">
        <v>434</v>
      </c>
      <c r="E386">
        <v>8.7705357671745645</v>
      </c>
      <c r="F386">
        <v>2.6228035573350184E-3</v>
      </c>
    </row>
    <row r="387" spans="4:6">
      <c r="D387">
        <v>435</v>
      </c>
      <c r="E387">
        <v>8.7688456222373041</v>
      </c>
      <c r="F387">
        <v>9.326586200746334E-4</v>
      </c>
    </row>
    <row r="388" spans="4:6">
      <c r="D388">
        <v>436</v>
      </c>
      <c r="E388">
        <v>8.7705923131284926</v>
      </c>
      <c r="F388">
        <v>2.6793495112631405E-3</v>
      </c>
    </row>
    <row r="389" spans="4:6">
      <c r="D389">
        <v>437</v>
      </c>
      <c r="E389">
        <v>8.7687206398602857</v>
      </c>
      <c r="F389">
        <v>8.0767624305622121E-4</v>
      </c>
    </row>
    <row r="390" spans="4:6">
      <c r="D390">
        <v>438</v>
      </c>
      <c r="E390">
        <v>8.7706453060423613</v>
      </c>
      <c r="F390">
        <v>2.7323424251317618E-3</v>
      </c>
    </row>
    <row r="391" spans="4:6">
      <c r="D391">
        <v>439</v>
      </c>
      <c r="E391">
        <v>8.7685941707325661</v>
      </c>
      <c r="F391">
        <v>6.8120711533659062E-4</v>
      </c>
    </row>
    <row r="392" spans="4:6">
      <c r="D392">
        <v>440</v>
      </c>
      <c r="E392">
        <v>8.770694779136047</v>
      </c>
      <c r="F392">
        <v>2.7818155188175098E-3</v>
      </c>
    </row>
    <row r="393" spans="4:6">
      <c r="D393">
        <v>441</v>
      </c>
      <c r="E393">
        <v>8.768466270512981</v>
      </c>
      <c r="F393">
        <v>5.5330689575150416E-4</v>
      </c>
    </row>
    <row r="394" spans="4:6">
      <c r="D394">
        <v>442</v>
      </c>
      <c r="E394">
        <v>8.7707408805180513</v>
      </c>
      <c r="F394">
        <v>2.8279169008218474E-3</v>
      </c>
    </row>
    <row r="395" spans="4:6">
      <c r="D395">
        <v>443</v>
      </c>
      <c r="E395">
        <v>8.7683369383582281</v>
      </c>
      <c r="F395">
        <v>4.2397474099864496E-4</v>
      </c>
    </row>
    <row r="396" spans="4:6">
      <c r="D396">
        <v>444</v>
      </c>
      <c r="E396">
        <v>8.7707839875606233</v>
      </c>
      <c r="F396">
        <v>2.8710239433937801E-3</v>
      </c>
    </row>
    <row r="397" spans="4:6">
      <c r="D397">
        <v>445</v>
      </c>
      <c r="E397">
        <v>8.7682065022488818</v>
      </c>
      <c r="F397">
        <v>2.9353863165226812E-4</v>
      </c>
    </row>
    <row r="398" spans="4:6">
      <c r="D398">
        <v>446</v>
      </c>
      <c r="E398">
        <v>8.7708238683924815</v>
      </c>
      <c r="F398">
        <v>2.9109047752520212E-3</v>
      </c>
    </row>
    <row r="399" spans="4:6">
      <c r="D399">
        <v>447</v>
      </c>
      <c r="E399">
        <v>8.7680751065432716</v>
      </c>
      <c r="F399">
        <v>1.6214292604210812E-4</v>
      </c>
    </row>
    <row r="400" spans="4:6">
      <c r="D400">
        <v>448</v>
      </c>
      <c r="E400">
        <v>8.7708604680974105</v>
      </c>
      <c r="F400">
        <v>2.9475044801809958E-3</v>
      </c>
    </row>
    <row r="401" spans="4:6">
      <c r="D401">
        <v>449</v>
      </c>
      <c r="E401">
        <v>8.7679424277878741</v>
      </c>
      <c r="F401">
        <v>2.9464170644644128E-5</v>
      </c>
    </row>
    <row r="402" spans="4:6">
      <c r="D402">
        <v>450</v>
      </c>
      <c r="E402">
        <v>8.7708938619730681</v>
      </c>
      <c r="F402">
        <v>2.9808983558385904E-3</v>
      </c>
    </row>
    <row r="403" spans="4:6">
      <c r="D403">
        <v>451</v>
      </c>
      <c r="E403">
        <v>8.7678084965459764</v>
      </c>
      <c r="F403">
        <v>-1.044670712531115E-4</v>
      </c>
    </row>
    <row r="404" spans="4:6">
      <c r="D404">
        <v>452</v>
      </c>
      <c r="E404">
        <v>8.7709241832289919</v>
      </c>
      <c r="F404">
        <v>3.0112196117624279E-3</v>
      </c>
    </row>
    <row r="405" spans="4:6">
      <c r="D405">
        <v>453</v>
      </c>
      <c r="E405">
        <v>8.7676733835810889</v>
      </c>
      <c r="F405">
        <v>-2.3958003614055201E-4</v>
      </c>
    </row>
    <row r="406" spans="4:6">
      <c r="D406">
        <v>454</v>
      </c>
      <c r="E406">
        <v>8.7709514348113835</v>
      </c>
      <c r="F406">
        <v>3.0384711941540132E-3</v>
      </c>
    </row>
    <row r="407" spans="4:6">
      <c r="D407">
        <v>455</v>
      </c>
      <c r="E407">
        <v>8.7675374076792689</v>
      </c>
      <c r="F407">
        <v>-3.7555593796056996E-4</v>
      </c>
    </row>
    <row r="408" spans="4:6">
      <c r="D408">
        <v>456</v>
      </c>
      <c r="E408">
        <v>8.7709756484979984</v>
      </c>
      <c r="F408">
        <v>3.0626848807688845E-3</v>
      </c>
    </row>
    <row r="409" spans="4:6">
      <c r="D409">
        <v>457</v>
      </c>
      <c r="E409">
        <v>8.7674004692401919</v>
      </c>
      <c r="F409">
        <v>-5.1249437703759781E-4</v>
      </c>
    </row>
    <row r="410" spans="4:6">
      <c r="D410">
        <v>458</v>
      </c>
      <c r="E410">
        <v>8.7709969070410896</v>
      </c>
      <c r="F410">
        <v>3.0839434238600916E-3</v>
      </c>
    </row>
    <row r="411" spans="4:6">
      <c r="D411">
        <v>459</v>
      </c>
      <c r="E411">
        <v>8.7672644547156988</v>
      </c>
      <c r="F411">
        <v>-6.4850890153067553E-4</v>
      </c>
    </row>
    <row r="412" spans="4:6">
      <c r="D412">
        <v>460</v>
      </c>
      <c r="E412">
        <v>8.7710153354613851</v>
      </c>
      <c r="F412">
        <v>3.1023718441556269E-3</v>
      </c>
    </row>
    <row r="413" spans="4:6">
      <c r="D413">
        <v>461</v>
      </c>
      <c r="E413">
        <v>8.7671283858931819</v>
      </c>
      <c r="F413">
        <v>-7.8457772404760817E-4</v>
      </c>
    </row>
    <row r="414" spans="4:6">
      <c r="D414">
        <v>462</v>
      </c>
      <c r="E414">
        <v>8.7710308947810347</v>
      </c>
      <c r="F414">
        <v>3.1179311638052098E-3</v>
      </c>
    </row>
    <row r="415" spans="4:6">
      <c r="D415">
        <v>463</v>
      </c>
      <c r="E415">
        <v>8.7669911682396613</v>
      </c>
      <c r="F415">
        <v>-9.2179537756820196E-4</v>
      </c>
    </row>
    <row r="416" spans="4:6">
      <c r="D416">
        <v>464</v>
      </c>
      <c r="E416">
        <v>8.7710436392578206</v>
      </c>
      <c r="F416">
        <v>3.1306756405911074E-3</v>
      </c>
    </row>
    <row r="417" spans="4:6">
      <c r="D417">
        <v>465</v>
      </c>
      <c r="E417">
        <v>8.7668529988735102</v>
      </c>
      <c r="F417">
        <v>-1.0599647437192772E-3</v>
      </c>
    </row>
    <row r="418" spans="4:6">
      <c r="D418">
        <v>466</v>
      </c>
      <c r="E418">
        <v>8.7710536224986377</v>
      </c>
      <c r="F418">
        <v>3.1406588814082426E-3</v>
      </c>
    </row>
    <row r="419" spans="4:6">
      <c r="D419">
        <v>467</v>
      </c>
      <c r="E419">
        <v>8.7667140484395603</v>
      </c>
      <c r="F419">
        <v>-1.1989151776692353E-3</v>
      </c>
    </row>
    <row r="420" spans="4:6">
      <c r="D420">
        <v>468</v>
      </c>
      <c r="E420">
        <v>8.7710608961943652</v>
      </c>
      <c r="F420">
        <v>3.147932577135748E-3</v>
      </c>
    </row>
    <row r="421" spans="4:6">
      <c r="D421">
        <v>469</v>
      </c>
      <c r="E421">
        <v>8.7665746314319311</v>
      </c>
      <c r="F421">
        <v>-1.3383321852984409E-3</v>
      </c>
    </row>
    <row r="422" spans="4:6">
      <c r="D422">
        <v>470</v>
      </c>
      <c r="E422">
        <v>8.7710655113561327</v>
      </c>
      <c r="F422">
        <v>3.1525477389031664E-3</v>
      </c>
    </row>
    <row r="423" spans="4:6">
      <c r="D423">
        <v>471</v>
      </c>
      <c r="E423">
        <v>8.7664345831486195</v>
      </c>
      <c r="F423">
        <v>-1.478380468610041E-3</v>
      </c>
    </row>
    <row r="424" spans="4:6">
      <c r="D424">
        <v>472</v>
      </c>
      <c r="E424">
        <v>8.7710675179688895</v>
      </c>
      <c r="F424">
        <v>3.1545543516600105E-3</v>
      </c>
    </row>
    <row r="425" spans="4:6">
      <c r="D425">
        <v>473</v>
      </c>
      <c r="E425">
        <v>8.7662956227354005</v>
      </c>
      <c r="F425">
        <v>-1.6173408818289658E-3</v>
      </c>
    </row>
    <row r="426" spans="4:6">
      <c r="D426">
        <v>474</v>
      </c>
      <c r="E426">
        <v>8.7710669650066482</v>
      </c>
      <c r="F426">
        <v>3.1540013894186814E-3</v>
      </c>
    </row>
    <row r="427" spans="4:6">
      <c r="D427">
        <v>475</v>
      </c>
      <c r="E427">
        <v>8.766158093607892</v>
      </c>
      <c r="F427">
        <v>-1.7548700093374947E-3</v>
      </c>
    </row>
    <row r="428" spans="4:6">
      <c r="D428">
        <v>476</v>
      </c>
      <c r="E428">
        <v>8.7710639004784507</v>
      </c>
      <c r="F428">
        <v>3.150936861221254E-3</v>
      </c>
    </row>
    <row r="429" spans="4:6">
      <c r="D429">
        <v>477</v>
      </c>
      <c r="E429">
        <v>8.7660195564787298</v>
      </c>
      <c r="F429">
        <v>-1.8934071384997253E-3</v>
      </c>
    </row>
    <row r="430" spans="4:6">
      <c r="D430">
        <v>478</v>
      </c>
      <c r="E430">
        <v>8.7710583798384327</v>
      </c>
      <c r="F430">
        <v>3.1454162212032344E-3</v>
      </c>
    </row>
    <row r="431" spans="4:6">
      <c r="D431">
        <v>479</v>
      </c>
      <c r="E431">
        <v>8.7658800354824002</v>
      </c>
      <c r="F431">
        <v>-2.0329281348292483E-3</v>
      </c>
    </row>
    <row r="432" spans="4:6">
      <c r="D432">
        <v>480</v>
      </c>
      <c r="E432">
        <v>8.7710505456411774</v>
      </c>
      <c r="F432">
        <v>3.1375820239478713E-3</v>
      </c>
    </row>
    <row r="433" spans="4:6">
      <c r="D433">
        <v>481</v>
      </c>
      <c r="E433">
        <v>8.7657489309994343</v>
      </c>
      <c r="F433">
        <v>-2.1640326177951863E-3</v>
      </c>
    </row>
    <row r="434" spans="4:6">
      <c r="D434">
        <v>482</v>
      </c>
      <c r="E434">
        <v>8.7710404584731734</v>
      </c>
      <c r="F434">
        <v>3.1274948559438798E-3</v>
      </c>
    </row>
    <row r="435" spans="4:6">
      <c r="D435">
        <v>483</v>
      </c>
      <c r="E435">
        <v>8.7656224089859904</v>
      </c>
      <c r="F435">
        <v>-2.2905546312390612E-3</v>
      </c>
    </row>
    <row r="436" spans="4:6">
      <c r="D436">
        <v>484</v>
      </c>
      <c r="E436">
        <v>8.7710281764860714</v>
      </c>
      <c r="F436">
        <v>3.1152128688418657E-3</v>
      </c>
    </row>
    <row r="437" spans="4:6">
      <c r="D437">
        <v>485</v>
      </c>
      <c r="E437">
        <v>8.7655258565512746</v>
      </c>
      <c r="F437">
        <v>-2.3871070659549076E-3</v>
      </c>
    </row>
    <row r="438" spans="4:6">
      <c r="D438">
        <v>486</v>
      </c>
      <c r="E438">
        <v>8.7710136100670173</v>
      </c>
      <c r="F438">
        <v>3.1006464497878028E-3</v>
      </c>
    </row>
    <row r="439" spans="4:6">
      <c r="D439">
        <v>487</v>
      </c>
      <c r="E439">
        <v>8.7656549522031568</v>
      </c>
      <c r="F439">
        <v>-2.2580114140726693E-3</v>
      </c>
    </row>
    <row r="440" spans="4:6">
      <c r="D440">
        <v>488</v>
      </c>
      <c r="E440">
        <v>8.7709968024070513</v>
      </c>
      <c r="F440">
        <v>3.083838789821769E-3</v>
      </c>
    </row>
    <row r="441" spans="4:6">
      <c r="D441">
        <v>489</v>
      </c>
      <c r="E441">
        <v>8.7658198700277925</v>
      </c>
      <c r="F441">
        <v>-2.0930935894369895E-3</v>
      </c>
    </row>
    <row r="442" spans="4:6">
      <c r="D442">
        <v>490</v>
      </c>
      <c r="E442">
        <v>8.770977793390168</v>
      </c>
      <c r="F442">
        <v>3.0648297729385376E-3</v>
      </c>
    </row>
    <row r="443" spans="4:6">
      <c r="D443">
        <v>491</v>
      </c>
      <c r="E443">
        <v>8.7659808149509768</v>
      </c>
      <c r="F443">
        <v>-1.9321486662526866E-3</v>
      </c>
    </row>
    <row r="444" spans="4:6">
      <c r="D444">
        <v>492</v>
      </c>
      <c r="E444">
        <v>8.7709566481321701</v>
      </c>
      <c r="F444">
        <v>3.0436845149406366E-3</v>
      </c>
    </row>
    <row r="445" spans="4:6">
      <c r="D445">
        <v>493</v>
      </c>
      <c r="E445">
        <v>8.766137850757401</v>
      </c>
      <c r="F445">
        <v>-1.7751128598284538E-3</v>
      </c>
    </row>
    <row r="446" spans="4:6">
      <c r="D446">
        <v>494</v>
      </c>
      <c r="E446">
        <v>8.770933445647092</v>
      </c>
      <c r="F446">
        <v>3.0204820298624924E-3</v>
      </c>
    </row>
    <row r="447" spans="4:6">
      <c r="D447">
        <v>495</v>
      </c>
      <c r="E447">
        <v>8.7662910407682393</v>
      </c>
      <c r="F447">
        <v>-1.6219228489902093E-3</v>
      </c>
    </row>
    <row r="448" spans="4:6">
      <c r="D448">
        <v>496</v>
      </c>
      <c r="E448">
        <v>8.7709081885640963</v>
      </c>
      <c r="F448">
        <v>2.9952249468667702E-3</v>
      </c>
    </row>
    <row r="449" spans="4:6">
      <c r="D449">
        <v>497</v>
      </c>
      <c r="E449">
        <v>8.7664404811841994</v>
      </c>
      <c r="F449">
        <v>-1.472482433030109E-3</v>
      </c>
    </row>
    <row r="450" spans="4:6">
      <c r="D450">
        <v>498</v>
      </c>
      <c r="E450">
        <v>8.7708808866617005</v>
      </c>
      <c r="F450">
        <v>2.9679230444710214E-3</v>
      </c>
    </row>
    <row r="451" spans="4:6">
      <c r="D451">
        <v>499</v>
      </c>
      <c r="E451">
        <v>8.7665862364639811</v>
      </c>
      <c r="F451">
        <v>-1.3267271532484415E-3</v>
      </c>
    </row>
    <row r="452" spans="4:6">
      <c r="D452">
        <v>500</v>
      </c>
      <c r="E452">
        <v>8.7708516219325308</v>
      </c>
      <c r="F452">
        <v>2.938658315301268E-3</v>
      </c>
    </row>
  </sheetData>
  <phoneticPr fontId="5" type="noConversion"/>
  <pageMargins left="0.75" right="0.75" top="1" bottom="1"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452"/>
  <sheetViews>
    <sheetView workbookViewId="0">
      <selection activeCell="F1" activeCellId="1" sqref="D1:D65536 F1:F65536"/>
    </sheetView>
  </sheetViews>
  <sheetFormatPr baseColWidth="10" defaultColWidth="8.83203125" defaultRowHeight="13"/>
  <cols>
    <col min="1" max="1" width="19.1640625" customWidth="1"/>
    <col min="4" max="4" width="15.33203125" customWidth="1"/>
  </cols>
  <sheetData>
    <row r="1" spans="1:6" ht="14">
      <c r="A1" s="5" t="s">
        <v>14</v>
      </c>
      <c r="B1" s="2"/>
      <c r="D1" s="5" t="s">
        <v>5</v>
      </c>
      <c r="E1" s="5" t="s">
        <v>53</v>
      </c>
      <c r="F1" s="5" t="s">
        <v>54</v>
      </c>
    </row>
    <row r="2" spans="1:6" ht="14">
      <c r="A2" s="2" t="s">
        <v>0</v>
      </c>
      <c r="B2" s="2">
        <v>50</v>
      </c>
      <c r="D2">
        <v>50</v>
      </c>
      <c r="E2">
        <v>8.7781327844926924</v>
      </c>
      <c r="F2">
        <v>1.0219820875462915E-2</v>
      </c>
    </row>
    <row r="3" spans="1:6" ht="14">
      <c r="A3" s="2" t="s">
        <v>9</v>
      </c>
      <c r="B3" s="2">
        <v>55</v>
      </c>
      <c r="D3">
        <v>51</v>
      </c>
      <c r="E3">
        <v>8.7777613416465208</v>
      </c>
      <c r="F3">
        <v>9.8483780292912826E-3</v>
      </c>
    </row>
    <row r="4" spans="1:6" ht="14">
      <c r="A4" s="2" t="s">
        <v>3</v>
      </c>
      <c r="B4" s="2">
        <v>0.3</v>
      </c>
      <c r="D4">
        <v>52</v>
      </c>
      <c r="E4">
        <v>8.777741888810894</v>
      </c>
      <c r="F4">
        <v>9.8289251936645172E-3</v>
      </c>
    </row>
    <row r="5" spans="1:6" ht="14">
      <c r="A5" s="2" t="s">
        <v>4</v>
      </c>
      <c r="B5" s="2">
        <v>0.01</v>
      </c>
      <c r="D5">
        <v>53</v>
      </c>
      <c r="E5">
        <v>8.7774648945687233</v>
      </c>
      <c r="F5">
        <v>9.5519309514937589E-3</v>
      </c>
    </row>
    <row r="6" spans="1:6" ht="14">
      <c r="A6" s="2" t="s">
        <v>1</v>
      </c>
      <c r="B6" s="2">
        <v>1</v>
      </c>
      <c r="D6">
        <v>54</v>
      </c>
      <c r="E6">
        <v>8.7773700556796008</v>
      </c>
      <c r="F6">
        <v>9.4570920623713306E-3</v>
      </c>
    </row>
    <row r="7" spans="1:6" ht="14">
      <c r="A7" s="2" t="s">
        <v>2</v>
      </c>
      <c r="B7" s="2">
        <v>0</v>
      </c>
      <c r="D7">
        <v>55</v>
      </c>
      <c r="E7">
        <v>8.777190411250352</v>
      </c>
      <c r="F7">
        <v>9.2774476331225486E-3</v>
      </c>
    </row>
    <row r="8" spans="1:6" ht="14">
      <c r="A8" s="2"/>
      <c r="B8" s="2"/>
      <c r="D8">
        <v>56</v>
      </c>
      <c r="E8">
        <v>8.7770175082112285</v>
      </c>
      <c r="F8">
        <v>9.1045445939990088E-3</v>
      </c>
    </row>
    <row r="9" spans="1:6" ht="14">
      <c r="A9" s="2"/>
      <c r="B9" s="2"/>
      <c r="D9">
        <v>57</v>
      </c>
      <c r="E9">
        <v>8.7769287095734256</v>
      </c>
      <c r="F9">
        <v>9.0157459561961417E-3</v>
      </c>
    </row>
    <row r="10" spans="1:6" ht="14">
      <c r="A10" s="3" t="s">
        <v>29</v>
      </c>
      <c r="B10" s="2">
        <f>8.76791296361723</f>
        <v>8.7679129636172295</v>
      </c>
      <c r="D10">
        <v>58</v>
      </c>
      <c r="E10">
        <v>8.7766842029081289</v>
      </c>
      <c r="F10">
        <v>8.7712392908994019E-3</v>
      </c>
    </row>
    <row r="11" spans="1:6">
      <c r="D11">
        <v>59</v>
      </c>
      <c r="E11">
        <v>8.77667655615104</v>
      </c>
      <c r="F11">
        <v>8.763592533810538E-3</v>
      </c>
    </row>
    <row r="12" spans="1:6">
      <c r="D12">
        <v>60</v>
      </c>
      <c r="E12">
        <v>8.7763748544784939</v>
      </c>
      <c r="F12">
        <v>8.4618908612643651E-3</v>
      </c>
    </row>
    <row r="13" spans="1:6">
      <c r="D13">
        <v>61</v>
      </c>
      <c r="E13">
        <v>8.7764443529158314</v>
      </c>
      <c r="F13">
        <v>8.5313892986018658E-3</v>
      </c>
    </row>
    <row r="14" spans="1:6">
      <c r="D14">
        <v>62</v>
      </c>
      <c r="E14">
        <v>8.7761175954744068</v>
      </c>
      <c r="F14">
        <v>8.2046318571773469E-3</v>
      </c>
    </row>
    <row r="15" spans="1:6">
      <c r="D15">
        <v>63</v>
      </c>
      <c r="E15">
        <v>8.7762227081578335</v>
      </c>
      <c r="F15">
        <v>8.3097445406039583E-3</v>
      </c>
    </row>
    <row r="16" spans="1:6">
      <c r="D16">
        <v>64</v>
      </c>
      <c r="E16">
        <v>8.7758814564879355</v>
      </c>
      <c r="F16">
        <v>7.968492870706001E-3</v>
      </c>
    </row>
    <row r="17" spans="4:6">
      <c r="D17">
        <v>65</v>
      </c>
      <c r="E17">
        <v>8.7760075520295491</v>
      </c>
      <c r="F17">
        <v>8.094588412319581E-3</v>
      </c>
    </row>
    <row r="18" spans="4:6">
      <c r="D18">
        <v>66</v>
      </c>
      <c r="E18">
        <v>8.7756526898744163</v>
      </c>
      <c r="F18">
        <v>7.7397262571867742E-3</v>
      </c>
    </row>
    <row r="19" spans="4:6">
      <c r="D19">
        <v>67</v>
      </c>
      <c r="E19">
        <v>8.7757990851806742</v>
      </c>
      <c r="F19">
        <v>7.8861215634447035E-3</v>
      </c>
    </row>
    <row r="20" spans="4:6">
      <c r="D20">
        <v>68</v>
      </c>
      <c r="E20">
        <v>8.7754318249841088</v>
      </c>
      <c r="F20">
        <v>7.5188613668792925E-3</v>
      </c>
    </row>
    <row r="21" spans="4:6">
      <c r="D21">
        <v>69</v>
      </c>
      <c r="E21">
        <v>8.7755969719069089</v>
      </c>
      <c r="F21">
        <v>7.6840082896794115E-3</v>
      </c>
    </row>
    <row r="22" spans="4:6">
      <c r="D22">
        <v>70</v>
      </c>
      <c r="E22">
        <v>8.7752186364528555</v>
      </c>
      <c r="F22">
        <v>7.3056728356259981E-3</v>
      </c>
    </row>
    <row r="23" spans="4:6">
      <c r="D23">
        <v>71</v>
      </c>
      <c r="E23">
        <v>8.7754006063283843</v>
      </c>
      <c r="F23">
        <v>7.4876427111547628E-3</v>
      </c>
    </row>
    <row r="24" spans="4:6">
      <c r="D24">
        <v>72</v>
      </c>
      <c r="E24">
        <v>8.775015199775174</v>
      </c>
      <c r="F24">
        <v>7.1022361579444748E-3</v>
      </c>
    </row>
    <row r="25" spans="4:6">
      <c r="D25">
        <v>73</v>
      </c>
      <c r="E25">
        <v>8.7752096754736932</v>
      </c>
      <c r="F25">
        <v>7.2967118564637445E-3</v>
      </c>
    </row>
    <row r="26" spans="4:6">
      <c r="D26">
        <v>74</v>
      </c>
      <c r="E26">
        <v>8.774821477124819</v>
      </c>
      <c r="F26">
        <v>6.9085135075894755E-3</v>
      </c>
    </row>
    <row r="27" spans="4:6">
      <c r="D27">
        <v>75</v>
      </c>
      <c r="E27">
        <v>8.7750241515198475</v>
      </c>
      <c r="F27">
        <v>7.1111879026179992E-3</v>
      </c>
    </row>
    <row r="28" spans="4:6">
      <c r="D28">
        <v>76</v>
      </c>
      <c r="E28">
        <v>8.7746351795594535</v>
      </c>
      <c r="F28">
        <v>6.7222159422239969E-3</v>
      </c>
    </row>
    <row r="29" spans="4:6">
      <c r="D29">
        <v>77</v>
      </c>
      <c r="E29">
        <v>8.7748478904878269</v>
      </c>
      <c r="F29">
        <v>6.9349268705973799E-3</v>
      </c>
    </row>
    <row r="30" spans="4:6">
      <c r="D30">
        <v>78</v>
      </c>
      <c r="E30">
        <v>8.7744563390829295</v>
      </c>
      <c r="F30">
        <v>6.543375465700052E-3</v>
      </c>
    </row>
    <row r="31" spans="4:6">
      <c r="D31">
        <v>79</v>
      </c>
      <c r="E31">
        <v>8.7746963152658708</v>
      </c>
      <c r="F31">
        <v>6.7833516486413004E-3</v>
      </c>
    </row>
    <row r="32" spans="4:6">
      <c r="D32">
        <v>80</v>
      </c>
      <c r="E32">
        <v>8.7742931859183066</v>
      </c>
      <c r="F32">
        <v>6.3802223010771542E-3</v>
      </c>
    </row>
    <row r="33" spans="4:6">
      <c r="D33">
        <v>81</v>
      </c>
      <c r="E33">
        <v>8.774547064288555</v>
      </c>
      <c r="F33">
        <v>6.6341006713255268E-3</v>
      </c>
    </row>
    <row r="34" spans="4:6">
      <c r="D34">
        <v>82</v>
      </c>
      <c r="E34">
        <v>8.7741418878670583</v>
      </c>
      <c r="F34">
        <v>6.2289242498287933E-3</v>
      </c>
    </row>
    <row r="35" spans="4:6">
      <c r="D35">
        <v>83</v>
      </c>
      <c r="E35">
        <v>8.7744005159021743</v>
      </c>
      <c r="F35">
        <v>6.4875522849447975E-3</v>
      </c>
    </row>
    <row r="36" spans="4:6">
      <c r="D36">
        <v>84</v>
      </c>
      <c r="E36">
        <v>8.7740128224377116</v>
      </c>
      <c r="F36">
        <v>6.0998588204821402E-3</v>
      </c>
    </row>
    <row r="37" spans="4:6">
      <c r="D37">
        <v>85</v>
      </c>
      <c r="E37">
        <v>8.774256205121203</v>
      </c>
      <c r="F37">
        <v>6.3432415039734735E-3</v>
      </c>
    </row>
    <row r="38" spans="4:6">
      <c r="D38">
        <v>86</v>
      </c>
      <c r="E38">
        <v>8.7739002157588803</v>
      </c>
      <c r="F38">
        <v>5.9872521416508562E-3</v>
      </c>
    </row>
    <row r="39" spans="4:6">
      <c r="D39">
        <v>87</v>
      </c>
      <c r="E39">
        <v>8.77411499868475</v>
      </c>
      <c r="F39">
        <v>6.2020350675204838E-3</v>
      </c>
    </row>
    <row r="40" spans="4:6">
      <c r="D40">
        <v>88</v>
      </c>
      <c r="E40">
        <v>8.7737910998372683</v>
      </c>
      <c r="F40">
        <v>5.8781362200388543E-3</v>
      </c>
    </row>
    <row r="41" spans="4:6">
      <c r="D41">
        <v>89</v>
      </c>
      <c r="E41">
        <v>8.7739764566495868</v>
      </c>
      <c r="F41">
        <v>6.0634930323573144E-3</v>
      </c>
    </row>
    <row r="42" spans="4:6">
      <c r="D42">
        <v>90</v>
      </c>
      <c r="E42">
        <v>8.7736835497138763</v>
      </c>
      <c r="F42">
        <v>5.7705860966468236E-3</v>
      </c>
    </row>
    <row r="43" spans="4:6">
      <c r="D43">
        <v>91</v>
      </c>
      <c r="E43">
        <v>8.7738412718418193</v>
      </c>
      <c r="F43">
        <v>5.9283082245897845E-3</v>
      </c>
    </row>
    <row r="44" spans="4:6">
      <c r="D44">
        <v>92</v>
      </c>
      <c r="E44">
        <v>8.7735781589439839</v>
      </c>
      <c r="F44">
        <v>5.6651953267543576E-3</v>
      </c>
    </row>
    <row r="45" spans="4:6">
      <c r="D45">
        <v>93</v>
      </c>
      <c r="E45">
        <v>8.7737122957215039</v>
      </c>
      <c r="F45">
        <v>5.7993321042744128E-3</v>
      </c>
    </row>
    <row r="46" spans="4:6">
      <c r="D46">
        <v>94</v>
      </c>
      <c r="E46">
        <v>8.7734807636821905</v>
      </c>
      <c r="F46">
        <v>5.5678000649610482E-3</v>
      </c>
    </row>
    <row r="47" spans="4:6">
      <c r="D47">
        <v>95</v>
      </c>
      <c r="E47">
        <v>8.7735856240755421</v>
      </c>
      <c r="F47">
        <v>5.6726604583126061E-3</v>
      </c>
    </row>
    <row r="48" spans="4:6">
      <c r="D48">
        <v>96</v>
      </c>
      <c r="E48">
        <v>8.7733853777618087</v>
      </c>
      <c r="F48">
        <v>5.4724141445792185E-3</v>
      </c>
    </row>
    <row r="49" spans="4:6">
      <c r="D49">
        <v>97</v>
      </c>
      <c r="E49">
        <v>8.7734612930381779</v>
      </c>
      <c r="F49">
        <v>5.5483294209484058E-3</v>
      </c>
    </row>
    <row r="50" spans="4:6">
      <c r="D50">
        <v>98</v>
      </c>
      <c r="E50">
        <v>8.7732919110205003</v>
      </c>
      <c r="F50">
        <v>5.3789474032708284E-3</v>
      </c>
    </row>
    <row r="51" spans="4:6">
      <c r="D51">
        <v>99</v>
      </c>
      <c r="E51">
        <v>8.7733410421913245</v>
      </c>
      <c r="F51">
        <v>5.4280785740949966E-3</v>
      </c>
    </row>
    <row r="52" spans="4:6">
      <c r="D52">
        <v>100</v>
      </c>
      <c r="E52">
        <v>8.7732000775166625</v>
      </c>
      <c r="F52">
        <v>5.287113899433038E-3</v>
      </c>
    </row>
    <row r="53" spans="4:6">
      <c r="D53">
        <v>101</v>
      </c>
      <c r="E53">
        <v>8.7732234829346663</v>
      </c>
      <c r="F53">
        <v>5.3105193174367571E-3</v>
      </c>
    </row>
    <row r="54" spans="4:6">
      <c r="D54">
        <v>102</v>
      </c>
      <c r="E54">
        <v>8.7731104582642754</v>
      </c>
      <c r="F54">
        <v>5.197494647045886E-3</v>
      </c>
    </row>
    <row r="55" spans="4:6">
      <c r="D55">
        <v>103</v>
      </c>
      <c r="E55">
        <v>8.7731083957845044</v>
      </c>
      <c r="F55">
        <v>5.195432167274916E-3</v>
      </c>
    </row>
    <row r="56" spans="4:6">
      <c r="D56">
        <v>104</v>
      </c>
      <c r="E56">
        <v>8.7730226138299265</v>
      </c>
      <c r="F56">
        <v>5.1096502126970478E-3</v>
      </c>
    </row>
    <row r="57" spans="4:6">
      <c r="D57">
        <v>105</v>
      </c>
      <c r="E57">
        <v>8.7729999342349352</v>
      </c>
      <c r="F57">
        <v>5.0869706177056884E-3</v>
      </c>
    </row>
    <row r="58" spans="4:6">
      <c r="D58">
        <v>106</v>
      </c>
      <c r="E58">
        <v>8.7729364871029727</v>
      </c>
      <c r="F58">
        <v>5.0235234857431976E-3</v>
      </c>
    </row>
    <row r="59" spans="4:6">
      <c r="D59">
        <v>107</v>
      </c>
      <c r="E59">
        <v>8.7729072948590936</v>
      </c>
      <c r="F59">
        <v>4.9943312418641028E-3</v>
      </c>
    </row>
    <row r="60" spans="4:6">
      <c r="D60">
        <v>108</v>
      </c>
      <c r="E60">
        <v>8.7728520328653392</v>
      </c>
      <c r="F60">
        <v>4.9390692481097176E-3</v>
      </c>
    </row>
    <row r="61" spans="4:6">
      <c r="D61">
        <v>109</v>
      </c>
      <c r="E61">
        <v>8.7728165878801043</v>
      </c>
      <c r="F61">
        <v>4.9036242628748283E-3</v>
      </c>
    </row>
    <row r="62" spans="4:6">
      <c r="D62">
        <v>110</v>
      </c>
      <c r="E62">
        <v>8.7727692432065982</v>
      </c>
      <c r="F62">
        <v>4.8562795893687394E-3</v>
      </c>
    </row>
    <row r="63" spans="4:6">
      <c r="D63">
        <v>111</v>
      </c>
      <c r="E63">
        <v>8.772726726663457</v>
      </c>
      <c r="F63">
        <v>4.8137630462274927E-3</v>
      </c>
    </row>
    <row r="64" spans="4:6">
      <c r="D64">
        <v>112</v>
      </c>
      <c r="E64">
        <v>8.7726968850979965</v>
      </c>
      <c r="F64">
        <v>4.7839214807670061E-3</v>
      </c>
    </row>
    <row r="65" spans="4:6">
      <c r="D65">
        <v>113</v>
      </c>
      <c r="E65">
        <v>8.7726378602514146</v>
      </c>
      <c r="F65">
        <v>4.7248966341850718E-3</v>
      </c>
    </row>
    <row r="66" spans="4:6">
      <c r="D66">
        <v>114</v>
      </c>
      <c r="E66">
        <v>8.7726283537384511</v>
      </c>
      <c r="F66">
        <v>4.7153901212215743E-3</v>
      </c>
    </row>
    <row r="67" spans="4:6">
      <c r="D67">
        <v>115</v>
      </c>
      <c r="E67">
        <v>8.7725504546694832</v>
      </c>
      <c r="F67">
        <v>4.6374910522537505E-3</v>
      </c>
    </row>
    <row r="68" spans="4:6">
      <c r="D68">
        <v>116</v>
      </c>
      <c r="E68">
        <v>8.7725600118893254</v>
      </c>
      <c r="F68">
        <v>4.6470482720959438E-3</v>
      </c>
    </row>
    <row r="69" spans="4:6">
      <c r="D69">
        <v>117</v>
      </c>
      <c r="E69">
        <v>8.7724709688388547</v>
      </c>
      <c r="F69">
        <v>4.5580052216251943E-3</v>
      </c>
    </row>
    <row r="70" spans="4:6">
      <c r="D70">
        <v>118</v>
      </c>
      <c r="E70">
        <v>8.7724919603415117</v>
      </c>
      <c r="F70">
        <v>4.5789967242821916E-3</v>
      </c>
    </row>
    <row r="71" spans="4:6">
      <c r="D71">
        <v>119</v>
      </c>
      <c r="E71">
        <v>8.7723951493062771</v>
      </c>
      <c r="F71">
        <v>4.4821856890475686E-3</v>
      </c>
    </row>
    <row r="72" spans="4:6">
      <c r="D72">
        <v>120</v>
      </c>
      <c r="E72">
        <v>8.7724242672547508</v>
      </c>
      <c r="F72">
        <v>4.5113036375212801E-3</v>
      </c>
    </row>
    <row r="73" spans="4:6">
      <c r="D73">
        <v>121</v>
      </c>
      <c r="E73">
        <v>8.7723200809352058</v>
      </c>
      <c r="F73">
        <v>4.4071173179762724E-3</v>
      </c>
    </row>
    <row r="74" spans="4:6">
      <c r="D74">
        <v>122</v>
      </c>
      <c r="E74">
        <v>8.7723619076698736</v>
      </c>
      <c r="F74">
        <v>4.448944052644066E-3</v>
      </c>
    </row>
    <row r="75" spans="4:6">
      <c r="D75">
        <v>123</v>
      </c>
      <c r="E75">
        <v>8.7722459706386644</v>
      </c>
      <c r="F75">
        <v>4.3330070214349092E-3</v>
      </c>
    </row>
    <row r="76" spans="4:6">
      <c r="D76">
        <v>124</v>
      </c>
      <c r="E76">
        <v>8.7723056914117024</v>
      </c>
      <c r="F76">
        <v>4.3927277944728615E-3</v>
      </c>
    </row>
    <row r="77" spans="4:6">
      <c r="D77">
        <v>125</v>
      </c>
      <c r="E77">
        <v>8.7721729718728998</v>
      </c>
      <c r="F77">
        <v>4.2600082556703001E-3</v>
      </c>
    </row>
    <row r="78" spans="4:6">
      <c r="D78">
        <v>126</v>
      </c>
      <c r="E78">
        <v>8.7722492710755304</v>
      </c>
      <c r="F78">
        <v>4.3363074583009364E-3</v>
      </c>
    </row>
    <row r="79" spans="4:6">
      <c r="D79">
        <v>127</v>
      </c>
      <c r="E79">
        <v>8.7721031059868313</v>
      </c>
      <c r="F79">
        <v>4.1901423696018014E-3</v>
      </c>
    </row>
    <row r="80" spans="4:6">
      <c r="D80">
        <v>128</v>
      </c>
      <c r="E80">
        <v>8.7721926830887202</v>
      </c>
      <c r="F80">
        <v>4.2797194714907505E-3</v>
      </c>
    </row>
    <row r="81" spans="4:6">
      <c r="D81">
        <v>129</v>
      </c>
      <c r="E81">
        <v>8.7720361418866002</v>
      </c>
      <c r="F81">
        <v>4.1231782693706975E-3</v>
      </c>
    </row>
    <row r="82" spans="4:6">
      <c r="D82">
        <v>130</v>
      </c>
      <c r="E82">
        <v>8.7721360150637899</v>
      </c>
      <c r="F82">
        <v>4.223051446560433E-3</v>
      </c>
    </row>
    <row r="83" spans="4:6">
      <c r="D83">
        <v>131</v>
      </c>
      <c r="E83">
        <v>8.7719702053343838</v>
      </c>
      <c r="F83">
        <v>4.0572417171542696E-3</v>
      </c>
    </row>
    <row r="84" spans="4:6">
      <c r="D84">
        <v>132</v>
      </c>
      <c r="E84">
        <v>8.7720793329973503</v>
      </c>
      <c r="F84">
        <v>4.1663693801208268E-3</v>
      </c>
    </row>
    <row r="85" spans="4:6">
      <c r="D85">
        <v>133</v>
      </c>
      <c r="E85">
        <v>8.7719138960260281</v>
      </c>
      <c r="F85">
        <v>4.0009324087986187E-3</v>
      </c>
    </row>
    <row r="86" spans="4:6">
      <c r="D86">
        <v>134</v>
      </c>
      <c r="E86">
        <v>8.7720240314501883</v>
      </c>
      <c r="F86">
        <v>4.1110678329587813E-3</v>
      </c>
    </row>
    <row r="87" spans="4:6">
      <c r="D87">
        <v>135</v>
      </c>
      <c r="E87">
        <v>8.7718608327286471</v>
      </c>
      <c r="F87">
        <v>3.9478691114176456E-3</v>
      </c>
    </row>
    <row r="88" spans="4:6">
      <c r="D88">
        <v>136</v>
      </c>
      <c r="E88">
        <v>8.7719688805359137</v>
      </c>
      <c r="F88">
        <v>4.0559169186842325E-3</v>
      </c>
    </row>
    <row r="89" spans="4:6">
      <c r="D89">
        <v>137</v>
      </c>
      <c r="E89">
        <v>8.7718083194454355</v>
      </c>
      <c r="F89">
        <v>3.895355828205993E-3</v>
      </c>
    </row>
    <row r="90" spans="4:6">
      <c r="D90">
        <v>138</v>
      </c>
      <c r="E90">
        <v>8.7719138659577283</v>
      </c>
      <c r="F90">
        <v>4.0009023404987687E-3</v>
      </c>
    </row>
    <row r="91" spans="4:6">
      <c r="D91">
        <v>139</v>
      </c>
      <c r="E91">
        <v>8.771756457925953</v>
      </c>
      <c r="F91">
        <v>3.8434943087235496E-3</v>
      </c>
    </row>
    <row r="92" spans="4:6">
      <c r="D92">
        <v>140</v>
      </c>
      <c r="E92">
        <v>8.7718604934632474</v>
      </c>
      <c r="F92">
        <v>3.947529846017872E-3</v>
      </c>
    </row>
    <row r="93" spans="4:6">
      <c r="D93">
        <v>141</v>
      </c>
      <c r="E93">
        <v>8.7717048692513995</v>
      </c>
      <c r="F93">
        <v>3.7919056341699786E-3</v>
      </c>
    </row>
    <row r="94" spans="4:6">
      <c r="D94">
        <v>142</v>
      </c>
      <c r="E94">
        <v>8.7718073554371649</v>
      </c>
      <c r="F94">
        <v>3.8943918199354499E-3</v>
      </c>
    </row>
    <row r="95" spans="4:6">
      <c r="D95">
        <v>143</v>
      </c>
      <c r="E95">
        <v>8.7716536536138907</v>
      </c>
      <c r="F95">
        <v>3.7406899966612173E-3</v>
      </c>
    </row>
    <row r="96" spans="4:6">
      <c r="D96">
        <v>144</v>
      </c>
      <c r="E96">
        <v>8.7717544108370546</v>
      </c>
      <c r="F96">
        <v>3.8414472198251559E-3</v>
      </c>
    </row>
    <row r="97" spans="4:6">
      <c r="D97">
        <v>145</v>
      </c>
      <c r="E97">
        <v>8.771602894062891</v>
      </c>
      <c r="F97">
        <v>3.6899304456614601E-3</v>
      </c>
    </row>
    <row r="98" spans="4:6">
      <c r="D98">
        <v>146</v>
      </c>
      <c r="E98">
        <v>8.7717016713679925</v>
      </c>
      <c r="F98">
        <v>3.7887077507630096E-3</v>
      </c>
    </row>
    <row r="99" spans="4:6">
      <c r="D99">
        <v>147</v>
      </c>
      <c r="E99">
        <v>8.7715526551407734</v>
      </c>
      <c r="F99">
        <v>3.6396915235439309E-3</v>
      </c>
    </row>
    <row r="100" spans="4:6">
      <c r="D100">
        <v>148</v>
      </c>
      <c r="E100">
        <v>8.7716491598821946</v>
      </c>
      <c r="F100">
        <v>3.7361962649651304E-3</v>
      </c>
    </row>
    <row r="101" spans="4:6">
      <c r="D101">
        <v>149</v>
      </c>
      <c r="E101">
        <v>8.7715029860393621</v>
      </c>
      <c r="F101">
        <v>3.5900224221325772E-3</v>
      </c>
    </row>
    <row r="102" spans="4:6">
      <c r="D102">
        <v>150</v>
      </c>
      <c r="E102">
        <v>8.7715972982008878</v>
      </c>
      <c r="F102">
        <v>3.6843345836583552E-3</v>
      </c>
    </row>
    <row r="103" spans="4:6">
      <c r="D103">
        <v>151</v>
      </c>
      <c r="E103">
        <v>8.7714544569044612</v>
      </c>
      <c r="F103">
        <v>3.5414932872317451E-3</v>
      </c>
    </row>
    <row r="104" spans="4:6">
      <c r="D104">
        <v>152</v>
      </c>
      <c r="E104">
        <v>8.7715476731387714</v>
      </c>
      <c r="F104">
        <v>3.634709521541879E-3</v>
      </c>
    </row>
    <row r="105" spans="4:6">
      <c r="D105">
        <v>153</v>
      </c>
      <c r="E105">
        <v>8.7714066597243452</v>
      </c>
      <c r="F105">
        <v>3.4936961071156958E-3</v>
      </c>
    </row>
    <row r="106" spans="4:6">
      <c r="D106">
        <v>154</v>
      </c>
      <c r="E106">
        <v>8.7714991224100931</v>
      </c>
      <c r="F106">
        <v>3.5861587928636141E-3</v>
      </c>
    </row>
    <row r="107" spans="4:6">
      <c r="D107">
        <v>155</v>
      </c>
      <c r="E107">
        <v>8.7713600154159987</v>
      </c>
      <c r="F107">
        <v>3.4470517987692517E-3</v>
      </c>
    </row>
    <row r="108" spans="4:6">
      <c r="D108">
        <v>156</v>
      </c>
      <c r="E108">
        <v>8.7714533207482983</v>
      </c>
      <c r="F108">
        <v>3.5403571310688164E-3</v>
      </c>
    </row>
    <row r="109" spans="4:6">
      <c r="D109">
        <v>157</v>
      </c>
      <c r="E109">
        <v>8.7713153982835284</v>
      </c>
      <c r="F109">
        <v>3.4024346662988592E-3</v>
      </c>
    </row>
    <row r="110" spans="4:6">
      <c r="D110">
        <v>158</v>
      </c>
      <c r="E110">
        <v>8.771409242207719</v>
      </c>
      <c r="F110">
        <v>3.49627859048951E-3</v>
      </c>
    </row>
    <row r="111" spans="4:6">
      <c r="D111">
        <v>159</v>
      </c>
      <c r="E111">
        <v>8.7712714213585876</v>
      </c>
      <c r="F111">
        <v>3.3584577413581229E-3</v>
      </c>
    </row>
    <row r="112" spans="4:6">
      <c r="D112">
        <v>160</v>
      </c>
      <c r="E112">
        <v>8.771369810082625</v>
      </c>
      <c r="F112">
        <v>3.4568464653954578E-3</v>
      </c>
    </row>
    <row r="113" spans="4:6">
      <c r="D113">
        <v>161</v>
      </c>
      <c r="E113">
        <v>8.7712325244724809</v>
      </c>
      <c r="F113">
        <v>3.3195608552514244E-3</v>
      </c>
    </row>
    <row r="114" spans="4:6">
      <c r="D114">
        <v>162</v>
      </c>
      <c r="E114">
        <v>8.7713306303162746</v>
      </c>
      <c r="F114">
        <v>3.4176666990450855E-3</v>
      </c>
    </row>
    <row r="115" spans="4:6">
      <c r="D115">
        <v>163</v>
      </c>
      <c r="E115">
        <v>8.7711975502357955</v>
      </c>
      <c r="F115">
        <v>3.28458661856601E-3</v>
      </c>
    </row>
    <row r="116" spans="4:6">
      <c r="D116">
        <v>164</v>
      </c>
      <c r="E116">
        <v>8.7712925615445769</v>
      </c>
      <c r="F116">
        <v>3.379597927347433E-3</v>
      </c>
    </row>
    <row r="117" spans="4:6">
      <c r="D117">
        <v>165</v>
      </c>
      <c r="E117">
        <v>8.7711628171652603</v>
      </c>
      <c r="F117">
        <v>3.2498535480307567E-3</v>
      </c>
    </row>
    <row r="118" spans="4:6">
      <c r="D118">
        <v>166</v>
      </c>
      <c r="E118">
        <v>8.7712542019623108</v>
      </c>
      <c r="F118">
        <v>3.3412383450812655E-3</v>
      </c>
    </row>
    <row r="119" spans="4:6">
      <c r="D119">
        <v>167</v>
      </c>
      <c r="E119">
        <v>8.7711287563505529</v>
      </c>
      <c r="F119">
        <v>3.2157927333233971E-3</v>
      </c>
    </row>
    <row r="120" spans="4:6">
      <c r="D120">
        <v>168</v>
      </c>
      <c r="E120">
        <v>8.7712155847556552</v>
      </c>
      <c r="F120">
        <v>3.3026211384257209E-3</v>
      </c>
    </row>
    <row r="121" spans="4:6">
      <c r="D121">
        <v>169</v>
      </c>
      <c r="E121">
        <v>8.7710947130429915</v>
      </c>
      <c r="F121">
        <v>3.1817494257619927E-3</v>
      </c>
    </row>
    <row r="122" spans="4:6">
      <c r="D122">
        <v>170</v>
      </c>
      <c r="E122">
        <v>8.7711767777743983</v>
      </c>
      <c r="F122">
        <v>3.2638141571688095E-3</v>
      </c>
    </row>
    <row r="123" spans="4:6">
      <c r="D123">
        <v>171</v>
      </c>
      <c r="E123">
        <v>8.7710652845048696</v>
      </c>
      <c r="F123">
        <v>3.1523208876400588E-3</v>
      </c>
    </row>
    <row r="124" spans="4:6">
      <c r="D124">
        <v>172</v>
      </c>
      <c r="E124">
        <v>8.7711384633295939</v>
      </c>
      <c r="F124">
        <v>3.2254997123644102E-3</v>
      </c>
    </row>
    <row r="125" spans="4:6">
      <c r="D125">
        <v>173</v>
      </c>
      <c r="E125">
        <v>8.7710363707150343</v>
      </c>
      <c r="F125">
        <v>3.1234070978047868E-3</v>
      </c>
    </row>
    <row r="126" spans="4:6">
      <c r="D126">
        <v>174</v>
      </c>
      <c r="E126">
        <v>8.7711001484620112</v>
      </c>
      <c r="F126">
        <v>3.1871848447817541E-3</v>
      </c>
    </row>
    <row r="127" spans="4:6">
      <c r="D127">
        <v>175</v>
      </c>
      <c r="E127">
        <v>8.7710073474254582</v>
      </c>
      <c r="F127">
        <v>3.0943838082286845E-3</v>
      </c>
    </row>
    <row r="128" spans="4:6">
      <c r="D128">
        <v>176</v>
      </c>
      <c r="E128">
        <v>8.7710620018813401</v>
      </c>
      <c r="F128">
        <v>3.1490382641106152E-3</v>
      </c>
    </row>
    <row r="129" spans="4:6">
      <c r="D129">
        <v>177</v>
      </c>
      <c r="E129">
        <v>8.7709782536636034</v>
      </c>
      <c r="F129">
        <v>3.065290046373903E-3</v>
      </c>
    </row>
    <row r="130" spans="4:6">
      <c r="D130">
        <v>178</v>
      </c>
      <c r="E130">
        <v>8.7710240371897772</v>
      </c>
      <c r="F130">
        <v>3.1110735725476957E-3</v>
      </c>
    </row>
    <row r="131" spans="4:6">
      <c r="D131">
        <v>179</v>
      </c>
      <c r="E131">
        <v>8.7709491217675115</v>
      </c>
      <c r="F131">
        <v>3.0361581502820201E-3</v>
      </c>
    </row>
    <row r="132" spans="4:6">
      <c r="D132">
        <v>180</v>
      </c>
      <c r="E132">
        <v>8.7709861077347195</v>
      </c>
      <c r="F132">
        <v>3.0731441174900453E-3</v>
      </c>
    </row>
    <row r="133" spans="4:6">
      <c r="D133">
        <v>181</v>
      </c>
      <c r="E133">
        <v>8.7709199782746943</v>
      </c>
      <c r="F133">
        <v>3.0070146574647794E-3</v>
      </c>
    </row>
    <row r="134" spans="4:6">
      <c r="D134">
        <v>182</v>
      </c>
      <c r="E134">
        <v>8.7709482538312393</v>
      </c>
      <c r="F134">
        <v>3.0352902140098337E-3</v>
      </c>
    </row>
    <row r="135" spans="4:6">
      <c r="D135">
        <v>183</v>
      </c>
      <c r="E135">
        <v>8.7708909664377384</v>
      </c>
      <c r="F135">
        <v>2.9780028205088627E-3</v>
      </c>
    </row>
    <row r="136" spans="4:6">
      <c r="D136">
        <v>184</v>
      </c>
      <c r="E136">
        <v>8.7709105129295928</v>
      </c>
      <c r="F136">
        <v>2.9975493123632901E-3</v>
      </c>
    </row>
    <row r="137" spans="4:6">
      <c r="D137">
        <v>185</v>
      </c>
      <c r="E137">
        <v>8.7708622513780519</v>
      </c>
      <c r="F137">
        <v>2.9492877608223722E-3</v>
      </c>
    </row>
    <row r="138" spans="4:6">
      <c r="D138">
        <v>186</v>
      </c>
      <c r="E138">
        <v>8.7708730343603758</v>
      </c>
      <c r="F138">
        <v>2.9600707431463036E-3</v>
      </c>
    </row>
    <row r="139" spans="4:6">
      <c r="D139">
        <v>187</v>
      </c>
      <c r="E139">
        <v>8.7708348191382068</v>
      </c>
      <c r="F139">
        <v>2.9218555209773456E-3</v>
      </c>
    </row>
    <row r="140" spans="4:6">
      <c r="D140">
        <v>188</v>
      </c>
      <c r="E140">
        <v>8.7708364637072762</v>
      </c>
      <c r="F140">
        <v>2.9235000900467156E-3</v>
      </c>
    </row>
    <row r="141" spans="4:6">
      <c r="D141">
        <v>189</v>
      </c>
      <c r="E141">
        <v>8.7708073955157602</v>
      </c>
      <c r="F141">
        <v>2.8944318985306694E-3</v>
      </c>
    </row>
    <row r="142" spans="4:6">
      <c r="D142">
        <v>190</v>
      </c>
      <c r="E142">
        <v>8.7708010863184445</v>
      </c>
      <c r="F142">
        <v>2.8881227012149679E-3</v>
      </c>
    </row>
    <row r="143" spans="4:6">
      <c r="D143">
        <v>191</v>
      </c>
      <c r="E143">
        <v>8.7707799947617016</v>
      </c>
      <c r="F143">
        <v>2.8670311444720653E-3</v>
      </c>
    </row>
    <row r="144" spans="4:6">
      <c r="D144">
        <v>192</v>
      </c>
      <c r="E144">
        <v>8.7707680658887579</v>
      </c>
      <c r="F144">
        <v>2.8551022715284091E-3</v>
      </c>
    </row>
    <row r="145" spans="4:6">
      <c r="D145">
        <v>193</v>
      </c>
      <c r="E145">
        <v>8.7707526288858553</v>
      </c>
      <c r="F145">
        <v>2.8396652686257795E-3</v>
      </c>
    </row>
    <row r="146" spans="4:6">
      <c r="D146">
        <v>194</v>
      </c>
      <c r="E146">
        <v>8.7707382793512654</v>
      </c>
      <c r="F146">
        <v>2.8253157340358825E-3</v>
      </c>
    </row>
    <row r="147" spans="4:6">
      <c r="D147">
        <v>195</v>
      </c>
      <c r="E147">
        <v>8.7707253073045894</v>
      </c>
      <c r="F147">
        <v>2.8123436873599417E-3</v>
      </c>
    </row>
    <row r="148" spans="4:6">
      <c r="D148">
        <v>196</v>
      </c>
      <c r="E148">
        <v>8.7707083675793047</v>
      </c>
      <c r="F148">
        <v>2.7954039620752269E-3</v>
      </c>
    </row>
    <row r="149" spans="4:6">
      <c r="D149">
        <v>197</v>
      </c>
      <c r="E149">
        <v>8.7707027379399669</v>
      </c>
      <c r="F149">
        <v>2.789774322737415E-3</v>
      </c>
    </row>
    <row r="150" spans="4:6">
      <c r="D150">
        <v>198</v>
      </c>
      <c r="E150">
        <v>8.7706788514308869</v>
      </c>
      <c r="F150">
        <v>2.7658878136573861E-3</v>
      </c>
    </row>
    <row r="151" spans="4:6">
      <c r="D151">
        <v>199</v>
      </c>
      <c r="E151">
        <v>8.7706812608923315</v>
      </c>
      <c r="F151">
        <v>2.7682972751019719E-3</v>
      </c>
    </row>
    <row r="152" spans="4:6">
      <c r="D152">
        <v>200</v>
      </c>
      <c r="E152">
        <v>8.7706495603485557</v>
      </c>
      <c r="F152">
        <v>2.7365967313262018E-3</v>
      </c>
    </row>
    <row r="153" spans="4:6">
      <c r="D153">
        <v>201</v>
      </c>
      <c r="E153">
        <v>8.7706605340781465</v>
      </c>
      <c r="F153">
        <v>2.7475704609170037E-3</v>
      </c>
    </row>
    <row r="154" spans="4:6">
      <c r="D154">
        <v>202</v>
      </c>
      <c r="E154">
        <v>8.7706202884215383</v>
      </c>
      <c r="F154">
        <v>2.7073248043087972E-3</v>
      </c>
    </row>
    <row r="155" spans="4:6">
      <c r="D155">
        <v>203</v>
      </c>
      <c r="E155">
        <v>8.7706397533991272</v>
      </c>
      <c r="F155">
        <v>2.726789781897665E-3</v>
      </c>
    </row>
    <row r="156" spans="4:6">
      <c r="D156">
        <v>204</v>
      </c>
      <c r="E156">
        <v>8.7705916683136529</v>
      </c>
      <c r="F156">
        <v>2.6787046964233951E-3</v>
      </c>
    </row>
    <row r="157" spans="4:6">
      <c r="D157">
        <v>205</v>
      </c>
      <c r="E157">
        <v>8.7706190672658906</v>
      </c>
      <c r="F157">
        <v>2.7061036486610845E-3</v>
      </c>
    </row>
    <row r="158" spans="4:6">
      <c r="D158">
        <v>206</v>
      </c>
      <c r="E158">
        <v>8.7705632420982607</v>
      </c>
      <c r="F158">
        <v>2.6502784810311653E-3</v>
      </c>
    </row>
    <row r="159" spans="4:6">
      <c r="D159">
        <v>207</v>
      </c>
      <c r="E159">
        <v>8.7705980410731676</v>
      </c>
      <c r="F159">
        <v>2.6850774559381563E-3</v>
      </c>
    </row>
    <row r="160" spans="4:6">
      <c r="D160">
        <v>208</v>
      </c>
      <c r="E160">
        <v>8.7705348842978523</v>
      </c>
      <c r="F160">
        <v>2.6219206806228357E-3</v>
      </c>
    </row>
    <row r="161" spans="4:6">
      <c r="D161">
        <v>209</v>
      </c>
      <c r="E161">
        <v>8.770576705502739</v>
      </c>
      <c r="F161">
        <v>2.6637418855095518E-3</v>
      </c>
    </row>
    <row r="162" spans="4:6">
      <c r="D162">
        <v>210</v>
      </c>
      <c r="E162">
        <v>8.7705066282729671</v>
      </c>
      <c r="F162">
        <v>2.5936646557376264E-3</v>
      </c>
    </row>
    <row r="163" spans="4:6">
      <c r="D163">
        <v>211</v>
      </c>
      <c r="E163">
        <v>8.7705550888134969</v>
      </c>
      <c r="F163">
        <v>2.6421251962673864E-3</v>
      </c>
    </row>
    <row r="164" spans="4:6">
      <c r="D164">
        <v>212</v>
      </c>
      <c r="E164">
        <v>8.7704785574224484</v>
      </c>
      <c r="F164">
        <v>2.5655938052189242E-3</v>
      </c>
    </row>
    <row r="165" spans="4:6">
      <c r="D165">
        <v>213</v>
      </c>
      <c r="E165">
        <v>8.7705334137483977</v>
      </c>
      <c r="F165">
        <v>2.6204501311681838E-3</v>
      </c>
    </row>
    <row r="166" spans="4:6">
      <c r="D166">
        <v>214</v>
      </c>
      <c r="E166">
        <v>8.7704507827105935</v>
      </c>
      <c r="F166">
        <v>2.5378190933640354E-3</v>
      </c>
    </row>
    <row r="167" spans="4:6">
      <c r="D167">
        <v>215</v>
      </c>
      <c r="E167">
        <v>8.770511640845049</v>
      </c>
      <c r="F167">
        <v>2.5986772278194792E-3</v>
      </c>
    </row>
    <row r="168" spans="4:6">
      <c r="D168">
        <v>216</v>
      </c>
      <c r="E168">
        <v>8.7704233897010315</v>
      </c>
      <c r="F168">
        <v>2.5104260838020309E-3</v>
      </c>
    </row>
    <row r="169" spans="4:6">
      <c r="D169">
        <v>217</v>
      </c>
      <c r="E169">
        <v>8.7704896488028279</v>
      </c>
      <c r="F169">
        <v>2.576685185598393E-3</v>
      </c>
    </row>
    <row r="170" spans="4:6">
      <c r="D170">
        <v>218</v>
      </c>
      <c r="E170">
        <v>8.7703961982197676</v>
      </c>
      <c r="F170">
        <v>2.4832346025380758E-3</v>
      </c>
    </row>
    <row r="171" spans="4:6">
      <c r="D171">
        <v>219</v>
      </c>
      <c r="E171">
        <v>8.7704703870293628</v>
      </c>
      <c r="F171">
        <v>2.5574234121332751E-3</v>
      </c>
    </row>
    <row r="172" spans="4:6">
      <c r="D172">
        <v>220</v>
      </c>
      <c r="E172">
        <v>8.7703708804501943</v>
      </c>
      <c r="F172">
        <v>2.4579168329648127E-3</v>
      </c>
    </row>
    <row r="173" spans="4:6">
      <c r="D173">
        <v>221</v>
      </c>
      <c r="E173">
        <v>8.7704511747585894</v>
      </c>
      <c r="F173">
        <v>2.5382111413598807E-3</v>
      </c>
    </row>
    <row r="174" spans="4:6">
      <c r="D174">
        <v>222</v>
      </c>
      <c r="E174">
        <v>8.7703465420044218</v>
      </c>
      <c r="F174">
        <v>2.43357838719227E-3</v>
      </c>
    </row>
    <row r="175" spans="4:6">
      <c r="D175">
        <v>223</v>
      </c>
      <c r="E175">
        <v>8.7704323035360048</v>
      </c>
      <c r="F175">
        <v>2.5193399187752874E-3</v>
      </c>
    </row>
    <row r="176" spans="4:6">
      <c r="D176">
        <v>224</v>
      </c>
      <c r="E176">
        <v>8.7703228965143314</v>
      </c>
      <c r="F176">
        <v>2.4099328971018963E-3</v>
      </c>
    </row>
    <row r="177" spans="4:6">
      <c r="D177">
        <v>225</v>
      </c>
      <c r="E177">
        <v>8.7704132747737695</v>
      </c>
      <c r="F177">
        <v>2.500311156540036E-3</v>
      </c>
    </row>
    <row r="178" spans="4:6">
      <c r="D178">
        <v>226</v>
      </c>
      <c r="E178">
        <v>8.7703037013183422</v>
      </c>
      <c r="F178">
        <v>2.3907377011127551E-3</v>
      </c>
    </row>
    <row r="179" spans="4:6">
      <c r="D179">
        <v>227</v>
      </c>
      <c r="E179">
        <v>8.7703940169337233</v>
      </c>
      <c r="F179">
        <v>2.481053316493842E-3</v>
      </c>
    </row>
    <row r="180" spans="4:6">
      <c r="D180">
        <v>228</v>
      </c>
      <c r="E180">
        <v>8.7702844766327566</v>
      </c>
      <c r="F180">
        <v>2.3715130155270714E-3</v>
      </c>
    </row>
    <row r="181" spans="4:6">
      <c r="D181">
        <v>229</v>
      </c>
      <c r="E181">
        <v>8.7703745325662403</v>
      </c>
      <c r="F181">
        <v>2.4615689490108394E-3</v>
      </c>
    </row>
    <row r="182" spans="4:6">
      <c r="D182">
        <v>230</v>
      </c>
      <c r="E182">
        <v>8.7702651683549018</v>
      </c>
      <c r="F182">
        <v>2.352204737672281E-3</v>
      </c>
    </row>
    <row r="183" spans="4:6">
      <c r="D183">
        <v>231</v>
      </c>
      <c r="E183">
        <v>8.7703552741139941</v>
      </c>
      <c r="F183">
        <v>2.442310496764577E-3</v>
      </c>
    </row>
    <row r="184" spans="4:6">
      <c r="D184">
        <v>232</v>
      </c>
      <c r="E184">
        <v>8.7702458317088787</v>
      </c>
      <c r="F184">
        <v>2.3328680916492317E-3</v>
      </c>
    </row>
    <row r="185" spans="4:6">
      <c r="D185">
        <v>233</v>
      </c>
      <c r="E185">
        <v>8.7703357625810376</v>
      </c>
      <c r="F185">
        <v>2.4227989638081482E-3</v>
      </c>
    </row>
    <row r="186" spans="4:6">
      <c r="D186">
        <v>234</v>
      </c>
      <c r="E186">
        <v>8.7702264448127565</v>
      </c>
      <c r="F186">
        <v>2.3134811955269896E-3</v>
      </c>
    </row>
    <row r="187" spans="4:6">
      <c r="D187">
        <v>235</v>
      </c>
      <c r="E187">
        <v>8.770316047737797</v>
      </c>
      <c r="F187">
        <v>2.4030841205675557E-3</v>
      </c>
    </row>
    <row r="188" spans="4:6">
      <c r="D188">
        <v>236</v>
      </c>
      <c r="E188">
        <v>8.7702072941613824</v>
      </c>
      <c r="F188">
        <v>2.294330544152956E-3</v>
      </c>
    </row>
    <row r="189" spans="4:6">
      <c r="D189">
        <v>237</v>
      </c>
      <c r="E189">
        <v>8.7702966381709526</v>
      </c>
      <c r="F189">
        <v>2.3836745537231252E-3</v>
      </c>
    </row>
    <row r="190" spans="4:6">
      <c r="D190">
        <v>238</v>
      </c>
      <c r="E190">
        <v>8.7701883099897895</v>
      </c>
      <c r="F190">
        <v>2.2753463725599943E-3</v>
      </c>
    </row>
    <row r="191" spans="4:6">
      <c r="D191">
        <v>239</v>
      </c>
      <c r="E191">
        <v>8.7702771261200869</v>
      </c>
      <c r="F191">
        <v>2.3641625028574254E-3</v>
      </c>
    </row>
    <row r="192" spans="4:6">
      <c r="D192">
        <v>240</v>
      </c>
      <c r="E192">
        <v>8.7701695290183501</v>
      </c>
      <c r="F192">
        <v>2.2565654011206249E-3</v>
      </c>
    </row>
    <row r="193" spans="4:6">
      <c r="D193">
        <v>241</v>
      </c>
      <c r="E193">
        <v>8.7702574222312091</v>
      </c>
      <c r="F193">
        <v>2.3444586139795831E-3</v>
      </c>
    </row>
    <row r="194" spans="4:6">
      <c r="D194">
        <v>242</v>
      </c>
      <c r="E194">
        <v>8.770151917759101</v>
      </c>
      <c r="F194">
        <v>2.2389541418714742E-3</v>
      </c>
    </row>
    <row r="195" spans="4:6">
      <c r="D195">
        <v>243</v>
      </c>
      <c r="E195">
        <v>8.7702375442081344</v>
      </c>
      <c r="F195">
        <v>2.3245805909049011E-3</v>
      </c>
    </row>
    <row r="196" spans="4:6">
      <c r="D196">
        <v>244</v>
      </c>
      <c r="E196">
        <v>8.7701351114351347</v>
      </c>
      <c r="F196">
        <v>2.2221478179051957E-3</v>
      </c>
    </row>
    <row r="197" spans="4:6">
      <c r="D197">
        <v>245</v>
      </c>
      <c r="E197">
        <v>8.770217509338142</v>
      </c>
      <c r="F197">
        <v>2.3045457209125431E-3</v>
      </c>
    </row>
    <row r="198" spans="4:6">
      <c r="D198">
        <v>246</v>
      </c>
      <c r="E198">
        <v>8.7701182919837191</v>
      </c>
      <c r="F198">
        <v>2.2053283664895673E-3</v>
      </c>
    </row>
    <row r="199" spans="4:6">
      <c r="D199">
        <v>247</v>
      </c>
      <c r="E199">
        <v>8.7701973344787678</v>
      </c>
      <c r="F199">
        <v>2.2843708615383207E-3</v>
      </c>
    </row>
    <row r="200" spans="4:6">
      <c r="D200">
        <v>248</v>
      </c>
      <c r="E200">
        <v>8.770101733911396</v>
      </c>
      <c r="F200">
        <v>2.188770294166531E-3</v>
      </c>
    </row>
    <row r="201" spans="4:6">
      <c r="D201">
        <v>249</v>
      </c>
      <c r="E201">
        <v>8.7701771344061612</v>
      </c>
      <c r="F201">
        <v>2.2641707889317075E-3</v>
      </c>
    </row>
    <row r="202" spans="4:6">
      <c r="D202">
        <v>250</v>
      </c>
      <c r="E202">
        <v>8.7700851995539484</v>
      </c>
      <c r="F202">
        <v>2.1722359367188915E-3</v>
      </c>
    </row>
    <row r="203" spans="4:6">
      <c r="D203">
        <v>251</v>
      </c>
      <c r="E203">
        <v>8.7701569171448046</v>
      </c>
      <c r="F203">
        <v>2.2439535275751155E-3</v>
      </c>
    </row>
    <row r="204" spans="4:6">
      <c r="D204">
        <v>252</v>
      </c>
      <c r="E204">
        <v>8.770068768070022</v>
      </c>
      <c r="F204">
        <v>2.1558044527925091E-3</v>
      </c>
    </row>
    <row r="205" spans="4:6">
      <c r="D205">
        <v>253</v>
      </c>
      <c r="E205">
        <v>8.7701367665861643</v>
      </c>
      <c r="F205">
        <v>2.2238029689347627E-3</v>
      </c>
    </row>
    <row r="206" spans="4:6">
      <c r="D206">
        <v>254</v>
      </c>
      <c r="E206">
        <v>8.7700525950756578</v>
      </c>
      <c r="F206">
        <v>2.139631458428326E-3</v>
      </c>
    </row>
    <row r="207" spans="4:6">
      <c r="D207">
        <v>255</v>
      </c>
      <c r="E207">
        <v>8.770116532936882</v>
      </c>
      <c r="F207">
        <v>2.2035693196524875E-3</v>
      </c>
    </row>
    <row r="208" spans="4:6">
      <c r="D208">
        <v>256</v>
      </c>
      <c r="E208">
        <v>8.7700364497526397</v>
      </c>
      <c r="F208">
        <v>2.1234861354102463E-3</v>
      </c>
    </row>
    <row r="209" spans="4:6">
      <c r="D209">
        <v>257</v>
      </c>
      <c r="E209">
        <v>8.7700962386887209</v>
      </c>
      <c r="F209">
        <v>2.1832750714914084E-3</v>
      </c>
    </row>
    <row r="210" spans="4:6">
      <c r="D210">
        <v>258</v>
      </c>
      <c r="E210">
        <v>8.7700208419593508</v>
      </c>
      <c r="F210">
        <v>2.1078783421213387E-3</v>
      </c>
    </row>
    <row r="211" spans="4:6">
      <c r="D211">
        <v>259</v>
      </c>
      <c r="E211">
        <v>8.7700760449179249</v>
      </c>
      <c r="F211">
        <v>2.1630813006954241E-3</v>
      </c>
    </row>
    <row r="212" spans="4:6">
      <c r="D212">
        <v>260</v>
      </c>
      <c r="E212">
        <v>8.7700078679371956</v>
      </c>
      <c r="F212">
        <v>2.0949043199660622E-3</v>
      </c>
    </row>
    <row r="213" spans="4:6">
      <c r="D213">
        <v>261</v>
      </c>
      <c r="E213">
        <v>8.7700582104918912</v>
      </c>
      <c r="F213">
        <v>2.145246874661666E-3</v>
      </c>
    </row>
    <row r="214" spans="4:6">
      <c r="D214">
        <v>262</v>
      </c>
      <c r="E214">
        <v>8.7699955875503424</v>
      </c>
      <c r="F214">
        <v>2.0826239331128704E-3</v>
      </c>
    </row>
    <row r="215" spans="4:6">
      <c r="D215">
        <v>263</v>
      </c>
      <c r="E215">
        <v>8.7700410684390206</v>
      </c>
      <c r="F215">
        <v>2.1281048217911547E-3</v>
      </c>
    </row>
    <row r="216" spans="4:6">
      <c r="D216">
        <v>264</v>
      </c>
      <c r="E216">
        <v>8.7699833735477188</v>
      </c>
      <c r="F216">
        <v>2.0704099304893475E-3</v>
      </c>
    </row>
    <row r="217" spans="4:6">
      <c r="D217">
        <v>265</v>
      </c>
      <c r="E217">
        <v>8.7700238169693474</v>
      </c>
      <c r="F217">
        <v>2.110853352117914E-3</v>
      </c>
    </row>
    <row r="218" spans="4:6">
      <c r="D218">
        <v>266</v>
      </c>
      <c r="E218">
        <v>8.7699709900432659</v>
      </c>
      <c r="F218">
        <v>2.0580264260363634E-3</v>
      </c>
    </row>
    <row r="219" spans="4:6">
      <c r="D219">
        <v>267</v>
      </c>
      <c r="E219">
        <v>8.7700065255599267</v>
      </c>
      <c r="F219">
        <v>2.0935619426971641E-3</v>
      </c>
    </row>
    <row r="220" spans="4:6">
      <c r="D220">
        <v>268</v>
      </c>
      <c r="E220">
        <v>8.7699584535903394</v>
      </c>
      <c r="F220">
        <v>2.0454899731099374E-3</v>
      </c>
    </row>
    <row r="221" spans="4:6">
      <c r="D221">
        <v>269</v>
      </c>
      <c r="E221">
        <v>8.7699897898077364</v>
      </c>
      <c r="F221">
        <v>2.0768261905068641E-3</v>
      </c>
    </row>
    <row r="222" spans="4:6">
      <c r="D222">
        <v>270</v>
      </c>
      <c r="E222">
        <v>8.769946032819913</v>
      </c>
      <c r="F222">
        <v>2.0330692026835351E-3</v>
      </c>
    </row>
    <row r="223" spans="4:6">
      <c r="D223">
        <v>271</v>
      </c>
      <c r="E223">
        <v>8.7699737924133387</v>
      </c>
      <c r="F223">
        <v>2.0608287961092486E-3</v>
      </c>
    </row>
    <row r="224" spans="4:6">
      <c r="D224">
        <v>272</v>
      </c>
      <c r="E224">
        <v>8.7699337054779605</v>
      </c>
      <c r="F224">
        <v>2.0207418607309791E-3</v>
      </c>
    </row>
    <row r="225" spans="4:6">
      <c r="D225">
        <v>273</v>
      </c>
      <c r="E225">
        <v>8.7699576377202515</v>
      </c>
      <c r="F225">
        <v>2.0446741030220039E-3</v>
      </c>
    </row>
    <row r="226" spans="4:6">
      <c r="D226">
        <v>274</v>
      </c>
      <c r="E226">
        <v>8.7699212794500614</v>
      </c>
      <c r="F226">
        <v>2.0083158328318973E-3</v>
      </c>
    </row>
    <row r="227" spans="4:6">
      <c r="D227">
        <v>275</v>
      </c>
      <c r="E227">
        <v>8.7699413441665186</v>
      </c>
      <c r="F227">
        <v>2.0283805492891105E-3</v>
      </c>
    </row>
    <row r="228" spans="4:6">
      <c r="D228">
        <v>276</v>
      </c>
      <c r="E228">
        <v>8.7699087470707084</v>
      </c>
      <c r="F228">
        <v>1.9957834534789498E-3</v>
      </c>
    </row>
    <row r="229" spans="4:6">
      <c r="D229">
        <v>277</v>
      </c>
      <c r="E229">
        <v>8.7699249293909425</v>
      </c>
      <c r="F229">
        <v>2.011965773712987E-3</v>
      </c>
    </row>
    <row r="230" spans="4:6">
      <c r="D230">
        <v>278</v>
      </c>
      <c r="E230">
        <v>8.7698961143547294</v>
      </c>
      <c r="F230">
        <v>1.9831507374998836E-3</v>
      </c>
    </row>
    <row r="231" spans="4:6">
      <c r="D231">
        <v>279</v>
      </c>
      <c r="E231">
        <v>8.7699084102900695</v>
      </c>
      <c r="F231">
        <v>1.9954466728400178E-3</v>
      </c>
    </row>
    <row r="232" spans="4:6">
      <c r="D232">
        <v>280</v>
      </c>
      <c r="E232">
        <v>8.7698834002905759</v>
      </c>
      <c r="F232">
        <v>1.9704366733463985E-3</v>
      </c>
    </row>
    <row r="233" spans="4:6">
      <c r="D233">
        <v>281</v>
      </c>
      <c r="E233">
        <v>8.769892017791971</v>
      </c>
      <c r="F233">
        <v>1.9790541747415347E-3</v>
      </c>
    </row>
    <row r="234" spans="4:6">
      <c r="D234">
        <v>282</v>
      </c>
      <c r="E234">
        <v>8.7698721029682751</v>
      </c>
      <c r="F234">
        <v>1.9591393510456356E-3</v>
      </c>
    </row>
    <row r="235" spans="4:6">
      <c r="D235">
        <v>283</v>
      </c>
      <c r="E235">
        <v>8.7698762585076651</v>
      </c>
      <c r="F235">
        <v>1.9632948904355629E-3</v>
      </c>
    </row>
    <row r="236" spans="4:6">
      <c r="D236">
        <v>284</v>
      </c>
      <c r="E236">
        <v>8.7698606687619147</v>
      </c>
      <c r="F236">
        <v>1.94770514468523E-3</v>
      </c>
    </row>
    <row r="237" spans="4:6">
      <c r="D237">
        <v>285</v>
      </c>
      <c r="E237">
        <v>8.7698605831515319</v>
      </c>
      <c r="F237">
        <v>1.9476195343024472E-3</v>
      </c>
    </row>
    <row r="238" spans="4:6">
      <c r="D238">
        <v>286</v>
      </c>
      <c r="E238">
        <v>8.7698492240842363</v>
      </c>
      <c r="F238">
        <v>1.9362604670067896E-3</v>
      </c>
    </row>
    <row r="239" spans="4:6">
      <c r="D239">
        <v>287</v>
      </c>
      <c r="E239">
        <v>8.7698450398314094</v>
      </c>
      <c r="F239">
        <v>1.9320762141799008E-3</v>
      </c>
    </row>
    <row r="240" spans="4:6">
      <c r="D240">
        <v>288</v>
      </c>
      <c r="E240">
        <v>8.7698377277070723</v>
      </c>
      <c r="F240">
        <v>1.9247640898427676E-3</v>
      </c>
    </row>
    <row r="241" spans="4:6">
      <c r="D241">
        <v>289</v>
      </c>
      <c r="E241">
        <v>8.7698302239084445</v>
      </c>
      <c r="F241">
        <v>1.9172602912149728E-3</v>
      </c>
    </row>
    <row r="242" spans="4:6">
      <c r="D242">
        <v>290</v>
      </c>
      <c r="E242">
        <v>8.7698261641895296</v>
      </c>
      <c r="F242">
        <v>1.9132005723001555E-3</v>
      </c>
    </row>
    <row r="243" spans="4:6">
      <c r="D243">
        <v>291</v>
      </c>
      <c r="E243">
        <v>8.7698153922701287</v>
      </c>
      <c r="F243">
        <v>1.9024286528992462E-3</v>
      </c>
    </row>
    <row r="244" spans="4:6">
      <c r="D244">
        <v>292</v>
      </c>
      <c r="E244">
        <v>8.7698145681525101</v>
      </c>
      <c r="F244">
        <v>1.9016045352806543E-3</v>
      </c>
    </row>
    <row r="245" spans="4:6">
      <c r="D245">
        <v>293</v>
      </c>
      <c r="E245">
        <v>8.7698006356323113</v>
      </c>
      <c r="F245">
        <v>1.8876720150817761E-3</v>
      </c>
    </row>
    <row r="246" spans="4:6">
      <c r="D246">
        <v>294</v>
      </c>
      <c r="E246">
        <v>8.7698028968164099</v>
      </c>
      <c r="F246">
        <v>1.8899331991804047E-3</v>
      </c>
    </row>
    <row r="247" spans="4:6">
      <c r="D247">
        <v>295</v>
      </c>
      <c r="E247">
        <v>8.7697862776030213</v>
      </c>
      <c r="F247">
        <v>1.8733139857918246E-3</v>
      </c>
    </row>
    <row r="248" spans="4:6">
      <c r="D248">
        <v>296</v>
      </c>
      <c r="E248">
        <v>8.7697911269980224</v>
      </c>
      <c r="F248">
        <v>1.878163380792941E-3</v>
      </c>
    </row>
    <row r="249" spans="4:6">
      <c r="D249">
        <v>297</v>
      </c>
      <c r="E249">
        <v>8.7697721009866072</v>
      </c>
      <c r="F249">
        <v>1.8591373693777058E-3</v>
      </c>
    </row>
    <row r="250" spans="4:6">
      <c r="D250">
        <v>298</v>
      </c>
      <c r="E250">
        <v>8.7697794227739863</v>
      </c>
      <c r="F250">
        <v>1.8664591567567612E-3</v>
      </c>
    </row>
    <row r="251" spans="4:6">
      <c r="D251">
        <v>299</v>
      </c>
      <c r="E251">
        <v>8.7697578871351762</v>
      </c>
      <c r="F251">
        <v>1.8449235179467394E-3</v>
      </c>
    </row>
    <row r="252" spans="4:6">
      <c r="D252">
        <v>300</v>
      </c>
      <c r="E252">
        <v>8.7697680890928353</v>
      </c>
      <c r="F252">
        <v>1.8551254756058455E-3</v>
      </c>
    </row>
    <row r="253" spans="4:6">
      <c r="D253">
        <v>301</v>
      </c>
      <c r="E253">
        <v>8.7697456842103385</v>
      </c>
      <c r="F253">
        <v>1.8327205931090162E-3</v>
      </c>
    </row>
    <row r="254" spans="4:6">
      <c r="D254">
        <v>302</v>
      </c>
      <c r="E254">
        <v>8.7697582426192735</v>
      </c>
      <c r="F254">
        <v>1.8452790020440091E-3</v>
      </c>
    </row>
    <row r="255" spans="4:6">
      <c r="D255">
        <v>303</v>
      </c>
      <c r="E255">
        <v>8.769733590133276</v>
      </c>
      <c r="F255">
        <v>1.8206265160465307E-3</v>
      </c>
    </row>
    <row r="256" spans="4:6">
      <c r="D256">
        <v>304</v>
      </c>
      <c r="E256">
        <v>8.7697487712026998</v>
      </c>
      <c r="F256">
        <v>1.835807585470306E-3</v>
      </c>
    </row>
    <row r="257" spans="4:6">
      <c r="D257">
        <v>305</v>
      </c>
      <c r="E257">
        <v>8.769721643243189</v>
      </c>
      <c r="F257">
        <v>1.8086796259595417E-3</v>
      </c>
    </row>
    <row r="258" spans="4:6">
      <c r="D258">
        <v>306</v>
      </c>
      <c r="E258">
        <v>8.7697391184054041</v>
      </c>
      <c r="F258">
        <v>1.8261547881746054E-3</v>
      </c>
    </row>
    <row r="259" spans="4:6">
      <c r="D259">
        <v>307</v>
      </c>
      <c r="E259">
        <v>8.7697096742009499</v>
      </c>
      <c r="F259">
        <v>1.79671058372044E-3</v>
      </c>
    </row>
    <row r="260" spans="4:6">
      <c r="D260">
        <v>308</v>
      </c>
      <c r="E260">
        <v>8.7697292602027783</v>
      </c>
      <c r="F260">
        <v>1.8162965855488267E-3</v>
      </c>
    </row>
    <row r="261" spans="4:6">
      <c r="D261">
        <v>309</v>
      </c>
      <c r="E261">
        <v>8.7696976080169406</v>
      </c>
      <c r="F261">
        <v>1.784644399711155E-3</v>
      </c>
    </row>
    <row r="262" spans="4:6">
      <c r="D262">
        <v>310</v>
      </c>
      <c r="E262">
        <v>8.7697192065266645</v>
      </c>
      <c r="F262">
        <v>1.8062429094349852E-3</v>
      </c>
    </row>
    <row r="263" spans="4:6">
      <c r="D263">
        <v>311</v>
      </c>
      <c r="E263">
        <v>8.7696854592045721</v>
      </c>
      <c r="F263">
        <v>1.772495587342604E-3</v>
      </c>
    </row>
    <row r="264" spans="4:6">
      <c r="D264">
        <v>312</v>
      </c>
      <c r="E264">
        <v>8.769709036920549</v>
      </c>
      <c r="F264">
        <v>1.7960733033195453E-3</v>
      </c>
    </row>
    <row r="265" spans="4:6">
      <c r="D265">
        <v>313</v>
      </c>
      <c r="E265">
        <v>8.7696732415966867</v>
      </c>
      <c r="F265">
        <v>1.7602779794572143E-3</v>
      </c>
    </row>
    <row r="266" spans="4:6">
      <c r="D266">
        <v>314</v>
      </c>
      <c r="E266">
        <v>8.7696988630998938</v>
      </c>
      <c r="F266">
        <v>1.7858994826642771E-3</v>
      </c>
    </row>
    <row r="267" spans="4:6">
      <c r="D267">
        <v>315</v>
      </c>
      <c r="E267">
        <v>8.7696609682298181</v>
      </c>
      <c r="F267">
        <v>1.7480046125886162E-3</v>
      </c>
    </row>
    <row r="268" spans="4:6">
      <c r="D268">
        <v>316</v>
      </c>
      <c r="E268">
        <v>8.769688517580283</v>
      </c>
      <c r="F268">
        <v>1.7755539630535111E-3</v>
      </c>
    </row>
    <row r="269" spans="4:6">
      <c r="D269">
        <v>317</v>
      </c>
      <c r="E269">
        <v>8.7696486513498009</v>
      </c>
      <c r="F269">
        <v>1.7356877325713782E-3</v>
      </c>
    </row>
    <row r="270" spans="4:6">
      <c r="D270">
        <v>318</v>
      </c>
      <c r="E270">
        <v>8.7696782148817949</v>
      </c>
      <c r="F270">
        <v>1.7652512645653928E-3</v>
      </c>
    </row>
    <row r="271" spans="4:6">
      <c r="D271">
        <v>319</v>
      </c>
      <c r="E271">
        <v>8.7696363688588566</v>
      </c>
      <c r="F271">
        <v>1.7234052416270629E-3</v>
      </c>
    </row>
    <row r="272" spans="4:6">
      <c r="D272">
        <v>320</v>
      </c>
      <c r="E272">
        <v>8.7696677805998</v>
      </c>
      <c r="F272">
        <v>1.7548169825705173E-3</v>
      </c>
    </row>
    <row r="273" spans="4:6">
      <c r="D273">
        <v>321</v>
      </c>
      <c r="E273">
        <v>8.769624159041669</v>
      </c>
      <c r="F273">
        <v>1.7111954244395378E-3</v>
      </c>
    </row>
    <row r="274" spans="4:6">
      <c r="D274">
        <v>322</v>
      </c>
      <c r="E274">
        <v>8.7696573878694029</v>
      </c>
      <c r="F274">
        <v>1.7444242521733599E-3</v>
      </c>
    </row>
    <row r="275" spans="4:6">
      <c r="D275">
        <v>323</v>
      </c>
      <c r="E275">
        <v>8.7696119348473065</v>
      </c>
      <c r="F275">
        <v>1.6989712300770066E-3</v>
      </c>
    </row>
    <row r="276" spans="4:6">
      <c r="D276">
        <v>324</v>
      </c>
      <c r="E276">
        <v>8.7696476540591526</v>
      </c>
      <c r="F276">
        <v>1.7346904419230924E-3</v>
      </c>
    </row>
    <row r="277" spans="4:6">
      <c r="D277">
        <v>325</v>
      </c>
      <c r="E277">
        <v>8.7695997107301249</v>
      </c>
      <c r="F277">
        <v>1.6867471128954037E-3</v>
      </c>
    </row>
    <row r="278" spans="4:6">
      <c r="D278">
        <v>326</v>
      </c>
      <c r="E278">
        <v>8.7696381285089817</v>
      </c>
      <c r="F278">
        <v>1.7251648917522289E-3</v>
      </c>
    </row>
    <row r="279" spans="4:6">
      <c r="D279">
        <v>327</v>
      </c>
      <c r="E279">
        <v>8.7695875315657474</v>
      </c>
      <c r="F279">
        <v>1.6745679485179465E-3</v>
      </c>
    </row>
    <row r="280" spans="4:6">
      <c r="D280">
        <v>328</v>
      </c>
      <c r="E280">
        <v>8.7696285060695374</v>
      </c>
      <c r="F280">
        <v>1.7155424523078722E-3</v>
      </c>
    </row>
    <row r="281" spans="4:6">
      <c r="D281">
        <v>329</v>
      </c>
      <c r="E281">
        <v>8.7695754505228347</v>
      </c>
      <c r="F281">
        <v>1.6624869056052205E-3</v>
      </c>
    </row>
    <row r="282" spans="4:6">
      <c r="D282">
        <v>330</v>
      </c>
      <c r="E282">
        <v>8.7696191902231053</v>
      </c>
      <c r="F282">
        <v>1.7062266058758269E-3</v>
      </c>
    </row>
    <row r="283" spans="4:6">
      <c r="D283">
        <v>331</v>
      </c>
      <c r="E283">
        <v>8.7695633897699743</v>
      </c>
      <c r="F283">
        <v>1.6504261527447994E-3</v>
      </c>
    </row>
    <row r="284" spans="4:6">
      <c r="D284">
        <v>332</v>
      </c>
      <c r="E284">
        <v>8.769609889226567</v>
      </c>
      <c r="F284">
        <v>1.6969256093375407E-3</v>
      </c>
    </row>
    <row r="285" spans="4:6">
      <c r="D285">
        <v>333</v>
      </c>
      <c r="E285">
        <v>8.7695514439062023</v>
      </c>
      <c r="F285">
        <v>1.6384802889728434E-3</v>
      </c>
    </row>
    <row r="286" spans="4:6">
      <c r="D286">
        <v>334</v>
      </c>
      <c r="E286">
        <v>8.7696005153603309</v>
      </c>
      <c r="F286">
        <v>1.6875517431014231E-3</v>
      </c>
    </row>
    <row r="287" spans="4:6">
      <c r="D287">
        <v>335</v>
      </c>
      <c r="E287">
        <v>8.7695397258106507</v>
      </c>
      <c r="F287">
        <v>1.6267621934211718E-3</v>
      </c>
    </row>
    <row r="288" spans="4:6">
      <c r="D288">
        <v>336</v>
      </c>
      <c r="E288">
        <v>8.7695925239980284</v>
      </c>
      <c r="F288">
        <v>1.6795603807988613E-3</v>
      </c>
    </row>
    <row r="289" spans="4:6">
      <c r="D289">
        <v>337</v>
      </c>
      <c r="E289">
        <v>8.7695281517938284</v>
      </c>
      <c r="F289">
        <v>1.6151881765988918E-3</v>
      </c>
    </row>
    <row r="290" spans="4:6">
      <c r="D290">
        <v>338</v>
      </c>
      <c r="E290">
        <v>8.7695846019975683</v>
      </c>
      <c r="F290">
        <v>1.6716383803387913E-3</v>
      </c>
    </row>
    <row r="291" spans="4:6">
      <c r="D291">
        <v>339</v>
      </c>
      <c r="E291">
        <v>8.769518190061147</v>
      </c>
      <c r="F291">
        <v>1.6052264439174735E-3</v>
      </c>
    </row>
    <row r="292" spans="4:6">
      <c r="D292">
        <v>340</v>
      </c>
      <c r="E292">
        <v>8.7695767042250043</v>
      </c>
      <c r="F292">
        <v>1.6637406077748551E-3</v>
      </c>
    </row>
    <row r="293" spans="4:6">
      <c r="D293">
        <v>341</v>
      </c>
      <c r="E293">
        <v>8.76950902348241</v>
      </c>
      <c r="F293">
        <v>1.5960598651805213E-3</v>
      </c>
    </row>
    <row r="294" spans="4:6">
      <c r="D294">
        <v>342</v>
      </c>
      <c r="E294">
        <v>8.7695686643912616</v>
      </c>
      <c r="F294">
        <v>1.6557007740320984E-3</v>
      </c>
    </row>
    <row r="295" spans="4:6">
      <c r="D295">
        <v>343</v>
      </c>
      <c r="E295">
        <v>8.7694997903806886</v>
      </c>
      <c r="F295">
        <v>1.5868267634591149E-3</v>
      </c>
    </row>
    <row r="296" spans="4:6">
      <c r="D296">
        <v>344</v>
      </c>
      <c r="E296">
        <v>8.7695604272123351</v>
      </c>
      <c r="F296">
        <v>1.6474635951055916E-3</v>
      </c>
    </row>
    <row r="297" spans="4:6">
      <c r="D297">
        <v>345</v>
      </c>
      <c r="E297">
        <v>8.7694914331701401</v>
      </c>
      <c r="F297">
        <v>1.578469552910633E-3</v>
      </c>
    </row>
    <row r="298" spans="4:6">
      <c r="D298">
        <v>346</v>
      </c>
      <c r="E298">
        <v>8.7695520035487924</v>
      </c>
      <c r="F298">
        <v>1.6390399315628912E-3</v>
      </c>
    </row>
    <row r="299" spans="4:6">
      <c r="D299">
        <v>347</v>
      </c>
      <c r="E299">
        <v>8.7694830902504712</v>
      </c>
      <c r="F299">
        <v>1.5701266332417418E-3</v>
      </c>
    </row>
    <row r="300" spans="4:6">
      <c r="D300">
        <v>348</v>
      </c>
      <c r="E300">
        <v>8.7695434104087528</v>
      </c>
      <c r="F300">
        <v>1.6304467915233545E-3</v>
      </c>
    </row>
    <row r="301" spans="4:6">
      <c r="D301">
        <v>349</v>
      </c>
      <c r="E301">
        <v>8.7694747215182893</v>
      </c>
      <c r="F301">
        <v>1.5617579010598348E-3</v>
      </c>
    </row>
    <row r="302" spans="4:6">
      <c r="D302">
        <v>350</v>
      </c>
      <c r="E302">
        <v>8.7695346469315538</v>
      </c>
      <c r="F302">
        <v>1.6216833143243292E-3</v>
      </c>
    </row>
    <row r="303" spans="4:6">
      <c r="D303">
        <v>351</v>
      </c>
      <c r="E303">
        <v>8.7694664222213579</v>
      </c>
      <c r="F303">
        <v>1.553458604128366E-3</v>
      </c>
    </row>
    <row r="304" spans="4:6">
      <c r="D304">
        <v>352</v>
      </c>
      <c r="E304">
        <v>8.7695257908337183</v>
      </c>
      <c r="F304">
        <v>1.6128272164888102E-3</v>
      </c>
    </row>
    <row r="305" spans="4:6">
      <c r="D305">
        <v>353</v>
      </c>
      <c r="E305">
        <v>8.7694580627517063</v>
      </c>
      <c r="F305">
        <v>1.5450991344767573E-3</v>
      </c>
    </row>
    <row r="306" spans="4:6">
      <c r="D306">
        <v>354</v>
      </c>
      <c r="E306">
        <v>8.7695168686508875</v>
      </c>
      <c r="F306">
        <v>1.6039050336580374E-3</v>
      </c>
    </row>
    <row r="307" spans="4:6">
      <c r="D307">
        <v>355</v>
      </c>
      <c r="E307">
        <v>8.7694496503161243</v>
      </c>
      <c r="F307">
        <v>1.5366866988948402E-3</v>
      </c>
    </row>
    <row r="308" spans="4:6">
      <c r="D308">
        <v>356</v>
      </c>
      <c r="E308">
        <v>8.7695078012468386</v>
      </c>
      <c r="F308">
        <v>1.5948376296091027E-3</v>
      </c>
    </row>
    <row r="309" spans="4:6">
      <c r="D309">
        <v>357</v>
      </c>
      <c r="E309">
        <v>8.7694411915841126</v>
      </c>
      <c r="F309">
        <v>1.5282279668831222E-3</v>
      </c>
    </row>
    <row r="310" spans="4:6">
      <c r="D310">
        <v>358</v>
      </c>
      <c r="E310">
        <v>8.7694986002437929</v>
      </c>
      <c r="F310">
        <v>1.5856366265634136E-3</v>
      </c>
    </row>
    <row r="311" spans="4:6">
      <c r="D311">
        <v>359</v>
      </c>
      <c r="E311">
        <v>8.7694327380206687</v>
      </c>
      <c r="F311">
        <v>1.5197744034392002E-3</v>
      </c>
    </row>
    <row r="312" spans="4:6">
      <c r="D312">
        <v>360</v>
      </c>
      <c r="E312">
        <v>8.7694892826487507</v>
      </c>
      <c r="F312">
        <v>1.5763190315212228E-3</v>
      </c>
    </row>
    <row r="313" spans="4:6">
      <c r="D313">
        <v>361</v>
      </c>
      <c r="E313">
        <v>8.7694242542958918</v>
      </c>
      <c r="F313">
        <v>1.5112906786622915E-3</v>
      </c>
    </row>
    <row r="314" spans="4:6">
      <c r="D314">
        <v>362</v>
      </c>
      <c r="E314">
        <v>8.7694798405978283</v>
      </c>
      <c r="F314">
        <v>1.5668769805987637E-3</v>
      </c>
    </row>
    <row r="315" spans="4:6">
      <c r="D315">
        <v>363</v>
      </c>
      <c r="E315">
        <v>8.7694158585477808</v>
      </c>
      <c r="F315">
        <v>1.5028949305513351E-3</v>
      </c>
    </row>
    <row r="316" spans="4:6">
      <c r="D316">
        <v>364</v>
      </c>
      <c r="E316">
        <v>8.7694703740984767</v>
      </c>
      <c r="F316">
        <v>1.5574104812472456E-3</v>
      </c>
    </row>
    <row r="317" spans="4:6">
      <c r="D317">
        <v>365</v>
      </c>
      <c r="E317">
        <v>8.7694075682611281</v>
      </c>
      <c r="F317">
        <v>1.4946046438986116E-3</v>
      </c>
    </row>
    <row r="318" spans="4:6">
      <c r="D318">
        <v>366</v>
      </c>
      <c r="E318">
        <v>8.7694608288231706</v>
      </c>
      <c r="F318">
        <v>1.5478652059410791E-3</v>
      </c>
    </row>
    <row r="319" spans="4:6">
      <c r="D319">
        <v>367</v>
      </c>
      <c r="E319">
        <v>8.7693993441507949</v>
      </c>
      <c r="F319">
        <v>1.4863805335654234E-3</v>
      </c>
    </row>
    <row r="320" spans="4:6">
      <c r="D320">
        <v>368</v>
      </c>
      <c r="E320">
        <v>8.7694513452806575</v>
      </c>
      <c r="F320">
        <v>1.5383816634280123E-3</v>
      </c>
    </row>
    <row r="321" spans="4:6">
      <c r="D321">
        <v>369</v>
      </c>
      <c r="E321">
        <v>8.7693915504573585</v>
      </c>
      <c r="F321">
        <v>1.4785868401290259E-3</v>
      </c>
    </row>
    <row r="322" spans="4:6">
      <c r="D322">
        <v>370</v>
      </c>
      <c r="E322">
        <v>8.7694418567356269</v>
      </c>
      <c r="F322">
        <v>1.5288931183974341E-3</v>
      </c>
    </row>
    <row r="323" spans="4:6">
      <c r="D323">
        <v>371</v>
      </c>
      <c r="E323">
        <v>8.7693839704655225</v>
      </c>
      <c r="F323">
        <v>1.4710068482930438E-3</v>
      </c>
    </row>
    <row r="324" spans="4:6">
      <c r="D324">
        <v>372</v>
      </c>
      <c r="E324">
        <v>8.7694322822810609</v>
      </c>
      <c r="F324">
        <v>1.5193186638313705E-3</v>
      </c>
    </row>
    <row r="325" spans="4:6">
      <c r="D325">
        <v>373</v>
      </c>
      <c r="E325">
        <v>8.7693763640115296</v>
      </c>
      <c r="F325">
        <v>1.4634003943001517E-3</v>
      </c>
    </row>
    <row r="326" spans="4:6">
      <c r="D326">
        <v>374</v>
      </c>
      <c r="E326">
        <v>8.7694226175673755</v>
      </c>
      <c r="F326">
        <v>1.5096539501460171E-3</v>
      </c>
    </row>
    <row r="327" spans="4:6">
      <c r="D327">
        <v>375</v>
      </c>
      <c r="E327">
        <v>8.7693688306273696</v>
      </c>
      <c r="F327">
        <v>1.4558670101401106E-3</v>
      </c>
    </row>
    <row r="328" spans="4:6">
      <c r="D328">
        <v>376</v>
      </c>
      <c r="E328">
        <v>8.7694128691481641</v>
      </c>
      <c r="F328">
        <v>1.4999055309345977E-3</v>
      </c>
    </row>
    <row r="329" spans="4:6">
      <c r="D329">
        <v>377</v>
      </c>
      <c r="E329">
        <v>8.769361401126412</v>
      </c>
      <c r="F329">
        <v>1.4484375091825541E-3</v>
      </c>
    </row>
    <row r="330" spans="4:6">
      <c r="D330">
        <v>378</v>
      </c>
      <c r="E330">
        <v>8.7694031532307104</v>
      </c>
      <c r="F330">
        <v>1.4901896134809078E-3</v>
      </c>
    </row>
    <row r="331" spans="4:6">
      <c r="D331">
        <v>379</v>
      </c>
      <c r="E331">
        <v>8.7693552253825953</v>
      </c>
      <c r="F331">
        <v>1.442261765365771E-3</v>
      </c>
    </row>
    <row r="332" spans="4:6">
      <c r="D332">
        <v>380</v>
      </c>
      <c r="E332">
        <v>8.7693936159056101</v>
      </c>
      <c r="F332">
        <v>1.4806522883805684E-3</v>
      </c>
    </row>
    <row r="333" spans="4:6">
      <c r="D333">
        <v>381</v>
      </c>
      <c r="E333">
        <v>8.7693498145590389</v>
      </c>
      <c r="F333">
        <v>1.4368509418094533E-3</v>
      </c>
    </row>
    <row r="334" spans="4:6">
      <c r="D334">
        <v>382</v>
      </c>
      <c r="E334">
        <v>8.7693841652887645</v>
      </c>
      <c r="F334">
        <v>1.4712016715350273E-3</v>
      </c>
    </row>
    <row r="335" spans="4:6">
      <c r="D335">
        <v>383</v>
      </c>
      <c r="E335">
        <v>8.7693443020690243</v>
      </c>
      <c r="F335">
        <v>1.4313384517947725E-3</v>
      </c>
    </row>
    <row r="336" spans="4:6">
      <c r="D336">
        <v>384</v>
      </c>
      <c r="E336">
        <v>8.7693754064630038</v>
      </c>
      <c r="F336">
        <v>1.4624428457743477E-3</v>
      </c>
    </row>
    <row r="337" spans="4:6">
      <c r="D337">
        <v>385</v>
      </c>
      <c r="E337">
        <v>8.7693391381833141</v>
      </c>
      <c r="F337">
        <v>1.4261745660846259E-3</v>
      </c>
    </row>
    <row r="338" spans="4:6">
      <c r="D338">
        <v>386</v>
      </c>
      <c r="E338">
        <v>8.7693671820373407</v>
      </c>
      <c r="F338">
        <v>1.4542184201111752E-3</v>
      </c>
    </row>
    <row r="339" spans="4:6">
      <c r="D339">
        <v>387</v>
      </c>
      <c r="E339">
        <v>8.7693338670323993</v>
      </c>
      <c r="F339">
        <v>1.4209034151697608E-3</v>
      </c>
    </row>
    <row r="340" spans="4:6">
      <c r="D340">
        <v>388</v>
      </c>
      <c r="E340">
        <v>8.7693588609427877</v>
      </c>
      <c r="F340">
        <v>1.4458973255582208E-3</v>
      </c>
    </row>
    <row r="341" spans="4:6">
      <c r="D341">
        <v>389</v>
      </c>
      <c r="E341">
        <v>8.769328497167713</v>
      </c>
      <c r="F341">
        <v>1.4155335504835165E-3</v>
      </c>
    </row>
    <row r="342" spans="4:6">
      <c r="D342">
        <v>390</v>
      </c>
      <c r="E342">
        <v>8.7693504446002084</v>
      </c>
      <c r="F342">
        <v>1.4374809829789115E-3</v>
      </c>
    </row>
    <row r="343" spans="4:6">
      <c r="D343">
        <v>391</v>
      </c>
      <c r="E343">
        <v>8.7693230430538218</v>
      </c>
      <c r="F343">
        <v>1.4100794365923264E-3</v>
      </c>
    </row>
    <row r="344" spans="4:6">
      <c r="D344">
        <v>392</v>
      </c>
      <c r="E344">
        <v>8.7693419324051067</v>
      </c>
      <c r="F344">
        <v>1.4289687878772384E-3</v>
      </c>
    </row>
    <row r="345" spans="4:6">
      <c r="D345">
        <v>393</v>
      </c>
      <c r="E345">
        <v>8.7693175032486543</v>
      </c>
      <c r="F345">
        <v>1.4045396314248393E-3</v>
      </c>
    </row>
    <row r="346" spans="4:6">
      <c r="D346">
        <v>394</v>
      </c>
      <c r="E346">
        <v>8.7693333317239031</v>
      </c>
      <c r="F346">
        <v>1.4203681066735641E-3</v>
      </c>
    </row>
    <row r="347" spans="4:6">
      <c r="D347">
        <v>395</v>
      </c>
      <c r="E347">
        <v>8.7693118878492733</v>
      </c>
      <c r="F347">
        <v>1.3989242320437967E-3</v>
      </c>
    </row>
    <row r="348" spans="4:6">
      <c r="D348">
        <v>396</v>
      </c>
      <c r="E348">
        <v>8.769324659132419</v>
      </c>
      <c r="F348">
        <v>1.4116955151894928E-3</v>
      </c>
    </row>
    <row r="349" spans="4:6">
      <c r="D349">
        <v>397</v>
      </c>
      <c r="E349">
        <v>8.7693062343896919</v>
      </c>
      <c r="F349">
        <v>1.3932707724624294E-3</v>
      </c>
    </row>
    <row r="350" spans="4:6">
      <c r="D350">
        <v>398</v>
      </c>
      <c r="E350">
        <v>8.7693160094614129</v>
      </c>
      <c r="F350">
        <v>1.4030458441833815E-3</v>
      </c>
    </row>
    <row r="351" spans="4:6">
      <c r="D351">
        <v>399</v>
      </c>
      <c r="E351">
        <v>8.7693005296266016</v>
      </c>
      <c r="F351">
        <v>1.3875660093720654E-3</v>
      </c>
    </row>
    <row r="352" spans="4:6">
      <c r="D352">
        <v>400</v>
      </c>
      <c r="E352">
        <v>8.7693073945744118</v>
      </c>
      <c r="F352">
        <v>1.3944309571822799E-3</v>
      </c>
    </row>
    <row r="353" spans="4:6">
      <c r="D353">
        <v>401</v>
      </c>
      <c r="E353">
        <v>8.7692949054425231</v>
      </c>
      <c r="F353">
        <v>1.3819418252936089E-3</v>
      </c>
    </row>
    <row r="354" spans="4:6">
      <c r="D354">
        <v>402</v>
      </c>
      <c r="E354">
        <v>8.7692987790484338</v>
      </c>
      <c r="F354">
        <v>1.3858154312043069E-3</v>
      </c>
    </row>
    <row r="355" spans="4:6">
      <c r="D355">
        <v>403</v>
      </c>
      <c r="E355">
        <v>8.7692892825420969</v>
      </c>
      <c r="F355">
        <v>1.3763189248674479E-3</v>
      </c>
    </row>
    <row r="356" spans="4:6">
      <c r="D356">
        <v>404</v>
      </c>
      <c r="E356">
        <v>8.7692901599493212</v>
      </c>
      <c r="F356">
        <v>1.3771963320916569E-3</v>
      </c>
    </row>
    <row r="357" spans="4:6">
      <c r="D357">
        <v>405</v>
      </c>
      <c r="E357">
        <v>8.7692835727550609</v>
      </c>
      <c r="F357">
        <v>1.3706091378313801E-3</v>
      </c>
    </row>
    <row r="358" spans="4:6">
      <c r="D358">
        <v>406</v>
      </c>
      <c r="E358">
        <v>8.7692817081948817</v>
      </c>
      <c r="F358">
        <v>1.3687445776522367E-3</v>
      </c>
    </row>
    <row r="359" spans="4:6">
      <c r="D359">
        <v>407</v>
      </c>
      <c r="E359">
        <v>8.7692777792357042</v>
      </c>
      <c r="F359">
        <v>1.3648156184746796E-3</v>
      </c>
    </row>
    <row r="360" spans="4:6">
      <c r="D360">
        <v>408</v>
      </c>
      <c r="E360">
        <v>8.7692737847035946</v>
      </c>
      <c r="F360">
        <v>1.3608210863651493E-3</v>
      </c>
    </row>
    <row r="361" spans="4:6">
      <c r="D361">
        <v>409</v>
      </c>
      <c r="E361">
        <v>8.7692719253012168</v>
      </c>
      <c r="F361">
        <v>1.3589616839873031E-3</v>
      </c>
    </row>
    <row r="362" spans="4:6">
      <c r="D362">
        <v>410</v>
      </c>
      <c r="E362">
        <v>8.7692658066807763</v>
      </c>
      <c r="F362">
        <v>1.3528430635467714E-3</v>
      </c>
    </row>
    <row r="363" spans="4:6">
      <c r="D363">
        <v>411</v>
      </c>
      <c r="E363">
        <v>8.7692661078264251</v>
      </c>
      <c r="F363">
        <v>1.3531442091956336E-3</v>
      </c>
    </row>
    <row r="364" spans="4:6">
      <c r="D364">
        <v>412</v>
      </c>
      <c r="E364">
        <v>8.7692578740574341</v>
      </c>
      <c r="F364">
        <v>1.344910440204572E-3</v>
      </c>
    </row>
    <row r="365" spans="4:6">
      <c r="D365">
        <v>413</v>
      </c>
      <c r="E365">
        <v>8.7692606111083062</v>
      </c>
      <c r="F365">
        <v>1.3476474910767422E-3</v>
      </c>
    </row>
    <row r="366" spans="4:6">
      <c r="D366">
        <v>414</v>
      </c>
      <c r="E366">
        <v>8.7692500136183824</v>
      </c>
      <c r="F366">
        <v>1.3370500011529174E-3</v>
      </c>
    </row>
    <row r="367" spans="4:6">
      <c r="D367">
        <v>415</v>
      </c>
      <c r="E367">
        <v>8.7692554404139305</v>
      </c>
      <c r="F367">
        <v>1.3424767967009643E-3</v>
      </c>
    </row>
    <row r="368" spans="4:6">
      <c r="D368">
        <v>416</v>
      </c>
      <c r="E368">
        <v>8.7692424197643604</v>
      </c>
      <c r="F368">
        <v>1.3294561471308697E-3</v>
      </c>
    </row>
    <row r="369" spans="4:6">
      <c r="D369">
        <v>417</v>
      </c>
      <c r="E369">
        <v>8.7692502540874404</v>
      </c>
      <c r="F369">
        <v>1.3372904702109167E-3</v>
      </c>
    </row>
    <row r="370" spans="4:6">
      <c r="D370">
        <v>418</v>
      </c>
      <c r="E370">
        <v>8.7692349073232698</v>
      </c>
      <c r="F370">
        <v>1.3219437060403294E-3</v>
      </c>
    </row>
    <row r="371" spans="4:6">
      <c r="D371">
        <v>419</v>
      </c>
      <c r="E371">
        <v>8.7692449720180683</v>
      </c>
      <c r="F371">
        <v>1.3320084008388022E-3</v>
      </c>
    </row>
    <row r="372" spans="4:6">
      <c r="D372">
        <v>420</v>
      </c>
      <c r="E372">
        <v>8.7692273559910561</v>
      </c>
      <c r="F372">
        <v>1.3143923738265784E-3</v>
      </c>
    </row>
    <row r="373" spans="4:6">
      <c r="D373">
        <v>421</v>
      </c>
      <c r="E373">
        <v>8.7692396777756585</v>
      </c>
      <c r="F373">
        <v>1.3267141584289988E-3</v>
      </c>
    </row>
    <row r="374" spans="4:6">
      <c r="D374">
        <v>422</v>
      </c>
      <c r="E374">
        <v>8.7692197651932062</v>
      </c>
      <c r="F374">
        <v>1.3068015759767349E-3</v>
      </c>
    </row>
    <row r="375" spans="4:6">
      <c r="D375">
        <v>423</v>
      </c>
      <c r="E375">
        <v>8.7692344641103777</v>
      </c>
      <c r="F375">
        <v>1.3215004931481644E-3</v>
      </c>
    </row>
    <row r="376" spans="4:6">
      <c r="D376">
        <v>424</v>
      </c>
      <c r="E376">
        <v>8.7692121401252745</v>
      </c>
      <c r="F376">
        <v>1.2991765080450079E-3</v>
      </c>
    </row>
    <row r="377" spans="4:6">
      <c r="D377">
        <v>425</v>
      </c>
      <c r="E377">
        <v>8.7692291568018632</v>
      </c>
      <c r="F377">
        <v>1.3161931846337183E-3</v>
      </c>
    </row>
    <row r="378" spans="4:6">
      <c r="D378">
        <v>426</v>
      </c>
      <c r="E378">
        <v>8.7692044857814047</v>
      </c>
      <c r="F378">
        <v>1.2915221641751629E-3</v>
      </c>
    </row>
    <row r="379" spans="4:6">
      <c r="D379">
        <v>427</v>
      </c>
      <c r="E379">
        <v>8.7692237673116349</v>
      </c>
      <c r="F379">
        <v>1.3108036944053936E-3</v>
      </c>
    </row>
    <row r="380" spans="4:6">
      <c r="D380">
        <v>428</v>
      </c>
      <c r="E380">
        <v>8.7691968085635335</v>
      </c>
      <c r="F380">
        <v>1.2838449463039581E-3</v>
      </c>
    </row>
    <row r="381" spans="4:6">
      <c r="D381">
        <v>429</v>
      </c>
      <c r="E381">
        <v>8.7692191919510076</v>
      </c>
      <c r="F381">
        <v>1.3062283337781366E-3</v>
      </c>
    </row>
    <row r="382" spans="4:6">
      <c r="D382">
        <v>430</v>
      </c>
      <c r="E382">
        <v>8.7691901486944133</v>
      </c>
      <c r="F382">
        <v>1.2771850771837734E-3</v>
      </c>
    </row>
    <row r="383" spans="4:6">
      <c r="D383">
        <v>431</v>
      </c>
      <c r="E383">
        <v>8.7692144878293341</v>
      </c>
      <c r="F383">
        <v>1.30152421210461E-3</v>
      </c>
    </row>
    <row r="384" spans="4:6">
      <c r="D384">
        <v>432</v>
      </c>
      <c r="E384">
        <v>8.7691836313161406</v>
      </c>
      <c r="F384">
        <v>1.2706676989111543E-3</v>
      </c>
    </row>
    <row r="385" spans="4:6">
      <c r="D385">
        <v>433</v>
      </c>
      <c r="E385">
        <v>8.7692097018691122</v>
      </c>
      <c r="F385">
        <v>1.2967382518827009E-3</v>
      </c>
    </row>
    <row r="386" spans="4:6">
      <c r="D386">
        <v>434</v>
      </c>
      <c r="E386">
        <v>8.7691773238616211</v>
      </c>
      <c r="F386">
        <v>1.2643602443915825E-3</v>
      </c>
    </row>
    <row r="387" spans="4:6">
      <c r="D387">
        <v>435</v>
      </c>
      <c r="E387">
        <v>8.7692048973521057</v>
      </c>
      <c r="F387">
        <v>1.2919337348762383E-3</v>
      </c>
    </row>
    <row r="388" spans="4:6">
      <c r="D388">
        <v>436</v>
      </c>
      <c r="E388">
        <v>8.7691715834549786</v>
      </c>
      <c r="F388">
        <v>1.2586198377491087E-3</v>
      </c>
    </row>
    <row r="389" spans="4:6">
      <c r="D389">
        <v>437</v>
      </c>
      <c r="E389">
        <v>8.769200020308535</v>
      </c>
      <c r="F389">
        <v>1.287056691305466E-3</v>
      </c>
    </row>
    <row r="390" spans="4:6">
      <c r="D390">
        <v>438</v>
      </c>
      <c r="E390">
        <v>8.7691657880692393</v>
      </c>
      <c r="F390">
        <v>1.2528244520098042E-3</v>
      </c>
    </row>
    <row r="391" spans="4:6">
      <c r="D391">
        <v>439</v>
      </c>
      <c r="E391">
        <v>8.7691950297840631</v>
      </c>
      <c r="F391">
        <v>1.2820661668335731E-3</v>
      </c>
    </row>
    <row r="392" spans="4:6">
      <c r="D392">
        <v>440</v>
      </c>
      <c r="E392">
        <v>8.7691599533216209</v>
      </c>
      <c r="F392">
        <v>1.2469897043914102E-3</v>
      </c>
    </row>
    <row r="393" spans="4:6">
      <c r="D393">
        <v>441</v>
      </c>
      <c r="E393">
        <v>8.7691899316205983</v>
      </c>
      <c r="F393">
        <v>1.2769680033688502E-3</v>
      </c>
    </row>
    <row r="394" spans="4:6">
      <c r="D394">
        <v>442</v>
      </c>
      <c r="E394">
        <v>8.7691540912712362</v>
      </c>
      <c r="F394">
        <v>1.2411276540067462E-3</v>
      </c>
    </row>
    <row r="395" spans="4:6">
      <c r="D395">
        <v>443</v>
      </c>
      <c r="E395">
        <v>8.7691847560440674</v>
      </c>
      <c r="F395">
        <v>1.2717924268379477E-3</v>
      </c>
    </row>
    <row r="396" spans="4:6">
      <c r="D396">
        <v>444</v>
      </c>
      <c r="E396">
        <v>8.7691482824397795</v>
      </c>
      <c r="F396">
        <v>1.2353188225500134E-3</v>
      </c>
    </row>
    <row r="397" spans="4:6">
      <c r="D397">
        <v>445</v>
      </c>
      <c r="E397">
        <v>8.7691794696920002</v>
      </c>
      <c r="F397">
        <v>1.2665060747707457E-3</v>
      </c>
    </row>
    <row r="398" spans="4:6">
      <c r="D398">
        <v>446</v>
      </c>
      <c r="E398">
        <v>8.7691424292209614</v>
      </c>
      <c r="F398">
        <v>1.2294656037319385E-3</v>
      </c>
    </row>
    <row r="399" spans="4:6">
      <c r="D399">
        <v>447</v>
      </c>
      <c r="E399">
        <v>8.7691742202721521</v>
      </c>
      <c r="F399">
        <v>1.2612566549226045E-3</v>
      </c>
    </row>
    <row r="400" spans="4:6">
      <c r="D400">
        <v>448</v>
      </c>
      <c r="E400">
        <v>8.7691365615312851</v>
      </c>
      <c r="F400">
        <v>1.2235979140555742E-3</v>
      </c>
    </row>
    <row r="401" spans="4:6">
      <c r="D401">
        <v>449</v>
      </c>
      <c r="E401">
        <v>8.7691690119766275</v>
      </c>
      <c r="F401">
        <v>1.2560483593979654E-3</v>
      </c>
    </row>
    <row r="402" spans="4:6">
      <c r="D402">
        <v>450</v>
      </c>
      <c r="E402">
        <v>8.7691307403903433</v>
      </c>
      <c r="F402">
        <v>1.2177767731138545E-3</v>
      </c>
    </row>
    <row r="403" spans="4:6">
      <c r="D403">
        <v>451</v>
      </c>
      <c r="E403">
        <v>8.7691638552159983</v>
      </c>
      <c r="F403">
        <v>1.2508915987687885E-3</v>
      </c>
    </row>
    <row r="404" spans="4:6">
      <c r="D404">
        <v>452</v>
      </c>
      <c r="E404">
        <v>8.7691248895090883</v>
      </c>
      <c r="F404">
        <v>1.2119258918588116E-3</v>
      </c>
    </row>
    <row r="405" spans="4:6">
      <c r="D405">
        <v>453</v>
      </c>
      <c r="E405">
        <v>8.7691586415499501</v>
      </c>
      <c r="F405">
        <v>1.245677932720568E-3</v>
      </c>
    </row>
    <row r="406" spans="4:6">
      <c r="D406">
        <v>454</v>
      </c>
      <c r="E406">
        <v>8.7691190055354902</v>
      </c>
      <c r="F406">
        <v>1.2060419182606807E-3</v>
      </c>
    </row>
    <row r="407" spans="4:6">
      <c r="D407">
        <v>455</v>
      </c>
      <c r="E407">
        <v>8.7691533280732372</v>
      </c>
      <c r="F407">
        <v>1.2403644560077254E-3</v>
      </c>
    </row>
    <row r="408" spans="4:6">
      <c r="D408">
        <v>456</v>
      </c>
      <c r="E408">
        <v>8.76911309478443</v>
      </c>
      <c r="F408">
        <v>1.2001311672005244E-3</v>
      </c>
    </row>
    <row r="409" spans="4:6">
      <c r="D409">
        <v>457</v>
      </c>
      <c r="E409">
        <v>8.7691479154918337</v>
      </c>
      <c r="F409">
        <v>1.2349518746042065E-3</v>
      </c>
    </row>
    <row r="410" spans="4:6">
      <c r="D410">
        <v>458</v>
      </c>
      <c r="E410">
        <v>8.7691071699073166</v>
      </c>
      <c r="F410">
        <v>1.194206290087152E-3</v>
      </c>
    </row>
    <row r="411" spans="4:6">
      <c r="D411">
        <v>459</v>
      </c>
      <c r="E411">
        <v>8.7691424130573683</v>
      </c>
      <c r="F411">
        <v>1.2294494401388079E-3</v>
      </c>
    </row>
    <row r="412" spans="4:6">
      <c r="D412">
        <v>460</v>
      </c>
      <c r="E412">
        <v>8.769101227012257</v>
      </c>
      <c r="F412">
        <v>1.1882633950275334E-3</v>
      </c>
    </row>
    <row r="413" spans="4:6">
      <c r="D413">
        <v>461</v>
      </c>
      <c r="E413">
        <v>8.7691369584356291</v>
      </c>
      <c r="F413">
        <v>1.2239948183996319E-3</v>
      </c>
    </row>
    <row r="414" spans="4:6">
      <c r="D414">
        <v>462</v>
      </c>
      <c r="E414">
        <v>8.7690952661201162</v>
      </c>
      <c r="F414">
        <v>1.1823025028867562E-3</v>
      </c>
    </row>
    <row r="415" spans="4:6">
      <c r="D415">
        <v>463</v>
      </c>
      <c r="E415">
        <v>8.7691315653020414</v>
      </c>
      <c r="F415">
        <v>1.2186016848119152E-3</v>
      </c>
    </row>
    <row r="416" spans="4:6">
      <c r="D416">
        <v>464</v>
      </c>
      <c r="E416">
        <v>8.7690893521633448</v>
      </c>
      <c r="F416">
        <v>1.1763885461153478E-3</v>
      </c>
    </row>
    <row r="417" spans="4:6">
      <c r="D417">
        <v>465</v>
      </c>
      <c r="E417">
        <v>8.7691261257955482</v>
      </c>
      <c r="F417">
        <v>1.213162178318683E-3</v>
      </c>
    </row>
    <row r="418" spans="4:6">
      <c r="D418">
        <v>466</v>
      </c>
      <c r="E418">
        <v>8.769083570514459</v>
      </c>
      <c r="F418">
        <v>1.1706068972294759E-3</v>
      </c>
    </row>
    <row r="419" spans="4:6">
      <c r="D419">
        <v>467</v>
      </c>
      <c r="E419">
        <v>8.769120633170294</v>
      </c>
      <c r="F419">
        <v>1.2076695530645054E-3</v>
      </c>
    </row>
    <row r="420" spans="4:6">
      <c r="D420">
        <v>468</v>
      </c>
      <c r="E420">
        <v>8.769077775666652</v>
      </c>
      <c r="F420">
        <v>1.1648120494225367E-3</v>
      </c>
    </row>
    <row r="421" spans="4:6">
      <c r="D421">
        <v>469</v>
      </c>
      <c r="E421">
        <v>8.7691153344611354</v>
      </c>
      <c r="F421">
        <v>1.2023708439059533E-3</v>
      </c>
    </row>
    <row r="422" spans="4:6">
      <c r="D422">
        <v>470</v>
      </c>
      <c r="E422">
        <v>8.7690721202520621</v>
      </c>
      <c r="F422">
        <v>1.1591566348325699E-3</v>
      </c>
    </row>
    <row r="423" spans="4:6">
      <c r="D423">
        <v>471</v>
      </c>
      <c r="E423">
        <v>8.7691102652638779</v>
      </c>
      <c r="F423">
        <v>1.197301646648441E-3</v>
      </c>
    </row>
    <row r="424" spans="4:6">
      <c r="D424">
        <v>472</v>
      </c>
      <c r="E424">
        <v>8.7690665007134729</v>
      </c>
      <c r="F424">
        <v>1.1535370962434399E-3</v>
      </c>
    </row>
    <row r="425" spans="4:6">
      <c r="D425">
        <v>473</v>
      </c>
      <c r="E425">
        <v>8.7691052123535602</v>
      </c>
      <c r="F425">
        <v>1.1922487363307255E-3</v>
      </c>
    </row>
    <row r="426" spans="4:6">
      <c r="D426">
        <v>474</v>
      </c>
      <c r="E426">
        <v>8.7690617341546453</v>
      </c>
      <c r="F426">
        <v>1.1487705374157997E-3</v>
      </c>
    </row>
    <row r="427" spans="4:6">
      <c r="D427">
        <v>475</v>
      </c>
      <c r="E427">
        <v>8.769100697064621</v>
      </c>
      <c r="F427">
        <v>1.1877334473915369E-3</v>
      </c>
    </row>
    <row r="428" spans="4:6">
      <c r="D428">
        <v>476</v>
      </c>
      <c r="E428">
        <v>8.76905709647016</v>
      </c>
      <c r="F428">
        <v>1.1441328529304684E-3</v>
      </c>
    </row>
    <row r="429" spans="4:6">
      <c r="D429">
        <v>477</v>
      </c>
      <c r="E429">
        <v>8.7690961311486522</v>
      </c>
      <c r="F429">
        <v>1.1831675314226686E-3</v>
      </c>
    </row>
    <row r="430" spans="4:6">
      <c r="D430">
        <v>478</v>
      </c>
      <c r="E430">
        <v>8.7690524207962177</v>
      </c>
      <c r="F430">
        <v>1.1394571789882235E-3</v>
      </c>
    </row>
    <row r="431" spans="4:6">
      <c r="D431">
        <v>479</v>
      </c>
      <c r="E431">
        <v>8.7690914803634197</v>
      </c>
      <c r="F431">
        <v>1.1785167461901835E-3</v>
      </c>
    </row>
    <row r="432" spans="4:6">
      <c r="D432">
        <v>480</v>
      </c>
      <c r="E432">
        <v>8.7690477280398831</v>
      </c>
      <c r="F432">
        <v>1.1347644226535891E-3</v>
      </c>
    </row>
    <row r="433" spans="4:6">
      <c r="D433">
        <v>481</v>
      </c>
      <c r="E433">
        <v>8.7690867467407276</v>
      </c>
      <c r="F433">
        <v>1.17378312349814E-3</v>
      </c>
    </row>
    <row r="434" spans="4:6">
      <c r="D434">
        <v>482</v>
      </c>
      <c r="E434">
        <v>8.76904305167937</v>
      </c>
      <c r="F434">
        <v>1.130088062140544E-3</v>
      </c>
    </row>
    <row r="435" spans="4:6">
      <c r="D435">
        <v>483</v>
      </c>
      <c r="E435">
        <v>8.769082004722824</v>
      </c>
      <c r="F435">
        <v>1.1690411055944594E-3</v>
      </c>
    </row>
    <row r="436" spans="4:6">
      <c r="D436">
        <v>484</v>
      </c>
      <c r="E436">
        <v>8.7690383581547913</v>
      </c>
      <c r="F436">
        <v>1.1253945375617747E-3</v>
      </c>
    </row>
    <row r="437" spans="4:6">
      <c r="D437">
        <v>485</v>
      </c>
      <c r="E437">
        <v>8.7690772862535198</v>
      </c>
      <c r="F437">
        <v>1.1643226362902936E-3</v>
      </c>
    </row>
    <row r="438" spans="4:6">
      <c r="D438">
        <v>486</v>
      </c>
      <c r="E438">
        <v>8.769033648207758</v>
      </c>
      <c r="F438">
        <v>1.1206845905284979E-3</v>
      </c>
    </row>
    <row r="439" spans="4:6">
      <c r="D439">
        <v>487</v>
      </c>
      <c r="E439">
        <v>8.7690725999728141</v>
      </c>
      <c r="F439">
        <v>1.1596363555845812E-3</v>
      </c>
    </row>
    <row r="440" spans="4:6">
      <c r="D440">
        <v>488</v>
      </c>
      <c r="E440">
        <v>8.769029225436217</v>
      </c>
      <c r="F440">
        <v>1.1162618189874962E-3</v>
      </c>
    </row>
    <row r="441" spans="4:6">
      <c r="D441">
        <v>489</v>
      </c>
      <c r="E441">
        <v>8.7690678446095536</v>
      </c>
      <c r="F441">
        <v>1.154880992324081E-3</v>
      </c>
    </row>
    <row r="442" spans="4:6">
      <c r="D442">
        <v>490</v>
      </c>
      <c r="E442">
        <v>8.7690250104337437</v>
      </c>
      <c r="F442">
        <v>1.1120468165142228E-3</v>
      </c>
    </row>
    <row r="443" spans="4:6">
      <c r="D443">
        <v>491</v>
      </c>
      <c r="E443">
        <v>8.7690631248988726</v>
      </c>
      <c r="F443">
        <v>1.1501612816431361E-3</v>
      </c>
    </row>
    <row r="444" spans="4:6">
      <c r="D444">
        <v>492</v>
      </c>
      <c r="E444">
        <v>8.7690209682915885</v>
      </c>
      <c r="F444">
        <v>1.1080046743590088E-3</v>
      </c>
    </row>
    <row r="445" spans="4:6">
      <c r="D445">
        <v>493</v>
      </c>
      <c r="E445">
        <v>8.7690584523864814</v>
      </c>
      <c r="F445">
        <v>1.1454887692519122E-3</v>
      </c>
    </row>
    <row r="446" spans="4:6">
      <c r="D446">
        <v>494</v>
      </c>
      <c r="E446">
        <v>8.7690168885437991</v>
      </c>
      <c r="F446">
        <v>1.1039249265696327E-3</v>
      </c>
    </row>
    <row r="447" spans="4:6">
      <c r="D447">
        <v>495</v>
      </c>
      <c r="E447">
        <v>8.7690536879986816</v>
      </c>
      <c r="F447">
        <v>1.140724381452074E-3</v>
      </c>
    </row>
    <row r="448" spans="4:6">
      <c r="D448">
        <v>496</v>
      </c>
      <c r="E448">
        <v>8.7690128093438471</v>
      </c>
      <c r="F448">
        <v>1.0998457266175876E-3</v>
      </c>
    </row>
    <row r="449" spans="4:6">
      <c r="D449">
        <v>497</v>
      </c>
      <c r="E449">
        <v>8.7690488352943046</v>
      </c>
      <c r="F449">
        <v>1.1358716770750732E-3</v>
      </c>
    </row>
    <row r="450" spans="4:6">
      <c r="D450">
        <v>498</v>
      </c>
      <c r="E450">
        <v>8.7690087124364648</v>
      </c>
      <c r="F450">
        <v>1.0957488192353537E-3</v>
      </c>
    </row>
    <row r="451" spans="4:6">
      <c r="D451">
        <v>499</v>
      </c>
      <c r="E451">
        <v>8.7690438977901106</v>
      </c>
      <c r="F451">
        <v>1.1309341728811262E-3</v>
      </c>
    </row>
    <row r="452" spans="4:6">
      <c r="D452">
        <v>500</v>
      </c>
      <c r="E452">
        <v>8.7690046342219574</v>
      </c>
      <c r="F452">
        <v>1.0916706047279234E-3</v>
      </c>
    </row>
  </sheetData>
  <phoneticPr fontId="5" type="noConversion"/>
  <pageMargins left="0.75" right="0.75" top="1" bottom="1"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452"/>
  <sheetViews>
    <sheetView workbookViewId="0">
      <selection activeCell="S9" sqref="S9"/>
    </sheetView>
  </sheetViews>
  <sheetFormatPr baseColWidth="10" defaultColWidth="8.83203125" defaultRowHeight="13"/>
  <cols>
    <col min="4" max="4" width="14.6640625" customWidth="1"/>
  </cols>
  <sheetData>
    <row r="1" spans="1:6" ht="14">
      <c r="A1" s="5" t="s">
        <v>14</v>
      </c>
      <c r="B1" s="2"/>
      <c r="D1" s="5" t="s">
        <v>5</v>
      </c>
      <c r="E1" s="5" t="s">
        <v>21</v>
      </c>
      <c r="F1" s="5" t="s">
        <v>22</v>
      </c>
    </row>
    <row r="2" spans="1:6" ht="14">
      <c r="A2" s="2" t="s">
        <v>0</v>
      </c>
      <c r="B2" s="2">
        <v>50</v>
      </c>
      <c r="D2">
        <v>50</v>
      </c>
      <c r="E2">
        <v>8.7182065434172102</v>
      </c>
      <c r="F2">
        <v>-4.9706420200019252E-2</v>
      </c>
    </row>
    <row r="3" spans="1:6" ht="14">
      <c r="A3" s="2" t="s">
        <v>9</v>
      </c>
      <c r="B3" s="2">
        <v>55</v>
      </c>
      <c r="D3">
        <v>51</v>
      </c>
      <c r="E3">
        <v>8.7691344021942363</v>
      </c>
      <c r="F3">
        <v>1.2214385770068503E-3</v>
      </c>
    </row>
    <row r="4" spans="1:6" ht="14">
      <c r="A4" s="2" t="s">
        <v>3</v>
      </c>
      <c r="B4" s="2">
        <v>0.3</v>
      </c>
      <c r="D4">
        <v>52</v>
      </c>
      <c r="E4">
        <v>8.7200694631652915</v>
      </c>
      <c r="F4">
        <v>-4.784350045193797E-2</v>
      </c>
    </row>
    <row r="5" spans="1:6" ht="14">
      <c r="A5" s="2" t="s">
        <v>4</v>
      </c>
      <c r="B5" s="2">
        <v>0.01</v>
      </c>
      <c r="D5">
        <v>53</v>
      </c>
      <c r="E5">
        <v>8.7690654482583348</v>
      </c>
      <c r="F5">
        <v>1.1524846411052891E-3</v>
      </c>
    </row>
    <row r="6" spans="1:6" ht="14">
      <c r="A6" s="2" t="s">
        <v>1</v>
      </c>
      <c r="B6" s="2">
        <v>1</v>
      </c>
      <c r="D6">
        <v>54</v>
      </c>
      <c r="E6">
        <v>8.721779899890242</v>
      </c>
      <c r="F6">
        <v>-4.6133063726987444E-2</v>
      </c>
    </row>
    <row r="7" spans="1:6" ht="14">
      <c r="A7" s="2" t="s">
        <v>2</v>
      </c>
      <c r="B7" s="2">
        <v>0</v>
      </c>
      <c r="D7">
        <v>55</v>
      </c>
      <c r="E7">
        <v>8.7690130292509778</v>
      </c>
      <c r="F7">
        <v>1.100065633748315E-3</v>
      </c>
    </row>
    <row r="8" spans="1:6" ht="14">
      <c r="A8" s="2" t="s">
        <v>19</v>
      </c>
      <c r="B8" s="2">
        <f>(LN(B2/B3)+(B5+B4^2/2)*B6)/(B4*SQRT(B6))</f>
        <v>-0.13436726601441631</v>
      </c>
      <c r="D8">
        <v>56</v>
      </c>
      <c r="E8">
        <v>8.7233783040733979</v>
      </c>
      <c r="F8">
        <v>-4.4534659543831623E-2</v>
      </c>
    </row>
    <row r="9" spans="1:6" ht="14">
      <c r="A9" s="2" t="s">
        <v>20</v>
      </c>
      <c r="B9" s="2">
        <f>(LN(B2/B3)+(B5-B4^2/2)*B6)/(B4*SQRT(B6))</f>
        <v>-0.43436726601441628</v>
      </c>
      <c r="D9">
        <v>57</v>
      </c>
      <c r="E9">
        <v>8.7690023437373927</v>
      </c>
      <c r="F9">
        <v>1.0893801201632414E-3</v>
      </c>
    </row>
    <row r="10" spans="1:6">
      <c r="D10">
        <v>58</v>
      </c>
      <c r="E10">
        <v>8.7248899986004513</v>
      </c>
      <c r="F10">
        <v>-4.3022965016778159E-2</v>
      </c>
    </row>
    <row r="11" spans="1:6">
      <c r="D11">
        <v>59</v>
      </c>
      <c r="E11">
        <v>8.7689751042924371</v>
      </c>
      <c r="F11">
        <v>1.0621406752076012E-3</v>
      </c>
    </row>
    <row r="12" spans="1:6" ht="14">
      <c r="A12" s="3" t="s">
        <v>29</v>
      </c>
      <c r="B12" s="2">
        <f>8.76791296361723</f>
        <v>8.7679129636172295</v>
      </c>
      <c r="D12">
        <v>60</v>
      </c>
      <c r="E12">
        <v>8.7263039037641512</v>
      </c>
      <c r="F12">
        <v>-4.1609059853078278E-2</v>
      </c>
    </row>
    <row r="13" spans="1:6">
      <c r="D13">
        <v>61</v>
      </c>
      <c r="E13">
        <v>8.7689514914059608</v>
      </c>
      <c r="F13">
        <v>1.0385277887312583E-3</v>
      </c>
    </row>
    <row r="14" spans="1:6">
      <c r="D14">
        <v>62</v>
      </c>
      <c r="E14">
        <v>8.7276291073772683</v>
      </c>
      <c r="F14">
        <v>-4.0283856239961224E-2</v>
      </c>
    </row>
    <row r="15" spans="1:6">
      <c r="D15">
        <v>63</v>
      </c>
      <c r="E15">
        <v>8.7689212746273668</v>
      </c>
      <c r="F15">
        <v>1.0083110101373194E-3</v>
      </c>
    </row>
    <row r="16" spans="1:6">
      <c r="D16">
        <v>64</v>
      </c>
      <c r="E16">
        <v>8.7288657473709232</v>
      </c>
      <c r="F16">
        <v>-3.9047216246306249E-2</v>
      </c>
    </row>
    <row r="17" spans="4:6">
      <c r="D17">
        <v>65</v>
      </c>
      <c r="E17">
        <v>8.768894762396938</v>
      </c>
      <c r="F17">
        <v>9.8179877970849816E-4</v>
      </c>
    </row>
    <row r="18" spans="4:6">
      <c r="D18">
        <v>66</v>
      </c>
      <c r="E18">
        <v>8.7300260660933748</v>
      </c>
      <c r="F18">
        <v>-3.7886897523854657E-2</v>
      </c>
    </row>
    <row r="19" spans="4:6">
      <c r="D19">
        <v>67</v>
      </c>
      <c r="E19">
        <v>8.7688655676565066</v>
      </c>
      <c r="F19">
        <v>9.5260403927710513E-4</v>
      </c>
    </row>
    <row r="20" spans="4:6">
      <c r="D20">
        <v>68</v>
      </c>
      <c r="E20">
        <v>8.731119306102336</v>
      </c>
      <c r="F20">
        <v>-3.6793657514893496E-2</v>
      </c>
    </row>
    <row r="21" spans="4:6">
      <c r="D21">
        <v>69</v>
      </c>
      <c r="E21">
        <v>8.7688394437219692</v>
      </c>
      <c r="F21">
        <v>9.264801047397242E-4</v>
      </c>
    </row>
    <row r="22" spans="4:6">
      <c r="D22">
        <v>70</v>
      </c>
      <c r="E22">
        <v>8.7321503172896477</v>
      </c>
      <c r="F22">
        <v>-3.5762646327581749E-2</v>
      </c>
    </row>
    <row r="23" spans="4:6">
      <c r="D23">
        <v>71</v>
      </c>
      <c r="E23">
        <v>8.7688160567733711</v>
      </c>
      <c r="F23">
        <v>9.030931561415656E-4</v>
      </c>
    </row>
    <row r="24" spans="4:6">
      <c r="D24">
        <v>72</v>
      </c>
      <c r="E24">
        <v>8.7331276022870021</v>
      </c>
      <c r="F24">
        <v>-3.478536133022736E-2</v>
      </c>
    </row>
    <row r="25" spans="4:6">
      <c r="D25">
        <v>73</v>
      </c>
      <c r="E25">
        <v>8.7687859358794213</v>
      </c>
      <c r="F25">
        <v>8.729722621918512E-4</v>
      </c>
    </row>
    <row r="26" spans="4:6">
      <c r="D26">
        <v>74</v>
      </c>
      <c r="E26">
        <v>8.7340458029142454</v>
      </c>
      <c r="F26">
        <v>-3.3867160702984123E-2</v>
      </c>
    </row>
    <row r="27" spans="4:6">
      <c r="D27">
        <v>75</v>
      </c>
      <c r="E27">
        <v>8.7687489466700992</v>
      </c>
      <c r="F27">
        <v>8.3598305286969321E-4</v>
      </c>
    </row>
    <row r="28" spans="4:6">
      <c r="D28">
        <v>76</v>
      </c>
      <c r="E28">
        <v>8.7349078804265723</v>
      </c>
      <c r="F28">
        <v>-3.3005083190657203E-2</v>
      </c>
    </row>
    <row r="29" spans="4:6">
      <c r="D29">
        <v>77</v>
      </c>
      <c r="E29">
        <v>8.7687116947002099</v>
      </c>
      <c r="F29">
        <v>7.9873108298045281E-4</v>
      </c>
    </row>
    <row r="30" spans="4:6">
      <c r="D30">
        <v>78</v>
      </c>
      <c r="E30">
        <v>8.7357230833030748</v>
      </c>
      <c r="F30">
        <v>-3.2189880314154706E-2</v>
      </c>
    </row>
    <row r="31" spans="4:6">
      <c r="D31">
        <v>79</v>
      </c>
      <c r="E31">
        <v>8.7686933131515836</v>
      </c>
      <c r="F31">
        <v>7.8034953435413001E-4</v>
      </c>
    </row>
    <row r="32" spans="4:6">
      <c r="D32">
        <v>80</v>
      </c>
      <c r="E32">
        <v>8.7365079428603529</v>
      </c>
      <c r="F32">
        <v>-3.1405020756876567E-2</v>
      </c>
    </row>
    <row r="33" spans="4:6">
      <c r="D33">
        <v>81</v>
      </c>
      <c r="E33">
        <v>8.7686727544240526</v>
      </c>
      <c r="F33">
        <v>7.5979080682309075E-4</v>
      </c>
    </row>
    <row r="34" spans="4:6">
      <c r="D34">
        <v>82</v>
      </c>
      <c r="E34">
        <v>8.7372568683533558</v>
      </c>
      <c r="F34">
        <v>-3.0656095263873695E-2</v>
      </c>
    </row>
    <row r="35" spans="4:6">
      <c r="D35">
        <v>83</v>
      </c>
      <c r="E35">
        <v>8.7686567854803439</v>
      </c>
      <c r="F35">
        <v>7.4382186311439114E-4</v>
      </c>
    </row>
    <row r="36" spans="4:6">
      <c r="D36">
        <v>84</v>
      </c>
      <c r="E36">
        <v>8.7379757411862116</v>
      </c>
      <c r="F36">
        <v>-2.9937222431017929E-2</v>
      </c>
    </row>
    <row r="37" spans="4:6">
      <c r="D37">
        <v>85</v>
      </c>
      <c r="E37">
        <v>8.768641109185932</v>
      </c>
      <c r="F37">
        <v>7.2814556870248737E-4</v>
      </c>
    </row>
    <row r="38" spans="4:6">
      <c r="D38">
        <v>86</v>
      </c>
      <c r="E38">
        <v>8.7386608428661905</v>
      </c>
      <c r="F38">
        <v>-2.9252120751039001E-2</v>
      </c>
    </row>
    <row r="39" spans="4:6">
      <c r="D39">
        <v>87</v>
      </c>
      <c r="E39">
        <v>8.7686244021167017</v>
      </c>
      <c r="F39">
        <v>7.1143849947219451E-4</v>
      </c>
    </row>
    <row r="40" spans="4:6">
      <c r="D40">
        <v>88</v>
      </c>
      <c r="E40">
        <v>8.7393151792116655</v>
      </c>
      <c r="F40">
        <v>-2.8597784405564042E-2</v>
      </c>
    </row>
    <row r="41" spans="4:6">
      <c r="D41">
        <v>89</v>
      </c>
      <c r="E41">
        <v>8.7686070016547308</v>
      </c>
      <c r="F41">
        <v>6.940380375013433E-4</v>
      </c>
    </row>
    <row r="42" spans="4:6">
      <c r="D42">
        <v>90</v>
      </c>
      <c r="E42">
        <v>8.739938593417488</v>
      </c>
      <c r="F42">
        <v>-2.7974370199741472E-2</v>
      </c>
    </row>
    <row r="43" spans="4:6">
      <c r="D43">
        <v>91</v>
      </c>
      <c r="E43">
        <v>8.7685862438362072</v>
      </c>
      <c r="F43">
        <v>6.7328021897772317E-4</v>
      </c>
    </row>
    <row r="44" spans="4:6">
      <c r="D44">
        <v>92</v>
      </c>
      <c r="E44">
        <v>8.7405319284852361</v>
      </c>
      <c r="F44">
        <v>-2.7381035131993414E-2</v>
      </c>
    </row>
    <row r="45" spans="4:6">
      <c r="D45">
        <v>93</v>
      </c>
      <c r="E45">
        <v>8.76856476212898</v>
      </c>
      <c r="F45">
        <v>6.5179851175045656E-4</v>
      </c>
    </row>
    <row r="46" spans="4:6">
      <c r="D46">
        <v>94</v>
      </c>
      <c r="E46">
        <v>8.7410980624369792</v>
      </c>
      <c r="F46">
        <v>-2.6814901180250317E-2</v>
      </c>
    </row>
    <row r="47" spans="4:6">
      <c r="D47">
        <v>95</v>
      </c>
      <c r="E47">
        <v>8.7685444571555511</v>
      </c>
      <c r="F47">
        <v>6.314935383215925E-4</v>
      </c>
    </row>
    <row r="48" spans="4:6">
      <c r="D48">
        <v>96</v>
      </c>
      <c r="E48">
        <v>8.7416399819517565</v>
      </c>
      <c r="F48">
        <v>-2.6272981665472983E-2</v>
      </c>
    </row>
    <row r="49" spans="4:6">
      <c r="D49">
        <v>97</v>
      </c>
      <c r="E49">
        <v>8.7685270007935028</v>
      </c>
      <c r="F49">
        <v>6.1403717627328547E-4</v>
      </c>
    </row>
    <row r="50" spans="4:6">
      <c r="D50">
        <v>98</v>
      </c>
      <c r="E50">
        <v>8.7421610797607787</v>
      </c>
      <c r="F50">
        <v>-2.5751883856450775E-2</v>
      </c>
    </row>
    <row r="51" spans="4:6">
      <c r="D51">
        <v>99</v>
      </c>
      <c r="E51">
        <v>8.7685164572709677</v>
      </c>
      <c r="F51">
        <v>6.0349365373824071E-4</v>
      </c>
    </row>
    <row r="52" spans="4:6">
      <c r="D52">
        <v>100</v>
      </c>
      <c r="E52">
        <v>8.7426701509048534</v>
      </c>
      <c r="F52">
        <v>-2.524281271237605E-2</v>
      </c>
    </row>
    <row r="53" spans="4:6">
      <c r="D53">
        <v>101</v>
      </c>
      <c r="E53">
        <v>8.7685024170592172</v>
      </c>
      <c r="F53">
        <v>5.8945344198768623E-4</v>
      </c>
    </row>
    <row r="54" spans="4:6">
      <c r="D54">
        <v>102</v>
      </c>
      <c r="E54">
        <v>8.7431559939667913</v>
      </c>
      <c r="F54">
        <v>-2.4756969650438165E-2</v>
      </c>
    </row>
    <row r="55" spans="4:6">
      <c r="D55">
        <v>103</v>
      </c>
      <c r="E55">
        <v>8.7684824685592542</v>
      </c>
      <c r="F55">
        <v>5.6950494202467894E-4</v>
      </c>
    </row>
    <row r="56" spans="4:6">
      <c r="D56">
        <v>104</v>
      </c>
      <c r="E56">
        <v>8.7436170053271596</v>
      </c>
      <c r="F56">
        <v>-2.4295958290069919E-2</v>
      </c>
    </row>
    <row r="57" spans="4:6">
      <c r="D57">
        <v>105</v>
      </c>
      <c r="E57">
        <v>8.7684635763638958</v>
      </c>
      <c r="F57">
        <v>5.5061274666634574E-4</v>
      </c>
    </row>
    <row r="58" spans="4:6">
      <c r="D58">
        <v>106</v>
      </c>
      <c r="E58">
        <v>8.7440605003941823</v>
      </c>
      <c r="F58">
        <v>-2.3852463223047238E-2</v>
      </c>
    </row>
    <row r="59" spans="4:6">
      <c r="D59">
        <v>107</v>
      </c>
      <c r="E59">
        <v>8.7684454054794774</v>
      </c>
      <c r="F59">
        <v>5.3244186224787882E-4</v>
      </c>
    </row>
    <row r="60" spans="4:6">
      <c r="D60">
        <v>108</v>
      </c>
      <c r="E60">
        <v>8.744487253543717</v>
      </c>
      <c r="F60">
        <v>-2.3425710073512462E-2</v>
      </c>
    </row>
    <row r="61" spans="4:6">
      <c r="D61">
        <v>109</v>
      </c>
      <c r="E61">
        <v>8.7684293485839699</v>
      </c>
      <c r="F61">
        <v>5.1638496674044632E-4</v>
      </c>
    </row>
    <row r="62" spans="4:6">
      <c r="D62">
        <v>110</v>
      </c>
      <c r="E62">
        <v>8.744898530893197</v>
      </c>
      <c r="F62">
        <v>-2.3014432724032474E-2</v>
      </c>
    </row>
    <row r="63" spans="4:6">
      <c r="D63">
        <v>111</v>
      </c>
      <c r="E63">
        <v>8.7684163715872749</v>
      </c>
      <c r="F63">
        <v>5.0340797004544413E-4</v>
      </c>
    </row>
    <row r="64" spans="4:6">
      <c r="D64">
        <v>112</v>
      </c>
      <c r="E64">
        <v>8.7452966303122714</v>
      </c>
      <c r="F64">
        <v>-2.2616333304958047E-2</v>
      </c>
    </row>
    <row r="65" spans="4:6">
      <c r="D65">
        <v>113</v>
      </c>
      <c r="E65">
        <v>8.7684069610031852</v>
      </c>
      <c r="F65">
        <v>4.939973859556801E-4</v>
      </c>
    </row>
    <row r="66" spans="4:6">
      <c r="D66">
        <v>114</v>
      </c>
      <c r="E66">
        <v>8.7456852225426669</v>
      </c>
      <c r="F66">
        <v>-2.2227741074562601E-2</v>
      </c>
    </row>
    <row r="67" spans="4:6">
      <c r="D67">
        <v>115</v>
      </c>
      <c r="E67">
        <v>8.7683964930226566</v>
      </c>
      <c r="F67">
        <v>4.8352940542706335E-4</v>
      </c>
    </row>
    <row r="68" spans="4:6">
      <c r="D68">
        <v>116</v>
      </c>
      <c r="E68">
        <v>8.7460616659893269</v>
      </c>
      <c r="F68">
        <v>-2.1851297627902611E-2</v>
      </c>
    </row>
    <row r="69" spans="4:6">
      <c r="D69">
        <v>117</v>
      </c>
      <c r="E69">
        <v>8.7683869230244191</v>
      </c>
      <c r="F69">
        <v>4.7395940718963914E-4</v>
      </c>
    </row>
    <row r="70" spans="4:6">
      <c r="D70">
        <v>118</v>
      </c>
      <c r="E70">
        <v>8.7464251363177699</v>
      </c>
      <c r="F70">
        <v>-2.1487827299459639E-2</v>
      </c>
    </row>
    <row r="71" spans="4:6">
      <c r="D71">
        <v>119</v>
      </c>
      <c r="E71">
        <v>8.7683778316785759</v>
      </c>
      <c r="F71">
        <v>4.6486806134637959E-4</v>
      </c>
    </row>
    <row r="72" spans="4:6">
      <c r="D72">
        <v>120</v>
      </c>
      <c r="E72">
        <v>8.7467748986046985</v>
      </c>
      <c r="F72">
        <v>-2.1138065012531015E-2</v>
      </c>
    </row>
    <row r="73" spans="4:6">
      <c r="D73">
        <v>121</v>
      </c>
      <c r="E73">
        <v>8.7683721260417542</v>
      </c>
      <c r="F73">
        <v>4.5916242452470613E-4</v>
      </c>
    </row>
    <row r="74" spans="4:6">
      <c r="D74">
        <v>122</v>
      </c>
      <c r="E74">
        <v>8.7471154815508427</v>
      </c>
      <c r="F74">
        <v>-2.0797482066386763E-2</v>
      </c>
    </row>
    <row r="75" spans="4:6">
      <c r="D75">
        <v>123</v>
      </c>
      <c r="E75">
        <v>8.7683668804039883</v>
      </c>
      <c r="F75">
        <v>4.539167867587679E-4</v>
      </c>
    </row>
    <row r="76" spans="4:6">
      <c r="D76">
        <v>124</v>
      </c>
      <c r="E76">
        <v>8.7474471405612242</v>
      </c>
      <c r="F76">
        <v>-2.0465823056005306E-2</v>
      </c>
    </row>
    <row r="77" spans="4:6">
      <c r="D77">
        <v>125</v>
      </c>
      <c r="E77">
        <v>8.7683633106288195</v>
      </c>
      <c r="F77">
        <v>4.5034701158996882E-4</v>
      </c>
    </row>
    <row r="78" spans="4:6">
      <c r="D78">
        <v>126</v>
      </c>
      <c r="E78">
        <v>8.7477716172990103</v>
      </c>
      <c r="F78">
        <v>-2.0141346318219178E-2</v>
      </c>
    </row>
    <row r="79" spans="4:6">
      <c r="D79">
        <v>127</v>
      </c>
      <c r="E79">
        <v>8.768357234663382</v>
      </c>
      <c r="F79">
        <v>4.4427104615252233E-4</v>
      </c>
    </row>
    <row r="80" spans="4:6">
      <c r="D80">
        <v>128</v>
      </c>
      <c r="E80">
        <v>8.7480835623209128</v>
      </c>
      <c r="F80">
        <v>-1.9829401296316718E-2</v>
      </c>
    </row>
    <row r="81" spans="4:6">
      <c r="D81">
        <v>129</v>
      </c>
      <c r="E81">
        <v>8.7683488224560371</v>
      </c>
      <c r="F81">
        <v>4.3585883880759013E-4</v>
      </c>
    </row>
    <row r="82" spans="4:6">
      <c r="D82">
        <v>130</v>
      </c>
      <c r="E82">
        <v>8.7483832592395583</v>
      </c>
      <c r="F82">
        <v>-1.9529704377671209E-2</v>
      </c>
    </row>
    <row r="83" spans="4:6">
      <c r="D83">
        <v>131</v>
      </c>
      <c r="E83">
        <v>8.7683403377344771</v>
      </c>
      <c r="F83">
        <v>4.273741172475809E-4</v>
      </c>
    </row>
    <row r="84" spans="4:6">
      <c r="D84">
        <v>132</v>
      </c>
      <c r="E84">
        <v>8.7486710753764356</v>
      </c>
      <c r="F84">
        <v>-1.924188824079387E-2</v>
      </c>
    </row>
    <row r="85" spans="4:6">
      <c r="D85">
        <v>133</v>
      </c>
      <c r="E85">
        <v>8.7683342668372504</v>
      </c>
      <c r="F85">
        <v>4.2130322002087439E-4</v>
      </c>
    </row>
    <row r="86" spans="4:6">
      <c r="D86">
        <v>134</v>
      </c>
      <c r="E86">
        <v>8.7489550125067232</v>
      </c>
      <c r="F86">
        <v>-1.8957951110506244E-2</v>
      </c>
    </row>
    <row r="87" spans="4:6">
      <c r="D87">
        <v>135</v>
      </c>
      <c r="E87">
        <v>8.7683283834138361</v>
      </c>
      <c r="F87">
        <v>4.1541979660664197E-4</v>
      </c>
    </row>
    <row r="88" spans="4:6">
      <c r="D88">
        <v>136</v>
      </c>
      <c r="E88">
        <v>8.749229125803625</v>
      </c>
      <c r="F88">
        <v>-1.8683837813604498E-2</v>
      </c>
    </row>
    <row r="89" spans="4:6">
      <c r="D89">
        <v>137</v>
      </c>
      <c r="E89">
        <v>8.7683232236357576</v>
      </c>
      <c r="F89">
        <v>4.102600185280636E-4</v>
      </c>
    </row>
    <row r="90" spans="4:6">
      <c r="D90">
        <v>138</v>
      </c>
      <c r="E90">
        <v>8.7494966271201182</v>
      </c>
      <c r="F90">
        <v>-1.8416336497111274E-2</v>
      </c>
    </row>
    <row r="91" spans="4:6">
      <c r="D91">
        <v>139</v>
      </c>
      <c r="E91">
        <v>8.7683210263932345</v>
      </c>
      <c r="F91">
        <v>4.0806277600502483E-4</v>
      </c>
    </row>
    <row r="92" spans="4:6">
      <c r="D92">
        <v>140</v>
      </c>
      <c r="E92">
        <v>8.7497597418974884</v>
      </c>
      <c r="F92">
        <v>-1.8153221719741097E-2</v>
      </c>
    </row>
    <row r="93" spans="4:6">
      <c r="D93">
        <v>141</v>
      </c>
      <c r="E93">
        <v>8.7683162963976944</v>
      </c>
      <c r="F93">
        <v>4.033327804648934E-4</v>
      </c>
    </row>
    <row r="94" spans="4:6">
      <c r="D94">
        <v>142</v>
      </c>
      <c r="E94">
        <v>8.75001337596205</v>
      </c>
      <c r="F94">
        <v>-1.7899587655179516E-2</v>
      </c>
    </row>
    <row r="95" spans="4:6">
      <c r="D95">
        <v>143</v>
      </c>
      <c r="E95">
        <v>8.7683121048455224</v>
      </c>
      <c r="F95">
        <v>3.9914122829287635E-4</v>
      </c>
    </row>
    <row r="96" spans="4:6">
      <c r="D96">
        <v>144</v>
      </c>
      <c r="E96">
        <v>8.7502603016867564</v>
      </c>
      <c r="F96">
        <v>-1.7652661930473101E-2</v>
      </c>
    </row>
    <row r="97" spans="4:6">
      <c r="D97">
        <v>145</v>
      </c>
      <c r="E97">
        <v>8.7683068063908021</v>
      </c>
      <c r="F97">
        <v>3.9384277357257247E-4</v>
      </c>
    </row>
    <row r="98" spans="4:6">
      <c r="D98">
        <v>146</v>
      </c>
      <c r="E98">
        <v>8.7504993640728106</v>
      </c>
      <c r="F98">
        <v>-1.7413599544418901E-2</v>
      </c>
    </row>
    <row r="99" spans="4:6">
      <c r="D99">
        <v>147</v>
      </c>
      <c r="E99">
        <v>8.7683006598294639</v>
      </c>
      <c r="F99">
        <v>3.8769621223444517E-4</v>
      </c>
    </row>
    <row r="100" spans="4:6">
      <c r="D100">
        <v>148</v>
      </c>
      <c r="E100">
        <v>8.7507313812255099</v>
      </c>
      <c r="F100">
        <v>-1.718158239171963E-2</v>
      </c>
    </row>
    <row r="101" spans="4:6">
      <c r="D101">
        <v>149</v>
      </c>
      <c r="E101">
        <v>8.7682944137917271</v>
      </c>
      <c r="F101">
        <v>3.8145017449764396E-4</v>
      </c>
    </row>
    <row r="102" spans="4:6">
      <c r="D102">
        <v>150</v>
      </c>
      <c r="E102">
        <v>8.7509565499743704</v>
      </c>
      <c r="F102">
        <v>-1.6956413642859047E-2</v>
      </c>
    </row>
    <row r="103" spans="4:6">
      <c r="D103">
        <v>151</v>
      </c>
      <c r="E103">
        <v>8.7682884136915895</v>
      </c>
      <c r="F103">
        <v>3.7545007436001754E-4</v>
      </c>
    </row>
    <row r="104" spans="4:6">
      <c r="D104">
        <v>152</v>
      </c>
      <c r="E104">
        <v>8.7511758881590556</v>
      </c>
      <c r="F104">
        <v>-1.6737075458173933E-2</v>
      </c>
    </row>
    <row r="105" spans="4:6">
      <c r="D105">
        <v>153</v>
      </c>
      <c r="E105">
        <v>8.7682811936655227</v>
      </c>
      <c r="F105">
        <v>3.682300482932277E-4</v>
      </c>
    </row>
    <row r="106" spans="4:6">
      <c r="D106">
        <v>154</v>
      </c>
      <c r="E106">
        <v>8.751388488195138</v>
      </c>
      <c r="F106">
        <v>-1.6524475422091456E-2</v>
      </c>
    </row>
    <row r="107" spans="4:6">
      <c r="D107">
        <v>155</v>
      </c>
      <c r="E107">
        <v>8.7682755904029914</v>
      </c>
      <c r="F107">
        <v>3.6262678576193252E-4</v>
      </c>
    </row>
    <row r="108" spans="4:6">
      <c r="D108">
        <v>156</v>
      </c>
      <c r="E108">
        <v>8.7515962956876336</v>
      </c>
      <c r="F108">
        <v>-1.6316667929595852E-2</v>
      </c>
    </row>
    <row r="109" spans="4:6">
      <c r="D109">
        <v>157</v>
      </c>
      <c r="E109">
        <v>8.7682711566054952</v>
      </c>
      <c r="F109">
        <v>3.5819298826567092E-4</v>
      </c>
    </row>
    <row r="110" spans="4:6">
      <c r="D110">
        <v>158</v>
      </c>
      <c r="E110">
        <v>8.7518001869298256</v>
      </c>
      <c r="F110">
        <v>-1.6112776687403851E-2</v>
      </c>
    </row>
    <row r="111" spans="4:6">
      <c r="D111">
        <v>159</v>
      </c>
      <c r="E111">
        <v>8.7682665616514424</v>
      </c>
      <c r="F111">
        <v>3.5359803421286529E-4</v>
      </c>
    </row>
    <row r="112" spans="4:6">
      <c r="D112">
        <v>160</v>
      </c>
      <c r="E112">
        <v>8.751998829744549</v>
      </c>
      <c r="F112">
        <v>-1.591413387268048E-2</v>
      </c>
    </row>
    <row r="113" spans="4:6">
      <c r="D113">
        <v>161</v>
      </c>
      <c r="E113">
        <v>8.7682606167550095</v>
      </c>
      <c r="F113">
        <v>3.4765313777995743E-4</v>
      </c>
    </row>
    <row r="114" spans="4:6">
      <c r="D114">
        <v>162</v>
      </c>
      <c r="E114">
        <v>8.7521909963023372</v>
      </c>
      <c r="F114">
        <v>-1.5721967314892282E-2</v>
      </c>
    </row>
    <row r="115" spans="4:6">
      <c r="D115">
        <v>163</v>
      </c>
      <c r="E115">
        <v>8.768254703418787</v>
      </c>
      <c r="F115">
        <v>3.4173980155749462E-4</v>
      </c>
    </row>
    <row r="116" spans="4:6">
      <c r="D116">
        <v>164</v>
      </c>
      <c r="E116">
        <v>8.7523787345025692</v>
      </c>
      <c r="F116">
        <v>-1.5534229114660292E-2</v>
      </c>
    </row>
    <row r="117" spans="4:6">
      <c r="D117">
        <v>165</v>
      </c>
      <c r="E117">
        <v>8.7682496080490893</v>
      </c>
      <c r="F117">
        <v>3.3664443185976722E-4</v>
      </c>
    </row>
    <row r="118" spans="4:6">
      <c r="D118">
        <v>166</v>
      </c>
      <c r="E118">
        <v>8.7525626980902071</v>
      </c>
      <c r="F118">
        <v>-1.5350265527022344E-2</v>
      </c>
    </row>
    <row r="119" spans="4:6">
      <c r="D119">
        <v>167</v>
      </c>
      <c r="E119">
        <v>8.7682443640895684</v>
      </c>
      <c r="F119">
        <v>3.3140047233892744E-4</v>
      </c>
    </row>
    <row r="120" spans="4:6">
      <c r="D120">
        <v>168</v>
      </c>
      <c r="E120">
        <v>8.7527424661895505</v>
      </c>
      <c r="F120">
        <v>-1.5170497427678953E-2</v>
      </c>
    </row>
    <row r="121" spans="4:6">
      <c r="D121">
        <v>169</v>
      </c>
      <c r="E121">
        <v>8.7682401149559297</v>
      </c>
      <c r="F121">
        <v>3.2715133870020452E-4</v>
      </c>
    </row>
    <row r="122" spans="4:6">
      <c r="D122">
        <v>170</v>
      </c>
      <c r="E122">
        <v>8.752916600265241</v>
      </c>
      <c r="F122">
        <v>-1.4996363351988506E-2</v>
      </c>
    </row>
    <row r="123" spans="4:6">
      <c r="D123">
        <v>171</v>
      </c>
      <c r="E123">
        <v>8.76823913186883</v>
      </c>
      <c r="F123">
        <v>3.2616825160047824E-4</v>
      </c>
    </row>
    <row r="124" spans="4:6">
      <c r="D124">
        <v>172</v>
      </c>
      <c r="E124">
        <v>8.7530904297511611</v>
      </c>
      <c r="F124">
        <v>-1.4822533866068355E-2</v>
      </c>
    </row>
    <row r="125" spans="4:6">
      <c r="D125">
        <v>173</v>
      </c>
      <c r="E125">
        <v>8.7682376728138127</v>
      </c>
      <c r="F125">
        <v>3.2470919658322828E-4</v>
      </c>
    </row>
    <row r="126" spans="4:6">
      <c r="D126">
        <v>174</v>
      </c>
      <c r="E126">
        <v>8.7532612210244114</v>
      </c>
      <c r="F126">
        <v>-1.4651742592818096E-2</v>
      </c>
    </row>
    <row r="127" spans="4:6">
      <c r="D127">
        <v>175</v>
      </c>
      <c r="E127">
        <v>8.7682346531921667</v>
      </c>
      <c r="F127">
        <v>3.2168957493716732E-4</v>
      </c>
    </row>
    <row r="128" spans="4:6">
      <c r="D128">
        <v>176</v>
      </c>
      <c r="E128">
        <v>8.7534268108675359</v>
      </c>
      <c r="F128">
        <v>-1.4486152749693559E-2</v>
      </c>
    </row>
    <row r="129" spans="4:6">
      <c r="D129">
        <v>177</v>
      </c>
      <c r="E129">
        <v>8.7682317876147415</v>
      </c>
      <c r="F129">
        <v>3.1882399751204105E-4</v>
      </c>
    </row>
    <row r="130" spans="4:6">
      <c r="D130">
        <v>178</v>
      </c>
      <c r="E130">
        <v>8.7535885054359994</v>
      </c>
      <c r="F130">
        <v>-1.4324458181230071E-2</v>
      </c>
    </row>
    <row r="131" spans="4:6">
      <c r="D131">
        <v>179</v>
      </c>
      <c r="E131">
        <v>8.7682287105126093</v>
      </c>
      <c r="F131">
        <v>3.1574689537983147E-4</v>
      </c>
    </row>
    <row r="132" spans="4:6">
      <c r="D132">
        <v>180</v>
      </c>
      <c r="E132">
        <v>8.75374643137995</v>
      </c>
      <c r="F132">
        <v>-1.4166532237279483E-2</v>
      </c>
    </row>
    <row r="133" spans="4:6">
      <c r="D133">
        <v>181</v>
      </c>
      <c r="E133">
        <v>8.7682248934952653</v>
      </c>
      <c r="F133">
        <v>3.1192987803585481E-4</v>
      </c>
    </row>
    <row r="134" spans="4:6">
      <c r="D134">
        <v>182</v>
      </c>
      <c r="E134">
        <v>8.7539002967116755</v>
      </c>
      <c r="F134">
        <v>-1.4012666905554028E-2</v>
      </c>
    </row>
    <row r="135" spans="4:6">
      <c r="D135">
        <v>183</v>
      </c>
      <c r="E135">
        <v>8.7682212494696259</v>
      </c>
      <c r="F135">
        <v>3.0828585239639494E-4</v>
      </c>
    </row>
    <row r="136" spans="4:6">
      <c r="D136">
        <v>184</v>
      </c>
      <c r="E136">
        <v>8.7540507203729909</v>
      </c>
      <c r="F136">
        <v>-1.386224324423857E-2</v>
      </c>
    </row>
    <row r="137" spans="4:6">
      <c r="D137">
        <v>185</v>
      </c>
      <c r="E137">
        <v>8.7682172749013212</v>
      </c>
      <c r="F137">
        <v>3.0431128409169617E-4</v>
      </c>
    </row>
    <row r="138" spans="4:6">
      <c r="D138">
        <v>186</v>
      </c>
      <c r="E138">
        <v>8.7541976001076307</v>
      </c>
      <c r="F138">
        <v>-1.3715363509598788E-2</v>
      </c>
    </row>
    <row r="139" spans="4:6">
      <c r="D139">
        <v>187</v>
      </c>
      <c r="E139">
        <v>8.7682140485202105</v>
      </c>
      <c r="F139">
        <v>3.0108490298097479E-4</v>
      </c>
    </row>
    <row r="140" spans="4:6">
      <c r="D140">
        <v>188</v>
      </c>
      <c r="E140">
        <v>8.7543416191474854</v>
      </c>
      <c r="F140">
        <v>-1.3571344469744062E-2</v>
      </c>
    </row>
    <row r="141" spans="4:6">
      <c r="D141">
        <v>189</v>
      </c>
      <c r="E141">
        <v>8.7682097611453109</v>
      </c>
      <c r="F141">
        <v>2.9679752808142723E-4</v>
      </c>
    </row>
    <row r="142" spans="4:6">
      <c r="D142">
        <v>190</v>
      </c>
      <c r="E142">
        <v>8.754482131367519</v>
      </c>
      <c r="F142">
        <v>-1.3430832249710534E-2</v>
      </c>
    </row>
    <row r="143" spans="4:6">
      <c r="D143">
        <v>191</v>
      </c>
      <c r="E143">
        <v>8.76820477632943</v>
      </c>
      <c r="F143">
        <v>2.9181271220046767E-4</v>
      </c>
    </row>
    <row r="144" spans="4:6">
      <c r="D144">
        <v>192</v>
      </c>
      <c r="E144">
        <v>8.754618948315521</v>
      </c>
      <c r="F144">
        <v>-1.3294015301708484E-2</v>
      </c>
    </row>
    <row r="145" spans="4:6">
      <c r="D145">
        <v>193</v>
      </c>
      <c r="E145">
        <v>8.7682003190059206</v>
      </c>
      <c r="F145">
        <v>2.8735538869106847E-4</v>
      </c>
    </row>
    <row r="146" spans="4:6">
      <c r="D146">
        <v>194</v>
      </c>
      <c r="E146">
        <v>8.7547522320850497</v>
      </c>
      <c r="F146">
        <v>-1.3160731532179781E-2</v>
      </c>
    </row>
    <row r="147" spans="4:6">
      <c r="D147">
        <v>195</v>
      </c>
      <c r="E147">
        <v>8.7681990012711655</v>
      </c>
      <c r="F147">
        <v>2.8603765393597769E-4</v>
      </c>
    </row>
    <row r="148" spans="4:6">
      <c r="D148">
        <v>196</v>
      </c>
      <c r="E148">
        <v>8.7548857375848552</v>
      </c>
      <c r="F148">
        <v>-1.3027226032374273E-2</v>
      </c>
    </row>
    <row r="149" spans="4:6">
      <c r="D149">
        <v>197</v>
      </c>
      <c r="E149">
        <v>8.7681970751558449</v>
      </c>
      <c r="F149">
        <v>2.8411153861540583E-4</v>
      </c>
    </row>
    <row r="150" spans="4:6">
      <c r="D150">
        <v>198</v>
      </c>
      <c r="E150">
        <v>8.7550171140751054</v>
      </c>
      <c r="F150">
        <v>-1.2895849542124083E-2</v>
      </c>
    </row>
    <row r="151" spans="4:6">
      <c r="D151">
        <v>199</v>
      </c>
      <c r="E151">
        <v>8.7681937987434573</v>
      </c>
      <c r="F151">
        <v>2.8083512622778528E-4</v>
      </c>
    </row>
    <row r="152" spans="4:6">
      <c r="D152">
        <v>200</v>
      </c>
      <c r="E152">
        <v>8.7551445775541499</v>
      </c>
      <c r="F152">
        <v>-1.2768386063079618E-2</v>
      </c>
    </row>
    <row r="153" spans="4:6">
      <c r="D153">
        <v>201</v>
      </c>
      <c r="E153">
        <v>8.7681903957093734</v>
      </c>
      <c r="F153">
        <v>2.774320921439255E-4</v>
      </c>
    </row>
    <row r="154" spans="4:6">
      <c r="D154">
        <v>202</v>
      </c>
      <c r="E154">
        <v>8.7552691458315319</v>
      </c>
      <c r="F154">
        <v>-1.2643817785697564E-2</v>
      </c>
    </row>
    <row r="155" spans="4:6">
      <c r="D155">
        <v>203</v>
      </c>
      <c r="E155">
        <v>8.7681871281842678</v>
      </c>
      <c r="F155">
        <v>2.7416456703832637E-4</v>
      </c>
    </row>
    <row r="156" spans="4:6">
      <c r="D156">
        <v>204</v>
      </c>
      <c r="E156">
        <v>8.7553913186188641</v>
      </c>
      <c r="F156">
        <v>-1.2521644998365389E-2</v>
      </c>
    </row>
    <row r="157" spans="4:6">
      <c r="D157">
        <v>205</v>
      </c>
      <c r="E157">
        <v>8.7681832461460711</v>
      </c>
      <c r="F157">
        <v>2.7028252884164772E-4</v>
      </c>
    </row>
    <row r="158" spans="4:6">
      <c r="D158">
        <v>206</v>
      </c>
      <c r="E158">
        <v>8.7555106917285261</v>
      </c>
      <c r="F158">
        <v>-1.2402271888703353E-2</v>
      </c>
    </row>
    <row r="159" spans="4:6">
      <c r="D159">
        <v>207</v>
      </c>
      <c r="E159">
        <v>8.7681791697959675</v>
      </c>
      <c r="F159">
        <v>2.6620617873795993E-4</v>
      </c>
    </row>
    <row r="160" spans="4:6">
      <c r="D160">
        <v>208</v>
      </c>
      <c r="E160">
        <v>8.7556271176856129</v>
      </c>
      <c r="F160">
        <v>-1.2285845931616635E-2</v>
      </c>
    </row>
    <row r="161" spans="4:6">
      <c r="D161">
        <v>209</v>
      </c>
      <c r="E161">
        <v>8.7681761233481943</v>
      </c>
      <c r="F161">
        <v>2.631597309648015E-4</v>
      </c>
    </row>
    <row r="162" spans="4:6">
      <c r="D162">
        <v>210</v>
      </c>
      <c r="E162">
        <v>8.755742078885536</v>
      </c>
      <c r="F162">
        <v>-1.2170884731693477E-2</v>
      </c>
    </row>
    <row r="163" spans="4:6">
      <c r="D163">
        <v>211</v>
      </c>
      <c r="E163">
        <v>8.7681733448615535</v>
      </c>
      <c r="F163">
        <v>2.603812443240372E-4</v>
      </c>
    </row>
    <row r="164" spans="4:6">
      <c r="D164">
        <v>212</v>
      </c>
      <c r="E164">
        <v>8.7558552627396402</v>
      </c>
      <c r="F164">
        <v>-1.2057700877589284E-2</v>
      </c>
    </row>
    <row r="165" spans="4:6">
      <c r="D165">
        <v>213</v>
      </c>
      <c r="E165">
        <v>8.7681701003700923</v>
      </c>
      <c r="F165">
        <v>2.5713675286276327E-4</v>
      </c>
    </row>
    <row r="166" spans="4:6">
      <c r="D166">
        <v>214</v>
      </c>
      <c r="E166">
        <v>8.7559661284545403</v>
      </c>
      <c r="F166">
        <v>-1.194683516268924E-2</v>
      </c>
    </row>
    <row r="167" spans="4:6">
      <c r="D167">
        <v>215</v>
      </c>
      <c r="E167">
        <v>8.768167492711374</v>
      </c>
      <c r="F167">
        <v>2.5452909414447333E-4</v>
      </c>
    </row>
    <row r="168" spans="4:6">
      <c r="D168">
        <v>216</v>
      </c>
      <c r="E168">
        <v>8.7560754393925624</v>
      </c>
      <c r="F168">
        <v>-1.1837524224667106E-2</v>
      </c>
    </row>
    <row r="169" spans="4:6">
      <c r="D169">
        <v>217</v>
      </c>
      <c r="E169">
        <v>8.7681637067046445</v>
      </c>
      <c r="F169">
        <v>2.5074308741501738E-4</v>
      </c>
    </row>
    <row r="170" spans="4:6">
      <c r="D170">
        <v>218</v>
      </c>
      <c r="E170">
        <v>8.7561816710935911</v>
      </c>
      <c r="F170">
        <v>-1.1731292523638359E-2</v>
      </c>
    </row>
    <row r="171" spans="4:6">
      <c r="D171">
        <v>219</v>
      </c>
      <c r="E171">
        <v>8.7681604235009463</v>
      </c>
      <c r="F171">
        <v>2.4745988371677186E-4</v>
      </c>
    </row>
    <row r="172" spans="4:6">
      <c r="D172">
        <v>220</v>
      </c>
      <c r="E172">
        <v>8.7562863849578161</v>
      </c>
      <c r="F172">
        <v>-1.1626578659413411E-2</v>
      </c>
    </row>
    <row r="173" spans="4:6">
      <c r="D173">
        <v>221</v>
      </c>
      <c r="E173">
        <v>8.7681566048874089</v>
      </c>
      <c r="F173">
        <v>2.4364127017939552E-4</v>
      </c>
    </row>
    <row r="174" spans="4:6">
      <c r="D174">
        <v>222</v>
      </c>
      <c r="E174">
        <v>8.7563886407491207</v>
      </c>
      <c r="F174">
        <v>-1.1524322868108783E-2</v>
      </c>
    </row>
    <row r="175" spans="4:6">
      <c r="D175">
        <v>223</v>
      </c>
      <c r="E175">
        <v>8.7681529199309907</v>
      </c>
      <c r="F175">
        <v>2.3995631376116933E-4</v>
      </c>
    </row>
    <row r="176" spans="4:6">
      <c r="D176">
        <v>224</v>
      </c>
      <c r="E176">
        <v>8.7564888709255939</v>
      </c>
      <c r="F176">
        <v>-1.1424092691635579E-2</v>
      </c>
    </row>
    <row r="177" spans="4:6">
      <c r="D177">
        <v>225</v>
      </c>
      <c r="E177">
        <v>8.7681495352588783</v>
      </c>
      <c r="F177">
        <v>2.365716416488084E-4</v>
      </c>
    </row>
    <row r="178" spans="4:6">
      <c r="D178">
        <v>226</v>
      </c>
      <c r="E178">
        <v>8.756587396878361</v>
      </c>
      <c r="F178">
        <v>-1.1325566738868531E-2</v>
      </c>
    </row>
    <row r="179" spans="4:6">
      <c r="D179">
        <v>227</v>
      </c>
      <c r="E179">
        <v>8.768145696055262</v>
      </c>
      <c r="F179">
        <v>2.3273243803245691E-4</v>
      </c>
    </row>
    <row r="180" spans="4:6">
      <c r="D180">
        <v>228</v>
      </c>
      <c r="E180">
        <v>8.7566838795023401</v>
      </c>
      <c r="F180">
        <v>-1.1229084114889432E-2</v>
      </c>
    </row>
    <row r="181" spans="4:6">
      <c r="D181">
        <v>229</v>
      </c>
      <c r="E181">
        <v>8.7681429493547878</v>
      </c>
      <c r="F181">
        <v>2.2998573755828033E-4</v>
      </c>
    </row>
    <row r="182" spans="4:6">
      <c r="D182">
        <v>230</v>
      </c>
      <c r="E182">
        <v>8.756779683245842</v>
      </c>
      <c r="F182">
        <v>-1.1133280371387499E-2</v>
      </c>
    </row>
    <row r="183" spans="4:6">
      <c r="D183">
        <v>231</v>
      </c>
      <c r="E183">
        <v>8.7681409729643178</v>
      </c>
      <c r="F183">
        <v>2.2800934708833154E-4</v>
      </c>
    </row>
    <row r="184" spans="4:6">
      <c r="D184">
        <v>232</v>
      </c>
      <c r="E184">
        <v>8.7568740689094717</v>
      </c>
      <c r="F184">
        <v>-1.1038894707757763E-2</v>
      </c>
    </row>
    <row r="185" spans="4:6">
      <c r="D185">
        <v>233</v>
      </c>
      <c r="E185">
        <v>8.7681389051081506</v>
      </c>
      <c r="F185">
        <v>2.2594149092114435E-4</v>
      </c>
    </row>
    <row r="186" spans="4:6">
      <c r="D186">
        <v>234</v>
      </c>
      <c r="E186">
        <v>8.7569670371923642</v>
      </c>
      <c r="F186">
        <v>-1.0945926424865249E-2</v>
      </c>
    </row>
    <row r="187" spans="4:6">
      <c r="D187">
        <v>235</v>
      </c>
      <c r="E187">
        <v>8.7681359687095899</v>
      </c>
      <c r="F187">
        <v>2.2300509236039545E-4</v>
      </c>
    </row>
    <row r="188" spans="4:6">
      <c r="D188">
        <v>236</v>
      </c>
      <c r="E188">
        <v>8.7570581164691781</v>
      </c>
      <c r="F188">
        <v>-1.0854847148051405E-2</v>
      </c>
    </row>
    <row r="189" spans="4:6">
      <c r="D189">
        <v>237</v>
      </c>
      <c r="E189">
        <v>8.7681328863965398</v>
      </c>
      <c r="F189">
        <v>2.1992277931026649E-4</v>
      </c>
    </row>
    <row r="190" spans="4:6">
      <c r="D190">
        <v>238</v>
      </c>
      <c r="E190">
        <v>8.757147274346309</v>
      </c>
      <c r="F190">
        <v>-1.0765689270920475E-2</v>
      </c>
    </row>
    <row r="191" spans="4:6">
      <c r="D191">
        <v>239</v>
      </c>
      <c r="E191">
        <v>8.7681309611823472</v>
      </c>
      <c r="F191">
        <v>2.179975651177557E-4</v>
      </c>
    </row>
    <row r="192" spans="4:6">
      <c r="D192">
        <v>240</v>
      </c>
      <c r="E192">
        <v>8.7572356456145339</v>
      </c>
      <c r="F192">
        <v>-1.0677318002695557E-2</v>
      </c>
    </row>
    <row r="193" spans="4:6">
      <c r="D193">
        <v>241</v>
      </c>
      <c r="E193">
        <v>8.7681292335249861</v>
      </c>
      <c r="F193">
        <v>2.1626990775658328E-4</v>
      </c>
    </row>
    <row r="194" spans="4:6">
      <c r="D194">
        <v>242</v>
      </c>
      <c r="E194">
        <v>8.7573227986375954</v>
      </c>
      <c r="F194">
        <v>-1.0590164979634054E-2</v>
      </c>
    </row>
    <row r="195" spans="4:6">
      <c r="D195">
        <v>243</v>
      </c>
      <c r="E195">
        <v>8.7681276581211698</v>
      </c>
      <c r="F195">
        <v>2.1469450394029366E-4</v>
      </c>
    </row>
    <row r="196" spans="4:6">
      <c r="D196">
        <v>244</v>
      </c>
      <c r="E196">
        <v>8.7574087951379376</v>
      </c>
      <c r="F196">
        <v>-1.050416847929192E-2</v>
      </c>
    </row>
    <row r="197" spans="4:6">
      <c r="D197">
        <v>245</v>
      </c>
      <c r="E197">
        <v>8.7681263041952526</v>
      </c>
      <c r="F197">
        <v>2.1334057802313566E-4</v>
      </c>
    </row>
    <row r="198" spans="4:6">
      <c r="D198">
        <v>246</v>
      </c>
      <c r="E198">
        <v>8.7574937336250169</v>
      </c>
      <c r="F198">
        <v>-1.0419229992212564E-2</v>
      </c>
    </row>
    <row r="199" spans="4:6">
      <c r="D199">
        <v>247</v>
      </c>
      <c r="E199">
        <v>8.7681248304499242</v>
      </c>
      <c r="F199">
        <v>2.1186683269469597E-4</v>
      </c>
    </row>
    <row r="200" spans="4:6">
      <c r="D200">
        <v>248</v>
      </c>
      <c r="E200">
        <v>8.7575772944512718</v>
      </c>
      <c r="F200">
        <v>-1.0335669165957739E-2</v>
      </c>
    </row>
    <row r="201" spans="4:6">
      <c r="D201">
        <v>249</v>
      </c>
      <c r="E201">
        <v>8.7681225137066932</v>
      </c>
      <c r="F201">
        <v>2.0955008946366149E-4</v>
      </c>
    </row>
    <row r="202" spans="4:6">
      <c r="D202">
        <v>250</v>
      </c>
      <c r="E202">
        <v>8.7576587567232309</v>
      </c>
      <c r="F202">
        <v>-1.0254206893998585E-2</v>
      </c>
    </row>
    <row r="203" spans="4:6">
      <c r="D203">
        <v>251</v>
      </c>
      <c r="E203">
        <v>8.7681204455909398</v>
      </c>
      <c r="F203">
        <v>2.0748197371034394E-4</v>
      </c>
    </row>
    <row r="204" spans="4:6">
      <c r="D204">
        <v>252</v>
      </c>
      <c r="E204">
        <v>8.7577388989908656</v>
      </c>
      <c r="F204">
        <v>-1.0174064626363943E-2</v>
      </c>
    </row>
    <row r="205" spans="4:6">
      <c r="D205">
        <v>253</v>
      </c>
      <c r="E205">
        <v>8.7681183488812291</v>
      </c>
      <c r="F205">
        <v>2.0538526399960233E-4</v>
      </c>
    </row>
    <row r="206" spans="4:6">
      <c r="D206">
        <v>254</v>
      </c>
      <c r="E206">
        <v>8.7578180042878344</v>
      </c>
      <c r="F206">
        <v>-1.0094959329395081E-2</v>
      </c>
    </row>
    <row r="207" spans="4:6">
      <c r="D207">
        <v>255</v>
      </c>
      <c r="E207">
        <v>8.7681155682519876</v>
      </c>
      <c r="F207">
        <v>2.0260463475807455E-4</v>
      </c>
    </row>
    <row r="208" spans="4:6">
      <c r="D208">
        <v>256</v>
      </c>
      <c r="E208">
        <v>8.7578951353729266</v>
      </c>
      <c r="F208">
        <v>-1.0017828244302862E-2</v>
      </c>
    </row>
    <row r="209" spans="4:6">
      <c r="D209">
        <v>257</v>
      </c>
      <c r="E209">
        <v>8.7681131486768891</v>
      </c>
      <c r="F209">
        <v>2.0018505965957445E-4</v>
      </c>
    </row>
    <row r="210" spans="4:6">
      <c r="D210">
        <v>258</v>
      </c>
      <c r="E210">
        <v>8.7579711773388187</v>
      </c>
      <c r="F210">
        <v>-9.9417862784108024E-3</v>
      </c>
    </row>
    <row r="211" spans="4:6">
      <c r="D211">
        <v>259</v>
      </c>
      <c r="E211">
        <v>8.768111035593563</v>
      </c>
      <c r="F211">
        <v>1.9807197633348039E-4</v>
      </c>
    </row>
    <row r="212" spans="4:6">
      <c r="D212">
        <v>260</v>
      </c>
      <c r="E212">
        <v>8.758046114398983</v>
      </c>
      <c r="F212">
        <v>-9.8668492182465428E-3</v>
      </c>
    </row>
    <row r="213" spans="4:6">
      <c r="D213">
        <v>261</v>
      </c>
      <c r="E213">
        <v>8.7681090313894252</v>
      </c>
      <c r="F213">
        <v>1.9606777219571825E-4</v>
      </c>
    </row>
    <row r="214" spans="4:6">
      <c r="D214">
        <v>262</v>
      </c>
      <c r="E214">
        <v>8.7581203282836562</v>
      </c>
      <c r="F214">
        <v>-9.7926353335733296E-3</v>
      </c>
    </row>
    <row r="215" spans="4:6">
      <c r="D215">
        <v>263</v>
      </c>
      <c r="E215">
        <v>8.768107321769083</v>
      </c>
      <c r="F215">
        <v>1.9435815185353533E-4</v>
      </c>
    </row>
    <row r="216" spans="4:6">
      <c r="D216">
        <v>264</v>
      </c>
      <c r="E216">
        <v>8.7581934743129306</v>
      </c>
      <c r="F216">
        <v>-9.7194893042988895E-3</v>
      </c>
    </row>
    <row r="217" spans="4:6">
      <c r="D217">
        <v>265</v>
      </c>
      <c r="E217">
        <v>8.7681050234833506</v>
      </c>
      <c r="F217">
        <v>1.9205986612114145E-4</v>
      </c>
    </row>
    <row r="218" spans="4:6">
      <c r="D218">
        <v>266</v>
      </c>
      <c r="E218">
        <v>8.7582651265577702</v>
      </c>
      <c r="F218">
        <v>-9.6478370594592633E-3</v>
      </c>
    </row>
    <row r="219" spans="4:6">
      <c r="D219">
        <v>267</v>
      </c>
      <c r="E219">
        <v>8.7681030267608371</v>
      </c>
      <c r="F219">
        <v>1.9006314360758836E-4</v>
      </c>
    </row>
    <row r="220" spans="4:6">
      <c r="D220">
        <v>268</v>
      </c>
      <c r="E220">
        <v>8.7583360058525859</v>
      </c>
      <c r="F220">
        <v>-9.5769577646436232E-3</v>
      </c>
    </row>
    <row r="221" spans="4:6">
      <c r="D221">
        <v>269</v>
      </c>
      <c r="E221">
        <v>8.7681008655425696</v>
      </c>
      <c r="F221">
        <v>1.8790192534012817E-4</v>
      </c>
    </row>
    <row r="222" spans="4:6">
      <c r="D222">
        <v>270</v>
      </c>
      <c r="E222">
        <v>8.7584054941745411</v>
      </c>
      <c r="F222">
        <v>-9.5074694426884321E-3</v>
      </c>
    </row>
    <row r="223" spans="4:6">
      <c r="D223">
        <v>271</v>
      </c>
      <c r="E223">
        <v>8.7680989587491016</v>
      </c>
      <c r="F223">
        <v>1.8599513187211869E-4</v>
      </c>
    </row>
    <row r="224" spans="4:6">
      <c r="D224">
        <v>272</v>
      </c>
      <c r="E224">
        <v>8.7584743558789224</v>
      </c>
      <c r="F224">
        <v>-9.4386077383070699E-3</v>
      </c>
    </row>
    <row r="225" spans="4:6">
      <c r="D225">
        <v>273</v>
      </c>
      <c r="E225">
        <v>8.7680968528085028</v>
      </c>
      <c r="F225">
        <v>1.8388919127332315E-4</v>
      </c>
    </row>
    <row r="226" spans="4:6">
      <c r="D226">
        <v>274</v>
      </c>
      <c r="E226">
        <v>8.7585420371106579</v>
      </c>
      <c r="F226">
        <v>-9.3709265065715641E-3</v>
      </c>
    </row>
    <row r="227" spans="4:6">
      <c r="D227">
        <v>275</v>
      </c>
      <c r="E227">
        <v>8.7680940152712736</v>
      </c>
      <c r="F227">
        <v>1.8105165404413981E-4</v>
      </c>
    </row>
    <row r="228" spans="4:6">
      <c r="D228">
        <v>276</v>
      </c>
      <c r="E228">
        <v>8.7586080062083003</v>
      </c>
      <c r="F228">
        <v>-9.3049574089292264E-3</v>
      </c>
    </row>
    <row r="229" spans="4:6">
      <c r="D229">
        <v>277</v>
      </c>
      <c r="E229">
        <v>8.7680914012128159</v>
      </c>
      <c r="F229">
        <v>1.7843759558644479E-4</v>
      </c>
    </row>
    <row r="230" spans="4:6">
      <c r="D230">
        <v>278</v>
      </c>
      <c r="E230">
        <v>8.7586726444243759</v>
      </c>
      <c r="F230">
        <v>-9.2403191928536188E-3</v>
      </c>
    </row>
    <row r="231" spans="4:6">
      <c r="D231">
        <v>279</v>
      </c>
      <c r="E231">
        <v>8.7680895354931128</v>
      </c>
      <c r="F231">
        <v>1.7657187588326906E-4</v>
      </c>
    </row>
    <row r="232" spans="4:6">
      <c r="D232">
        <v>280</v>
      </c>
      <c r="E232">
        <v>8.7587371026312368</v>
      </c>
      <c r="F232">
        <v>-9.1758609859926565E-3</v>
      </c>
    </row>
    <row r="233" spans="4:6">
      <c r="D233">
        <v>281</v>
      </c>
      <c r="E233">
        <v>8.768088068280063</v>
      </c>
      <c r="F233">
        <v>1.7510466283354731E-4</v>
      </c>
    </row>
    <row r="234" spans="4:6">
      <c r="D234">
        <v>282</v>
      </c>
      <c r="E234">
        <v>8.7588012960316419</v>
      </c>
      <c r="F234">
        <v>-9.1116675855875684E-3</v>
      </c>
    </row>
    <row r="235" spans="4:6">
      <c r="D235">
        <v>283</v>
      </c>
      <c r="E235">
        <v>8.768086459912432</v>
      </c>
      <c r="F235">
        <v>1.7349629520246879E-4</v>
      </c>
    </row>
    <row r="236" spans="4:6">
      <c r="D236">
        <v>284</v>
      </c>
      <c r="E236">
        <v>8.7588646296072206</v>
      </c>
      <c r="F236">
        <v>-9.0483340100089293E-3</v>
      </c>
    </row>
    <row r="237" spans="4:6">
      <c r="D237">
        <v>285</v>
      </c>
      <c r="E237">
        <v>8.7680844717328625</v>
      </c>
      <c r="F237">
        <v>1.7150811563304558E-4</v>
      </c>
    </row>
    <row r="238" spans="4:6">
      <c r="D238">
        <v>286</v>
      </c>
      <c r="E238">
        <v>8.7589266781721822</v>
      </c>
      <c r="F238">
        <v>-8.9862854450473151E-3</v>
      </c>
    </row>
    <row r="239" spans="4:6">
      <c r="D239">
        <v>287</v>
      </c>
      <c r="E239">
        <v>8.7680826820550255</v>
      </c>
      <c r="F239">
        <v>1.6971843779600704E-4</v>
      </c>
    </row>
    <row r="240" spans="4:6">
      <c r="D240">
        <v>288</v>
      </c>
      <c r="E240">
        <v>8.7589880316532795</v>
      </c>
      <c r="F240">
        <v>-8.9249319639499447E-3</v>
      </c>
    </row>
    <row r="241" spans="4:6">
      <c r="D241">
        <v>289</v>
      </c>
      <c r="E241">
        <v>8.7680806891453038</v>
      </c>
      <c r="F241">
        <v>1.6772552807431396E-4</v>
      </c>
    </row>
    <row r="242" spans="4:6">
      <c r="D242">
        <v>290</v>
      </c>
      <c r="E242">
        <v>8.7590481597021377</v>
      </c>
      <c r="F242">
        <v>-8.8648039150918123E-3</v>
      </c>
    </row>
    <row r="243" spans="4:6">
      <c r="D243">
        <v>291</v>
      </c>
      <c r="E243">
        <v>8.7680786664656161</v>
      </c>
      <c r="F243">
        <v>1.6570284838657301E-4</v>
      </c>
    </row>
    <row r="244" spans="4:6">
      <c r="D244">
        <v>292</v>
      </c>
      <c r="E244">
        <v>8.7591075061033763</v>
      </c>
      <c r="F244">
        <v>-8.8054575138531987E-3</v>
      </c>
    </row>
    <row r="245" spans="4:6">
      <c r="D245">
        <v>293</v>
      </c>
      <c r="E245">
        <v>8.7680770271042174</v>
      </c>
      <c r="F245">
        <v>1.6406348698794204E-4</v>
      </c>
    </row>
    <row r="246" spans="4:6">
      <c r="D246">
        <v>294</v>
      </c>
      <c r="E246">
        <v>8.7591661897145556</v>
      </c>
      <c r="F246">
        <v>-8.7467739026738656E-3</v>
      </c>
    </row>
    <row r="247" spans="4:6">
      <c r="D247">
        <v>295</v>
      </c>
      <c r="E247">
        <v>8.7680753615036711</v>
      </c>
      <c r="F247">
        <v>1.6239788644156761E-4</v>
      </c>
    </row>
    <row r="248" spans="4:6">
      <c r="D248">
        <v>296</v>
      </c>
      <c r="E248">
        <v>8.7592239754534269</v>
      </c>
      <c r="F248">
        <v>-8.6889881638025912E-3</v>
      </c>
    </row>
    <row r="249" spans="4:6">
      <c r="D249">
        <v>297</v>
      </c>
      <c r="E249">
        <v>8.7680736809359825</v>
      </c>
      <c r="F249">
        <v>1.6071731875300088E-4</v>
      </c>
    </row>
    <row r="250" spans="4:6">
      <c r="D250">
        <v>298</v>
      </c>
      <c r="E250">
        <v>8.7592810884984154</v>
      </c>
      <c r="F250">
        <v>-8.6318751188141363E-3</v>
      </c>
    </row>
    <row r="251" spans="4:6">
      <c r="D251">
        <v>299</v>
      </c>
      <c r="E251">
        <v>8.768072056078033</v>
      </c>
      <c r="F251">
        <v>1.5909246080347828E-4</v>
      </c>
    </row>
    <row r="252" spans="4:6">
      <c r="D252">
        <v>300</v>
      </c>
      <c r="E252">
        <v>8.7593375033488865</v>
      </c>
      <c r="F252">
        <v>-8.5754602683429937E-3</v>
      </c>
    </row>
    <row r="253" spans="4:6">
      <c r="D253">
        <v>301</v>
      </c>
      <c r="E253">
        <v>8.7680707638739293</v>
      </c>
      <c r="F253">
        <v>1.5780025669975828E-4</v>
      </c>
    </row>
    <row r="254" spans="4:6">
      <c r="D254">
        <v>302</v>
      </c>
      <c r="E254">
        <v>8.7593934566329263</v>
      </c>
      <c r="F254">
        <v>-8.519506984303149E-3</v>
      </c>
    </row>
    <row r="255" spans="4:6">
      <c r="D255">
        <v>303</v>
      </c>
      <c r="E255">
        <v>8.7680693713668614</v>
      </c>
      <c r="F255">
        <v>1.5640774963188164E-4</v>
      </c>
    </row>
    <row r="256" spans="4:6">
      <c r="D256">
        <v>304</v>
      </c>
      <c r="E256">
        <v>8.759448672017923</v>
      </c>
      <c r="F256">
        <v>-8.464291599306506E-3</v>
      </c>
    </row>
    <row r="257" spans="4:6">
      <c r="D257">
        <v>305</v>
      </c>
      <c r="E257">
        <v>8.7680679145639342</v>
      </c>
      <c r="F257">
        <v>1.5495094670470166E-4</v>
      </c>
    </row>
    <row r="258" spans="4:6">
      <c r="D258">
        <v>306</v>
      </c>
      <c r="E258">
        <v>8.7595031891370994</v>
      </c>
      <c r="F258">
        <v>-8.4097744801301388E-3</v>
      </c>
    </row>
    <row r="259" spans="4:6">
      <c r="D259">
        <v>307</v>
      </c>
      <c r="E259">
        <v>8.7680662169872612</v>
      </c>
      <c r="F259">
        <v>1.5325337003169182E-4</v>
      </c>
    </row>
    <row r="260" spans="4:6">
      <c r="D260">
        <v>308</v>
      </c>
      <c r="E260">
        <v>8.7595567724477448</v>
      </c>
      <c r="F260">
        <v>-8.3561911694847169E-3</v>
      </c>
    </row>
    <row r="261" spans="4:6">
      <c r="D261">
        <v>309</v>
      </c>
      <c r="E261">
        <v>8.7680645148728846</v>
      </c>
      <c r="F261">
        <v>1.5155125565513572E-4</v>
      </c>
    </row>
    <row r="262" spans="4:6">
      <c r="D262">
        <v>310</v>
      </c>
      <c r="E262">
        <v>8.7596095928149804</v>
      </c>
      <c r="F262">
        <v>-8.3033708022490771E-3</v>
      </c>
    </row>
    <row r="263" spans="4:6">
      <c r="D263">
        <v>311</v>
      </c>
      <c r="E263">
        <v>8.7680628077369569</v>
      </c>
      <c r="F263">
        <v>1.4984411972740475E-4</v>
      </c>
    </row>
    <row r="264" spans="4:6">
      <c r="D264">
        <v>312</v>
      </c>
      <c r="E264">
        <v>8.7596616099112605</v>
      </c>
      <c r="F264">
        <v>-8.2513537059689668E-3</v>
      </c>
    </row>
    <row r="265" spans="4:6">
      <c r="D265">
        <v>313</v>
      </c>
      <c r="E265">
        <v>8.7680607421692294</v>
      </c>
      <c r="F265">
        <v>1.4777855199987755E-4</v>
      </c>
    </row>
    <row r="266" spans="4:6">
      <c r="D266">
        <v>314</v>
      </c>
      <c r="E266">
        <v>8.7597127488566109</v>
      </c>
      <c r="F266">
        <v>-8.2002147606186071E-3</v>
      </c>
    </row>
    <row r="267" spans="4:6">
      <c r="D267">
        <v>315</v>
      </c>
      <c r="E267">
        <v>8.7680586292632832</v>
      </c>
      <c r="F267">
        <v>1.4566564605367205E-4</v>
      </c>
    </row>
    <row r="268" spans="4:6">
      <c r="D268">
        <v>316</v>
      </c>
      <c r="E268">
        <v>8.7597630901903702</v>
      </c>
      <c r="F268">
        <v>-8.1498734268592443E-3</v>
      </c>
    </row>
    <row r="269" spans="4:6">
      <c r="D269">
        <v>317</v>
      </c>
      <c r="E269">
        <v>8.7680567218948724</v>
      </c>
      <c r="F269">
        <v>1.437582776429025E-4</v>
      </c>
    </row>
    <row r="270" spans="4:6">
      <c r="D270">
        <v>318</v>
      </c>
      <c r="E270">
        <v>8.7598128658859356</v>
      </c>
      <c r="F270">
        <v>-8.1000977312939426E-3</v>
      </c>
    </row>
    <row r="271" spans="4:6">
      <c r="D271">
        <v>319</v>
      </c>
      <c r="E271">
        <v>8.7680549499357134</v>
      </c>
      <c r="F271">
        <v>1.4198631848394427E-4</v>
      </c>
    </row>
    <row r="272" spans="4:6">
      <c r="D272">
        <v>320</v>
      </c>
      <c r="E272">
        <v>8.7598623009718484</v>
      </c>
      <c r="F272">
        <v>-8.0506626453811236E-3</v>
      </c>
    </row>
    <row r="273" spans="4:6">
      <c r="D273">
        <v>321</v>
      </c>
      <c r="E273">
        <v>8.7680539757315543</v>
      </c>
      <c r="F273">
        <v>1.410121143248233E-4</v>
      </c>
    </row>
    <row r="274" spans="4:6">
      <c r="D274">
        <v>322</v>
      </c>
      <c r="E274">
        <v>8.7599109695945803</v>
      </c>
      <c r="F274">
        <v>-8.0019940226492281E-3</v>
      </c>
    </row>
    <row r="275" spans="4:6">
      <c r="D275">
        <v>323</v>
      </c>
      <c r="E275">
        <v>8.7680526168203059</v>
      </c>
      <c r="F275">
        <v>1.3965320307640638E-4</v>
      </c>
    </row>
    <row r="276" spans="4:6">
      <c r="D276">
        <v>324</v>
      </c>
      <c r="E276">
        <v>8.7599591536941546</v>
      </c>
      <c r="F276">
        <v>-7.9538099230749282E-3</v>
      </c>
    </row>
    <row r="277" spans="4:6">
      <c r="D277">
        <v>325</v>
      </c>
      <c r="E277">
        <v>8.7680510657224904</v>
      </c>
      <c r="F277">
        <v>1.381021052608844E-4</v>
      </c>
    </row>
    <row r="278" spans="4:6">
      <c r="D278">
        <v>326</v>
      </c>
      <c r="E278">
        <v>8.7600068848968373</v>
      </c>
      <c r="F278">
        <v>-7.9060787203921734E-3</v>
      </c>
    </row>
    <row r="279" spans="4:6">
      <c r="D279">
        <v>327</v>
      </c>
      <c r="E279">
        <v>8.7680500007809599</v>
      </c>
      <c r="F279">
        <v>1.3703716373036912E-4</v>
      </c>
    </row>
    <row r="280" spans="4:6">
      <c r="D280">
        <v>328</v>
      </c>
      <c r="E280">
        <v>8.7600542495817333</v>
      </c>
      <c r="F280">
        <v>-7.858714035496206E-3</v>
      </c>
    </row>
    <row r="281" spans="4:6">
      <c r="D281">
        <v>329</v>
      </c>
      <c r="E281">
        <v>8.7680493240572126</v>
      </c>
      <c r="F281">
        <v>1.3636043998310754E-4</v>
      </c>
    </row>
    <row r="282" spans="4:6">
      <c r="D282">
        <v>330</v>
      </c>
      <c r="E282">
        <v>8.7601014157780952</v>
      </c>
      <c r="F282">
        <v>-7.8115478391342918E-3</v>
      </c>
    </row>
    <row r="283" spans="4:6">
      <c r="D283">
        <v>331</v>
      </c>
      <c r="E283">
        <v>8.7680485333762253</v>
      </c>
      <c r="F283">
        <v>1.3556975899575718E-4</v>
      </c>
    </row>
    <row r="284" spans="4:6">
      <c r="D284">
        <v>332</v>
      </c>
      <c r="E284">
        <v>8.7601481478104439</v>
      </c>
      <c r="F284">
        <v>-7.7648158067855633E-3</v>
      </c>
    </row>
    <row r="285" spans="4:6">
      <c r="D285">
        <v>333</v>
      </c>
      <c r="E285">
        <v>8.7680477808533652</v>
      </c>
      <c r="F285">
        <v>1.3481723613573138E-4</v>
      </c>
    </row>
    <row r="286" spans="4:6">
      <c r="D286">
        <v>334</v>
      </c>
      <c r="E286">
        <v>8.760194367084388</v>
      </c>
      <c r="F286">
        <v>-7.7185965328414596E-3</v>
      </c>
    </row>
    <row r="287" spans="4:6">
      <c r="D287">
        <v>335</v>
      </c>
      <c r="E287">
        <v>8.7680469499986629</v>
      </c>
      <c r="F287">
        <v>1.3398638143335972E-4</v>
      </c>
    </row>
    <row r="288" spans="4:6">
      <c r="D288">
        <v>336</v>
      </c>
      <c r="E288">
        <v>8.7602399364787047</v>
      </c>
      <c r="F288">
        <v>-7.6730271385248017E-3</v>
      </c>
    </row>
    <row r="289" spans="4:6">
      <c r="D289">
        <v>337</v>
      </c>
      <c r="E289">
        <v>8.7680460373947255</v>
      </c>
      <c r="F289">
        <v>1.3307377749605109E-4</v>
      </c>
    </row>
    <row r="290" spans="4:6">
      <c r="D290">
        <v>338</v>
      </c>
      <c r="E290">
        <v>8.760284805417113</v>
      </c>
      <c r="F290">
        <v>-7.6281582001165305E-3</v>
      </c>
    </row>
    <row r="291" spans="4:6">
      <c r="D291">
        <v>339</v>
      </c>
      <c r="E291">
        <v>8.7680449716817463</v>
      </c>
      <c r="F291">
        <v>1.320080645168531E-4</v>
      </c>
    </row>
    <row r="292" spans="4:6">
      <c r="D292">
        <v>340</v>
      </c>
      <c r="E292">
        <v>8.7603291203344948</v>
      </c>
      <c r="F292">
        <v>-7.583843282734648E-3</v>
      </c>
    </row>
    <row r="293" spans="4:6">
      <c r="D293">
        <v>341</v>
      </c>
      <c r="E293">
        <v>8.7680438354587249</v>
      </c>
      <c r="F293">
        <v>1.3087184149540576E-4</v>
      </c>
    </row>
    <row r="294" spans="4:6">
      <c r="D294">
        <v>342</v>
      </c>
      <c r="E294">
        <v>8.7603727375605764</v>
      </c>
      <c r="F294">
        <v>-7.5402260566530543E-3</v>
      </c>
    </row>
    <row r="295" spans="4:6">
      <c r="D295">
        <v>343</v>
      </c>
      <c r="E295">
        <v>8.7680427113048509</v>
      </c>
      <c r="F295">
        <v>1.2974768762141764E-4</v>
      </c>
    </row>
    <row r="296" spans="4:6">
      <c r="D296">
        <v>344</v>
      </c>
      <c r="E296">
        <v>8.7604159947304261</v>
      </c>
      <c r="F296">
        <v>-7.4969688868034012E-3</v>
      </c>
    </row>
    <row r="297" spans="4:6">
      <c r="D297">
        <v>345</v>
      </c>
      <c r="E297">
        <v>8.7680413619186588</v>
      </c>
      <c r="F297">
        <v>1.2839830142929998E-4</v>
      </c>
    </row>
    <row r="298" spans="4:6">
      <c r="D298">
        <v>346</v>
      </c>
      <c r="E298">
        <v>8.7604583501039563</v>
      </c>
      <c r="F298">
        <v>-7.454613513273145E-3</v>
      </c>
    </row>
    <row r="299" spans="4:6">
      <c r="D299">
        <v>347</v>
      </c>
      <c r="E299">
        <v>8.7680405352653548</v>
      </c>
      <c r="F299">
        <v>1.2757164812526867E-4</v>
      </c>
    </row>
    <row r="300" spans="4:6">
      <c r="D300">
        <v>348</v>
      </c>
      <c r="E300">
        <v>8.7605006725459589</v>
      </c>
      <c r="F300">
        <v>-7.4122910712706158E-3</v>
      </c>
    </row>
    <row r="301" spans="4:6">
      <c r="D301">
        <v>349</v>
      </c>
      <c r="E301">
        <v>8.7680396244210357</v>
      </c>
      <c r="F301">
        <v>1.2666080380618894E-4</v>
      </c>
    </row>
    <row r="302" spans="4:6">
      <c r="D302">
        <v>350</v>
      </c>
      <c r="E302">
        <v>8.7605423689231525</v>
      </c>
      <c r="F302">
        <v>-7.3705946940769707E-3</v>
      </c>
    </row>
    <row r="303" spans="4:6">
      <c r="D303">
        <v>351</v>
      </c>
      <c r="E303">
        <v>8.7680389026887919</v>
      </c>
      <c r="F303">
        <v>1.25939071562442E-4</v>
      </c>
    </row>
    <row r="304" spans="4:6">
      <c r="D304">
        <v>352</v>
      </c>
      <c r="E304">
        <v>8.7605838407951513</v>
      </c>
      <c r="F304">
        <v>-7.3291228220782045E-3</v>
      </c>
    </row>
    <row r="305" spans="4:6">
      <c r="D305">
        <v>353</v>
      </c>
      <c r="E305">
        <v>8.7680379701361115</v>
      </c>
      <c r="F305">
        <v>1.2500651888203151E-4</v>
      </c>
    </row>
    <row r="306" spans="4:6">
      <c r="D306">
        <v>354</v>
      </c>
      <c r="E306">
        <v>8.7606247892113842</v>
      </c>
      <c r="F306">
        <v>-7.2881744058452824E-3</v>
      </c>
    </row>
    <row r="307" spans="4:6">
      <c r="D307">
        <v>355</v>
      </c>
      <c r="E307">
        <v>8.7680369651302517</v>
      </c>
      <c r="F307">
        <v>1.24001513022165E-4</v>
      </c>
    </row>
    <row r="308" spans="4:6">
      <c r="D308">
        <v>356</v>
      </c>
      <c r="E308">
        <v>8.7606651358968328</v>
      </c>
      <c r="F308">
        <v>-7.2478277203966712E-3</v>
      </c>
    </row>
    <row r="309" spans="4:6">
      <c r="D309">
        <v>357</v>
      </c>
      <c r="E309">
        <v>8.768035901674688</v>
      </c>
      <c r="F309">
        <v>1.2293805745855479E-4</v>
      </c>
    </row>
    <row r="310" spans="4:6">
      <c r="D310">
        <v>358</v>
      </c>
      <c r="E310">
        <v>8.7607050367533503</v>
      </c>
      <c r="F310">
        <v>-7.207926863879166E-3</v>
      </c>
    </row>
    <row r="311" spans="4:6">
      <c r="D311">
        <v>359</v>
      </c>
      <c r="E311">
        <v>8.7680349847559533</v>
      </c>
      <c r="F311">
        <v>1.2202113872383791E-4</v>
      </c>
    </row>
    <row r="312" spans="4:6">
      <c r="D312">
        <v>360</v>
      </c>
      <c r="E312">
        <v>8.7607443675068826</v>
      </c>
      <c r="F312">
        <v>-7.1685961103469253E-3</v>
      </c>
    </row>
    <row r="313" spans="4:6">
      <c r="D313">
        <v>361</v>
      </c>
      <c r="E313">
        <v>8.7680341387479999</v>
      </c>
      <c r="F313">
        <v>1.211751307703679E-4</v>
      </c>
    </row>
    <row r="314" spans="4:6">
      <c r="D314">
        <v>362</v>
      </c>
      <c r="E314">
        <v>8.7607833856274571</v>
      </c>
      <c r="F314">
        <v>-7.1295779897724287E-3</v>
      </c>
    </row>
    <row r="315" spans="4:6">
      <c r="D315">
        <v>363</v>
      </c>
      <c r="E315">
        <v>8.7680334021602171</v>
      </c>
      <c r="F315">
        <v>1.2043854298759982E-4</v>
      </c>
    </row>
    <row r="316" spans="4:6">
      <c r="D316">
        <v>364</v>
      </c>
      <c r="E316">
        <v>8.7608222768295754</v>
      </c>
      <c r="F316">
        <v>-7.0906867876541213E-3</v>
      </c>
    </row>
    <row r="317" spans="4:6">
      <c r="D317">
        <v>365</v>
      </c>
      <c r="E317">
        <v>8.7680325420724294</v>
      </c>
      <c r="F317">
        <v>1.1957845519994237E-4</v>
      </c>
    </row>
    <row r="318" spans="4:6">
      <c r="D318">
        <v>366</v>
      </c>
      <c r="E318">
        <v>8.760860537666316</v>
      </c>
      <c r="F318">
        <v>-7.0524259509134879E-3</v>
      </c>
    </row>
    <row r="319" spans="4:6">
      <c r="D319">
        <v>367</v>
      </c>
      <c r="E319">
        <v>8.7680315151098025</v>
      </c>
      <c r="F319">
        <v>1.1855149257300468E-4</v>
      </c>
    </row>
    <row r="320" spans="4:6">
      <c r="D320">
        <v>368</v>
      </c>
      <c r="E320">
        <v>8.760898293292982</v>
      </c>
      <c r="F320">
        <v>-7.0146703242475184E-3</v>
      </c>
    </row>
    <row r="321" spans="4:6">
      <c r="D321">
        <v>369</v>
      </c>
      <c r="E321">
        <v>8.7680301085566192</v>
      </c>
      <c r="F321">
        <v>1.1714493938974613E-4</v>
      </c>
    </row>
    <row r="322" spans="4:6">
      <c r="D322">
        <v>370</v>
      </c>
      <c r="E322">
        <v>8.7609352730774006</v>
      </c>
      <c r="F322">
        <v>-6.9776905398288847E-3</v>
      </c>
    </row>
    <row r="323" spans="4:6">
      <c r="D323">
        <v>371</v>
      </c>
      <c r="E323">
        <v>8.7680291437224422</v>
      </c>
      <c r="F323">
        <v>1.1618010521274869E-4</v>
      </c>
    </row>
    <row r="324" spans="4:6">
      <c r="D324">
        <v>372</v>
      </c>
      <c r="E324">
        <v>8.7609719901745624</v>
      </c>
      <c r="F324">
        <v>-6.9409734426670866E-3</v>
      </c>
    </row>
    <row r="325" spans="4:6">
      <c r="D325">
        <v>373</v>
      </c>
      <c r="E325">
        <v>8.7680287108463943</v>
      </c>
      <c r="F325">
        <v>1.1574722916485314E-4</v>
      </c>
    </row>
    <row r="326" spans="4:6">
      <c r="D326">
        <v>374</v>
      </c>
      <c r="E326">
        <v>8.7610088513859363</v>
      </c>
      <c r="F326">
        <v>-6.9041122312931691E-3</v>
      </c>
    </row>
    <row r="327" spans="4:6">
      <c r="D327">
        <v>375</v>
      </c>
      <c r="E327">
        <v>8.7680279442389661</v>
      </c>
      <c r="F327">
        <v>1.1498062173664891E-4</v>
      </c>
    </row>
    <row r="328" spans="4:6">
      <c r="D328">
        <v>376</v>
      </c>
      <c r="E328">
        <v>8.7610452517514776</v>
      </c>
      <c r="F328">
        <v>-6.8677118657518577E-3</v>
      </c>
    </row>
    <row r="329" spans="4:6">
      <c r="D329">
        <v>377</v>
      </c>
      <c r="E329">
        <v>8.7680269147753123</v>
      </c>
      <c r="F329">
        <v>1.1395115808277012E-4</v>
      </c>
    </row>
    <row r="330" spans="4:6">
      <c r="D330">
        <v>378</v>
      </c>
      <c r="E330">
        <v>8.7610809847823266</v>
      </c>
      <c r="F330">
        <v>-6.8319788349029409E-3</v>
      </c>
    </row>
    <row r="331" spans="4:6">
      <c r="D331">
        <v>379</v>
      </c>
      <c r="E331">
        <v>8.7680259568222407</v>
      </c>
      <c r="F331">
        <v>1.1299320501123589E-4</v>
      </c>
    </row>
    <row r="332" spans="4:6">
      <c r="D332">
        <v>380</v>
      </c>
      <c r="E332">
        <v>8.7611163479690877</v>
      </c>
      <c r="F332">
        <v>-6.7966156481418238E-3</v>
      </c>
    </row>
    <row r="333" spans="4:6">
      <c r="D333">
        <v>381</v>
      </c>
      <c r="E333">
        <v>8.7680248473825024</v>
      </c>
      <c r="F333">
        <v>1.1188376527293542E-4</v>
      </c>
    </row>
    <row r="334" spans="4:6">
      <c r="D334">
        <v>382</v>
      </c>
      <c r="E334">
        <v>8.7611512353352659</v>
      </c>
      <c r="F334">
        <v>-6.7617282819636415E-3</v>
      </c>
    </row>
    <row r="335" spans="4:6">
      <c r="D335">
        <v>383</v>
      </c>
      <c r="E335">
        <v>8.7680236381222407</v>
      </c>
      <c r="F335">
        <v>1.1067450501123233E-4</v>
      </c>
    </row>
    <row r="336" spans="4:6">
      <c r="D336">
        <v>384</v>
      </c>
      <c r="E336">
        <v>8.7611856240989425</v>
      </c>
      <c r="F336">
        <v>-6.7273395182869677E-3</v>
      </c>
    </row>
    <row r="337" spans="4:6">
      <c r="D337">
        <v>385</v>
      </c>
      <c r="E337">
        <v>8.7680224714188348</v>
      </c>
      <c r="F337">
        <v>1.0950780160534634E-4</v>
      </c>
    </row>
    <row r="338" spans="4:6">
      <c r="D338">
        <v>386</v>
      </c>
      <c r="E338">
        <v>8.7612195115153142</v>
      </c>
      <c r="F338">
        <v>-6.6934521019152982E-3</v>
      </c>
    </row>
    <row r="339" spans="4:6">
      <c r="D339">
        <v>387</v>
      </c>
      <c r="E339">
        <v>8.7680215750800183</v>
      </c>
      <c r="F339">
        <v>1.0861146278884348E-4</v>
      </c>
    </row>
    <row r="340" spans="4:6">
      <c r="D340">
        <v>388</v>
      </c>
      <c r="E340">
        <v>8.7612534355107439</v>
      </c>
      <c r="F340">
        <v>-6.6595281064856238E-3</v>
      </c>
    </row>
    <row r="341" spans="4:6">
      <c r="D341">
        <v>389</v>
      </c>
      <c r="E341">
        <v>8.7680205588152784</v>
      </c>
      <c r="F341">
        <v>1.0759519804892648E-4</v>
      </c>
    </row>
    <row r="342" spans="4:6">
      <c r="D342">
        <v>390</v>
      </c>
      <c r="E342">
        <v>8.7612869288526483</v>
      </c>
      <c r="F342">
        <v>-6.6260347645812345E-3</v>
      </c>
    </row>
    <row r="343" spans="4:6">
      <c r="D343">
        <v>391</v>
      </c>
      <c r="E343">
        <v>8.7680195016493876</v>
      </c>
      <c r="F343">
        <v>1.0653803215809887E-4</v>
      </c>
    </row>
    <row r="344" spans="4:6">
      <c r="D344">
        <v>392</v>
      </c>
      <c r="E344">
        <v>8.761319941179794</v>
      </c>
      <c r="F344">
        <v>-6.5930224374355362E-3</v>
      </c>
    </row>
    <row r="345" spans="4:6">
      <c r="D345">
        <v>393</v>
      </c>
      <c r="E345">
        <v>8.76801851925965</v>
      </c>
      <c r="F345">
        <v>1.0555564242054061E-4</v>
      </c>
    </row>
    <row r="346" spans="4:6">
      <c r="D346">
        <v>394</v>
      </c>
      <c r="E346">
        <v>8.7613525630051079</v>
      </c>
      <c r="F346">
        <v>-6.5604006121215974E-3</v>
      </c>
    </row>
    <row r="347" spans="4:6">
      <c r="D347">
        <v>395</v>
      </c>
      <c r="E347">
        <v>8.7680176004995474</v>
      </c>
      <c r="F347">
        <v>1.0463688231787671E-4</v>
      </c>
    </row>
    <row r="348" spans="4:6">
      <c r="D348">
        <v>396</v>
      </c>
      <c r="E348">
        <v>8.7613850040425874</v>
      </c>
      <c r="F348">
        <v>-6.5279595746421393E-3</v>
      </c>
    </row>
    <row r="349" spans="4:6">
      <c r="D349">
        <v>397</v>
      </c>
      <c r="E349">
        <v>8.7680166520254019</v>
      </c>
      <c r="F349">
        <v>1.0368840817243097E-4</v>
      </c>
    </row>
    <row r="350" spans="4:6">
      <c r="D350">
        <v>398</v>
      </c>
      <c r="E350">
        <v>8.7614169341537309</v>
      </c>
      <c r="F350">
        <v>-6.4960294634985871E-3</v>
      </c>
    </row>
    <row r="351" spans="4:6">
      <c r="D351">
        <v>399</v>
      </c>
      <c r="E351">
        <v>8.7680160767758544</v>
      </c>
      <c r="F351">
        <v>1.0311315862487902E-4</v>
      </c>
    </row>
    <row r="352" spans="4:6">
      <c r="D352">
        <v>400</v>
      </c>
      <c r="E352">
        <v>8.7614487905078526</v>
      </c>
      <c r="F352">
        <v>-6.4641731093768584E-3</v>
      </c>
    </row>
    <row r="353" spans="4:6">
      <c r="D353">
        <v>401</v>
      </c>
      <c r="E353">
        <v>8.768015441567675</v>
      </c>
      <c r="F353">
        <v>1.024779504454898E-4</v>
      </c>
    </row>
    <row r="354" spans="4:6">
      <c r="D354">
        <v>402</v>
      </c>
      <c r="E354">
        <v>8.7614805167063352</v>
      </c>
      <c r="F354">
        <v>-6.432446910894285E-3</v>
      </c>
    </row>
    <row r="355" spans="4:6">
      <c r="D355">
        <v>403</v>
      </c>
      <c r="E355">
        <v>8.7680147400217852</v>
      </c>
      <c r="F355">
        <v>1.0177640455566461E-4</v>
      </c>
    </row>
    <row r="356" spans="4:6">
      <c r="D356">
        <v>404</v>
      </c>
      <c r="E356">
        <v>8.7615119015785758</v>
      </c>
      <c r="F356">
        <v>-6.4010620386536488E-3</v>
      </c>
    </row>
    <row r="357" spans="4:6">
      <c r="D357">
        <v>405</v>
      </c>
      <c r="E357">
        <v>8.7680139987387751</v>
      </c>
      <c r="F357">
        <v>1.0103512154557848E-4</v>
      </c>
    </row>
    <row r="358" spans="4:6">
      <c r="D358">
        <v>406</v>
      </c>
      <c r="E358">
        <v>8.7615429670508274</v>
      </c>
      <c r="F358">
        <v>-6.3699965664021363E-3</v>
      </c>
    </row>
    <row r="359" spans="4:6">
      <c r="D359">
        <v>407</v>
      </c>
      <c r="E359">
        <v>8.7680135260862606</v>
      </c>
      <c r="F359">
        <v>1.0056246903111798E-4</v>
      </c>
    </row>
    <row r="360" spans="4:6">
      <c r="D360">
        <v>408</v>
      </c>
      <c r="E360">
        <v>8.7615738011175992</v>
      </c>
      <c r="F360">
        <v>-6.3391624996302909E-3</v>
      </c>
    </row>
    <row r="361" spans="4:6">
      <c r="D361">
        <v>409</v>
      </c>
      <c r="E361">
        <v>8.7680131189953574</v>
      </c>
      <c r="F361">
        <v>1.0015537812790853E-4</v>
      </c>
    </row>
    <row r="362" spans="4:6">
      <c r="D362">
        <v>410</v>
      </c>
      <c r="E362">
        <v>8.7616045315605149</v>
      </c>
      <c r="F362">
        <v>-6.3084320567146079E-3</v>
      </c>
    </row>
    <row r="363" spans="4:6">
      <c r="D363">
        <v>411</v>
      </c>
      <c r="E363">
        <v>8.7680127568529898</v>
      </c>
      <c r="F363">
        <v>9.9793235760259336E-5</v>
      </c>
    </row>
    <row r="364" spans="4:6">
      <c r="D364">
        <v>412</v>
      </c>
      <c r="E364">
        <v>8.7616350472370055</v>
      </c>
      <c r="F364">
        <v>-6.2779163802240134E-3</v>
      </c>
    </row>
    <row r="365" spans="4:6">
      <c r="D365">
        <v>413</v>
      </c>
      <c r="E365">
        <v>8.7680122915894039</v>
      </c>
      <c r="F365">
        <v>9.9327972174378942E-5</v>
      </c>
    </row>
    <row r="366" spans="4:6">
      <c r="D366">
        <v>414</v>
      </c>
      <c r="E366">
        <v>8.7616652353809581</v>
      </c>
      <c r="F366">
        <v>-6.2477282362713993E-3</v>
      </c>
    </row>
    <row r="367" spans="4:6">
      <c r="D367">
        <v>415</v>
      </c>
      <c r="E367">
        <v>8.7680117213807591</v>
      </c>
      <c r="F367">
        <v>9.875776352963328E-5</v>
      </c>
    </row>
    <row r="368" spans="4:6">
      <c r="D368">
        <v>416</v>
      </c>
      <c r="E368">
        <v>8.7616950409596743</v>
      </c>
      <c r="F368">
        <v>-6.2179226575551638E-3</v>
      </c>
    </row>
    <row r="369" spans="4:6">
      <c r="D369">
        <v>417</v>
      </c>
      <c r="E369">
        <v>8.7680111139440591</v>
      </c>
      <c r="F369">
        <v>9.8150326829582468E-5</v>
      </c>
    </row>
    <row r="370" spans="4:6">
      <c r="D370">
        <v>418</v>
      </c>
      <c r="E370">
        <v>8.7617244671286834</v>
      </c>
      <c r="F370">
        <v>-6.1884964885461358E-3</v>
      </c>
    </row>
    <row r="371" spans="4:6">
      <c r="D371">
        <v>419</v>
      </c>
      <c r="E371">
        <v>8.7680102285084534</v>
      </c>
      <c r="F371">
        <v>9.7264891223858285E-5</v>
      </c>
    </row>
    <row r="372" spans="4:6">
      <c r="D372">
        <v>420</v>
      </c>
      <c r="E372">
        <v>8.761753392217182</v>
      </c>
      <c r="F372">
        <v>-6.1595714000475255E-3</v>
      </c>
    </row>
    <row r="373" spans="4:6">
      <c r="D373">
        <v>421</v>
      </c>
      <c r="E373">
        <v>8.7680095933603699</v>
      </c>
      <c r="F373">
        <v>9.6629743140397295E-5</v>
      </c>
    </row>
    <row r="374" spans="4:6">
      <c r="D374">
        <v>422</v>
      </c>
      <c r="E374">
        <v>8.7617821178366615</v>
      </c>
      <c r="F374">
        <v>-6.130845780567995E-3</v>
      </c>
    </row>
    <row r="375" spans="4:6">
      <c r="D375">
        <v>423</v>
      </c>
      <c r="E375">
        <v>8.7680090239121515</v>
      </c>
      <c r="F375">
        <v>9.6060294922040157E-5</v>
      </c>
    </row>
    <row r="376" spans="4:6">
      <c r="D376">
        <v>424</v>
      </c>
      <c r="E376">
        <v>8.7618107926530016</v>
      </c>
      <c r="F376">
        <v>-6.1021709642279376E-3</v>
      </c>
    </row>
    <row r="377" spans="4:6">
      <c r="D377">
        <v>425</v>
      </c>
      <c r="E377">
        <v>8.7680083024127491</v>
      </c>
      <c r="F377">
        <v>9.533879551959501E-5</v>
      </c>
    </row>
    <row r="378" spans="4:6">
      <c r="D378">
        <v>426</v>
      </c>
      <c r="E378">
        <v>8.7618390454680828</v>
      </c>
      <c r="F378">
        <v>-6.0739181491467065E-3</v>
      </c>
    </row>
    <row r="379" spans="4:6">
      <c r="D379">
        <v>427</v>
      </c>
      <c r="E379">
        <v>8.7680074451909213</v>
      </c>
      <c r="F379">
        <v>9.4481573691851395E-5</v>
      </c>
    </row>
    <row r="380" spans="4:6">
      <c r="D380">
        <v>428</v>
      </c>
      <c r="E380">
        <v>8.7618668274782934</v>
      </c>
      <c r="F380">
        <v>-6.0461361389361201E-3</v>
      </c>
    </row>
    <row r="381" spans="4:6">
      <c r="D381">
        <v>429</v>
      </c>
      <c r="E381">
        <v>8.7680066157044507</v>
      </c>
      <c r="F381">
        <v>9.3652087221229863E-5</v>
      </c>
    </row>
    <row r="382" spans="4:6">
      <c r="D382">
        <v>430</v>
      </c>
      <c r="E382">
        <v>8.7618943017709263</v>
      </c>
      <c r="F382">
        <v>-6.0186618463031749E-3</v>
      </c>
    </row>
    <row r="383" spans="4:6">
      <c r="D383">
        <v>431</v>
      </c>
      <c r="E383">
        <v>8.7680058877515155</v>
      </c>
      <c r="F383">
        <v>9.2924134285965465E-5</v>
      </c>
    </row>
    <row r="384" spans="4:6">
      <c r="D384">
        <v>432</v>
      </c>
      <c r="E384">
        <v>8.7619217134728515</v>
      </c>
      <c r="F384">
        <v>-5.9912501443779576E-3</v>
      </c>
    </row>
    <row r="385" spans="4:6">
      <c r="D385">
        <v>433</v>
      </c>
      <c r="E385">
        <v>8.7680051287817555</v>
      </c>
      <c r="F385">
        <v>9.2165164526036847E-5</v>
      </c>
    </row>
    <row r="386" spans="4:6">
      <c r="D386">
        <v>434</v>
      </c>
      <c r="E386">
        <v>8.7619487459556797</v>
      </c>
      <c r="F386">
        <v>-5.9642176615497533E-3</v>
      </c>
    </row>
    <row r="387" spans="4:6">
      <c r="D387">
        <v>435</v>
      </c>
      <c r="E387">
        <v>8.7680044861316571</v>
      </c>
      <c r="F387">
        <v>9.1522514427566648E-5</v>
      </c>
    </row>
    <row r="388" spans="4:6">
      <c r="D388">
        <v>436</v>
      </c>
      <c r="E388">
        <v>8.7619756547663403</v>
      </c>
      <c r="F388">
        <v>-5.9373088508891669E-3</v>
      </c>
    </row>
    <row r="389" spans="4:6">
      <c r="D389">
        <v>437</v>
      </c>
      <c r="E389">
        <v>8.7680038995953975</v>
      </c>
      <c r="F389">
        <v>9.0935978168005249E-5</v>
      </c>
    </row>
    <row r="390" spans="4:6">
      <c r="D390">
        <v>438</v>
      </c>
      <c r="E390">
        <v>8.7620024488025727</v>
      </c>
      <c r="F390">
        <v>-5.9105148146567643E-3</v>
      </c>
    </row>
    <row r="391" spans="4:6">
      <c r="D391">
        <v>439</v>
      </c>
      <c r="E391">
        <v>8.7680032694133931</v>
      </c>
      <c r="F391">
        <v>9.0305796163647756E-5</v>
      </c>
    </row>
    <row r="392" spans="4:6">
      <c r="D392">
        <v>440</v>
      </c>
      <c r="E392">
        <v>8.7620289706208716</v>
      </c>
      <c r="F392">
        <v>-5.8839929963578896E-3</v>
      </c>
    </row>
    <row r="393" spans="4:6">
      <c r="D393">
        <v>441</v>
      </c>
      <c r="E393">
        <v>8.768002403375851</v>
      </c>
      <c r="F393">
        <v>8.9439758621523424E-5</v>
      </c>
    </row>
    <row r="394" spans="4:6">
      <c r="D394">
        <v>442</v>
      </c>
      <c r="E394">
        <v>8.7620550017414249</v>
      </c>
      <c r="F394">
        <v>-5.8579618758045626E-3</v>
      </c>
    </row>
    <row r="395" spans="4:6">
      <c r="D395">
        <v>443</v>
      </c>
      <c r="E395">
        <v>8.7680015772392483</v>
      </c>
      <c r="F395">
        <v>8.8613622018840488E-5</v>
      </c>
    </row>
    <row r="396" spans="4:6">
      <c r="D396">
        <v>444</v>
      </c>
      <c r="E396">
        <v>8.762080759762183</v>
      </c>
      <c r="F396">
        <v>-5.8322038550464583E-3</v>
      </c>
    </row>
    <row r="397" spans="4:6">
      <c r="D397">
        <v>445</v>
      </c>
      <c r="E397">
        <v>8.76800088915987</v>
      </c>
      <c r="F397">
        <v>8.7925542640476806E-5</v>
      </c>
    </row>
    <row r="398" spans="4:6">
      <c r="D398">
        <v>446</v>
      </c>
      <c r="E398">
        <v>8.7621063709924165</v>
      </c>
      <c r="F398">
        <v>-5.8065926248129784E-3</v>
      </c>
    </row>
    <row r="399" spans="4:6">
      <c r="D399">
        <v>447</v>
      </c>
      <c r="E399">
        <v>8.768000120681755</v>
      </c>
      <c r="F399">
        <v>8.7157064525555938E-5</v>
      </c>
    </row>
    <row r="400" spans="4:6">
      <c r="D400">
        <v>448</v>
      </c>
      <c r="E400">
        <v>8.7621317282275566</v>
      </c>
      <c r="F400">
        <v>-5.7812353896729007E-3</v>
      </c>
    </row>
    <row r="401" spans="4:6">
      <c r="D401">
        <v>449</v>
      </c>
      <c r="E401">
        <v>8.7679994744384668</v>
      </c>
      <c r="F401">
        <v>8.6510821237339997E-5</v>
      </c>
    </row>
    <row r="402" spans="4:6">
      <c r="D402">
        <v>450</v>
      </c>
      <c r="E402">
        <v>8.7621568864989996</v>
      </c>
      <c r="F402">
        <v>-5.7560771182298964E-3</v>
      </c>
    </row>
    <row r="403" spans="4:6">
      <c r="D403">
        <v>451</v>
      </c>
      <c r="E403">
        <v>8.7679988130549926</v>
      </c>
      <c r="F403">
        <v>8.5849437763130254E-5</v>
      </c>
    </row>
    <row r="404" spans="4:6">
      <c r="D404">
        <v>452</v>
      </c>
      <c r="E404">
        <v>8.762181837199206</v>
      </c>
      <c r="F404">
        <v>-5.7311264180235355E-3</v>
      </c>
    </row>
    <row r="405" spans="4:6">
      <c r="D405">
        <v>453</v>
      </c>
      <c r="E405">
        <v>8.7679982444229445</v>
      </c>
      <c r="F405">
        <v>8.5280805715015617E-5</v>
      </c>
    </row>
    <row r="406" spans="4:6">
      <c r="D406">
        <v>454</v>
      </c>
      <c r="E406">
        <v>8.7622067140948232</v>
      </c>
      <c r="F406">
        <v>-5.7062495224062815E-3</v>
      </c>
    </row>
    <row r="407" spans="4:6">
      <c r="D407">
        <v>455</v>
      </c>
      <c r="E407">
        <v>8.7679976265566424</v>
      </c>
      <c r="F407">
        <v>8.4662939412893934E-5</v>
      </c>
    </row>
    <row r="408" spans="4:6">
      <c r="D408">
        <v>456</v>
      </c>
      <c r="E408">
        <v>8.7622313541529842</v>
      </c>
      <c r="F408">
        <v>-5.6816094642453407E-3</v>
      </c>
    </row>
    <row r="409" spans="4:6">
      <c r="D409">
        <v>457</v>
      </c>
      <c r="E409">
        <v>8.7679970978928647</v>
      </c>
      <c r="F409">
        <v>8.4134275635250333E-5</v>
      </c>
    </row>
    <row r="410" spans="4:6">
      <c r="D410">
        <v>458</v>
      </c>
      <c r="E410">
        <v>8.7622558177895389</v>
      </c>
      <c r="F410">
        <v>-5.6571458276906128E-3</v>
      </c>
    </row>
    <row r="411" spans="4:6">
      <c r="D411">
        <v>459</v>
      </c>
      <c r="E411">
        <v>8.7679964039340934</v>
      </c>
      <c r="F411">
        <v>8.3440316863914177E-5</v>
      </c>
    </row>
    <row r="412" spans="4:6">
      <c r="D412">
        <v>460</v>
      </c>
      <c r="E412">
        <v>8.7622798843772074</v>
      </c>
      <c r="F412">
        <v>-5.6330792400220986E-3</v>
      </c>
    </row>
    <row r="413" spans="4:6">
      <c r="D413">
        <v>461</v>
      </c>
      <c r="E413">
        <v>8.7679958215839147</v>
      </c>
      <c r="F413">
        <v>8.2857966685168094E-5</v>
      </c>
    </row>
    <row r="414" spans="4:6">
      <c r="D414">
        <v>462</v>
      </c>
      <c r="E414">
        <v>8.7623038317616739</v>
      </c>
      <c r="F414">
        <v>-5.6091318555555603E-3</v>
      </c>
    </row>
    <row r="415" spans="4:6">
      <c r="D415">
        <v>463</v>
      </c>
      <c r="E415">
        <v>8.7679952975711348</v>
      </c>
      <c r="F415">
        <v>8.2333953905333601E-5</v>
      </c>
    </row>
    <row r="416" spans="4:6">
      <c r="D416">
        <v>464</v>
      </c>
      <c r="E416">
        <v>8.7623276519847995</v>
      </c>
      <c r="F416">
        <v>-5.5853116324300345E-3</v>
      </c>
    </row>
    <row r="417" spans="4:6">
      <c r="D417">
        <v>465</v>
      </c>
      <c r="E417">
        <v>8.7679946887427853</v>
      </c>
      <c r="F417">
        <v>8.1725125555820455E-5</v>
      </c>
    </row>
    <row r="418" spans="4:6">
      <c r="D418">
        <v>466</v>
      </c>
      <c r="E418">
        <v>8.7623512011560685</v>
      </c>
      <c r="F418">
        <v>-5.5617624611610239E-3</v>
      </c>
    </row>
    <row r="419" spans="4:6">
      <c r="D419">
        <v>467</v>
      </c>
      <c r="E419">
        <v>8.7679941684108744</v>
      </c>
      <c r="F419">
        <v>8.1204793644928941E-5</v>
      </c>
    </row>
    <row r="420" spans="4:6">
      <c r="D420">
        <v>468</v>
      </c>
      <c r="E420">
        <v>8.7623745779130839</v>
      </c>
      <c r="F420">
        <v>-5.5383857041455542E-3</v>
      </c>
    </row>
    <row r="421" spans="4:6">
      <c r="D421">
        <v>469</v>
      </c>
      <c r="E421">
        <v>8.7679936903805729</v>
      </c>
      <c r="F421">
        <v>8.0726763343363928E-5</v>
      </c>
    </row>
    <row r="422" spans="4:6">
      <c r="D422">
        <v>470</v>
      </c>
      <c r="E422">
        <v>8.7623978386067769</v>
      </c>
      <c r="F422">
        <v>-5.5151250104525928E-3</v>
      </c>
    </row>
    <row r="423" spans="4:6">
      <c r="D423">
        <v>471</v>
      </c>
      <c r="E423">
        <v>8.7679931794469379</v>
      </c>
      <c r="F423">
        <v>8.0215829708407682E-5</v>
      </c>
    </row>
    <row r="424" spans="4:6">
      <c r="D424">
        <v>472</v>
      </c>
      <c r="E424">
        <v>8.7624209284917907</v>
      </c>
      <c r="F424">
        <v>-5.4920351254388322E-3</v>
      </c>
    </row>
    <row r="425" spans="4:6">
      <c r="D425">
        <v>473</v>
      </c>
      <c r="E425">
        <v>8.7679926284653025</v>
      </c>
      <c r="F425">
        <v>7.9664848072980021E-5</v>
      </c>
    </row>
    <row r="426" spans="4:6">
      <c r="D426">
        <v>474</v>
      </c>
      <c r="E426">
        <v>8.7624437034353893</v>
      </c>
      <c r="F426">
        <v>-5.4692601818402409E-3</v>
      </c>
    </row>
    <row r="427" spans="4:6">
      <c r="D427">
        <v>475</v>
      </c>
      <c r="E427">
        <v>8.7679920896748094</v>
      </c>
      <c r="F427">
        <v>7.9126057579870235E-5</v>
      </c>
    </row>
    <row r="428" spans="4:6">
      <c r="D428">
        <v>476</v>
      </c>
      <c r="E428">
        <v>8.7624662326837068</v>
      </c>
      <c r="F428">
        <v>-5.4467309335226588E-3</v>
      </c>
    </row>
    <row r="429" spans="4:6">
      <c r="D429">
        <v>477</v>
      </c>
      <c r="E429">
        <v>8.767991584142889</v>
      </c>
      <c r="F429">
        <v>7.8620525659545137E-5</v>
      </c>
    </row>
    <row r="430" spans="4:6">
      <c r="D430">
        <v>478</v>
      </c>
      <c r="E430">
        <v>8.7624886601749665</v>
      </c>
      <c r="F430">
        <v>-5.4243034422629677E-3</v>
      </c>
    </row>
    <row r="431" spans="4:6">
      <c r="D431">
        <v>479</v>
      </c>
      <c r="E431">
        <v>8.7679913769037316</v>
      </c>
      <c r="F431">
        <v>7.8413286502154733E-5</v>
      </c>
    </row>
    <row r="432" spans="4:6">
      <c r="D432">
        <v>480</v>
      </c>
      <c r="E432">
        <v>8.7625112517358446</v>
      </c>
      <c r="F432">
        <v>-5.4017118813849407E-3</v>
      </c>
    </row>
    <row r="433" spans="4:6">
      <c r="D433">
        <v>481</v>
      </c>
      <c r="E433">
        <v>8.7679909369249103</v>
      </c>
      <c r="F433">
        <v>7.7973307680778703E-5</v>
      </c>
    </row>
    <row r="434" spans="4:6">
      <c r="D434">
        <v>482</v>
      </c>
      <c r="E434">
        <v>8.7625334751825807</v>
      </c>
      <c r="F434">
        <v>-5.3794884346487493E-3</v>
      </c>
    </row>
    <row r="435" spans="4:6">
      <c r="D435">
        <v>483</v>
      </c>
      <c r="E435">
        <v>8.7679903999554583</v>
      </c>
      <c r="F435">
        <v>7.7436338228764612E-5</v>
      </c>
    </row>
    <row r="436" spans="4:6">
      <c r="D436">
        <v>484</v>
      </c>
      <c r="E436">
        <v>8.7625554052312928</v>
      </c>
      <c r="F436">
        <v>-5.357558385936656E-3</v>
      </c>
    </row>
    <row r="437" spans="4:6">
      <c r="D437">
        <v>485</v>
      </c>
      <c r="E437">
        <v>8.7679896541692912</v>
      </c>
      <c r="F437">
        <v>7.6690552061720041E-5</v>
      </c>
    </row>
    <row r="438" spans="4:6">
      <c r="D438">
        <v>486</v>
      </c>
      <c r="E438">
        <v>8.7625769204050741</v>
      </c>
      <c r="F438">
        <v>-5.3360432121554169E-3</v>
      </c>
    </row>
    <row r="439" spans="4:6">
      <c r="D439">
        <v>487</v>
      </c>
      <c r="E439">
        <v>8.7679889956623782</v>
      </c>
      <c r="F439">
        <v>7.603204514872175E-5</v>
      </c>
    </row>
    <row r="440" spans="4:6">
      <c r="D440">
        <v>488</v>
      </c>
      <c r="E440">
        <v>8.7625983131376124</v>
      </c>
      <c r="F440">
        <v>-5.3146504796171001E-3</v>
      </c>
    </row>
    <row r="441" spans="4:6">
      <c r="D441">
        <v>489</v>
      </c>
      <c r="E441">
        <v>8.7679883952959443</v>
      </c>
      <c r="F441">
        <v>7.543167871482126E-5</v>
      </c>
    </row>
    <row r="442" spans="4:6">
      <c r="D442">
        <v>490</v>
      </c>
      <c r="E442">
        <v>8.7626195805071205</v>
      </c>
      <c r="F442">
        <v>-5.2933831101089623E-3</v>
      </c>
    </row>
    <row r="443" spans="4:6">
      <c r="D443">
        <v>491</v>
      </c>
      <c r="E443">
        <v>8.767987733679794</v>
      </c>
      <c r="F443">
        <v>7.4770062564510908E-5</v>
      </c>
    </row>
    <row r="444" spans="4:6">
      <c r="D444">
        <v>492</v>
      </c>
      <c r="E444">
        <v>8.7626405588852183</v>
      </c>
      <c r="F444">
        <v>-5.2724047320111822E-3</v>
      </c>
    </row>
    <row r="445" spans="4:6">
      <c r="D445">
        <v>493</v>
      </c>
      <c r="E445">
        <v>8.767987228178308</v>
      </c>
      <c r="F445">
        <v>7.4264561078507541E-5</v>
      </c>
    </row>
    <row r="446" spans="4:6">
      <c r="D446">
        <v>494</v>
      </c>
      <c r="E446">
        <v>8.7626615071408782</v>
      </c>
      <c r="F446">
        <v>-5.2514564763512794E-3</v>
      </c>
    </row>
    <row r="447" spans="4:6">
      <c r="D447">
        <v>495</v>
      </c>
      <c r="E447">
        <v>8.7679867773590026</v>
      </c>
      <c r="F447">
        <v>7.3813741773065544E-5</v>
      </c>
    </row>
    <row r="448" spans="4:6">
      <c r="D448">
        <v>496</v>
      </c>
      <c r="E448">
        <v>8.7626824091106688</v>
      </c>
      <c r="F448">
        <v>-5.2305545065607362E-3</v>
      </c>
    </row>
    <row r="449" spans="4:6">
      <c r="D449">
        <v>497</v>
      </c>
      <c r="E449">
        <v>8.7679862062507006</v>
      </c>
      <c r="F449">
        <v>7.3242633471082286E-5</v>
      </c>
    </row>
    <row r="450" spans="4:6">
      <c r="D450">
        <v>498</v>
      </c>
      <c r="E450">
        <v>8.7627030418480167</v>
      </c>
      <c r="F450">
        <v>-5.2099217692127553E-3</v>
      </c>
    </row>
    <row r="451" spans="4:6">
      <c r="D451">
        <v>499</v>
      </c>
      <c r="E451">
        <v>8.7679856423396956</v>
      </c>
      <c r="F451">
        <v>7.2678722466079648E-5</v>
      </c>
    </row>
    <row r="452" spans="4:6">
      <c r="D452">
        <v>500</v>
      </c>
      <c r="E452">
        <v>8.7627234218609793</v>
      </c>
      <c r="F452">
        <v>-5.1895417562501933E-3</v>
      </c>
    </row>
  </sheetData>
  <phoneticPr fontId="5" type="noConversion"/>
  <pageMargins left="0.75" right="0.75" top="1" bottom="1"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14"/>
  <sheetViews>
    <sheetView workbookViewId="0">
      <selection activeCell="J18" sqref="J18"/>
    </sheetView>
  </sheetViews>
  <sheetFormatPr baseColWidth="10" defaultColWidth="8.83203125" defaultRowHeight="13"/>
  <sheetData>
    <row r="1" spans="1:9">
      <c r="A1" s="12" t="s">
        <v>56</v>
      </c>
      <c r="B1" s="12"/>
      <c r="C1" s="12"/>
      <c r="D1" s="12"/>
      <c r="E1" s="12"/>
      <c r="F1" s="12"/>
      <c r="G1" s="12"/>
      <c r="H1" s="12"/>
      <c r="I1" s="12"/>
    </row>
    <row r="2" spans="1:9">
      <c r="A2" s="12"/>
      <c r="B2" s="12"/>
      <c r="C2" s="12"/>
      <c r="D2" s="12"/>
      <c r="E2" s="12"/>
      <c r="F2" s="12"/>
      <c r="G2" s="12"/>
      <c r="H2" s="12"/>
      <c r="I2" s="12"/>
    </row>
    <row r="3" spans="1:9">
      <c r="A3" s="12"/>
      <c r="B3" s="12"/>
      <c r="C3" s="12"/>
      <c r="D3" s="12"/>
      <c r="E3" s="12"/>
      <c r="F3" s="12"/>
      <c r="G3" s="12"/>
      <c r="H3" s="12"/>
      <c r="I3" s="12"/>
    </row>
    <row r="4" spans="1:9">
      <c r="A4" s="12"/>
      <c r="B4" s="12"/>
      <c r="C4" s="12"/>
      <c r="D4" s="12"/>
      <c r="E4" s="12"/>
      <c r="F4" s="12"/>
      <c r="G4" s="12"/>
      <c r="H4" s="12"/>
      <c r="I4" s="12"/>
    </row>
    <row r="5" spans="1:9">
      <c r="A5" s="12"/>
      <c r="B5" s="12"/>
      <c r="C5" s="12"/>
      <c r="D5" s="12"/>
      <c r="E5" s="12"/>
      <c r="F5" s="12"/>
      <c r="G5" s="12"/>
      <c r="H5" s="12"/>
      <c r="I5" s="12"/>
    </row>
    <row r="6" spans="1:9">
      <c r="A6" s="12"/>
      <c r="B6" s="12"/>
      <c r="C6" s="12"/>
      <c r="D6" s="12"/>
      <c r="E6" s="12"/>
      <c r="F6" s="12"/>
      <c r="G6" s="12"/>
      <c r="H6" s="12"/>
      <c r="I6" s="12"/>
    </row>
    <row r="7" spans="1:9">
      <c r="A7" s="12"/>
      <c r="B7" s="12"/>
      <c r="C7" s="12"/>
      <c r="D7" s="12"/>
      <c r="E7" s="12"/>
      <c r="F7" s="12"/>
      <c r="G7" s="12"/>
      <c r="H7" s="12"/>
      <c r="I7" s="12"/>
    </row>
    <row r="8" spans="1:9">
      <c r="A8" s="12"/>
      <c r="B8" s="12"/>
      <c r="C8" s="12"/>
      <c r="D8" s="12"/>
      <c r="E8" s="12"/>
      <c r="F8" s="12"/>
      <c r="G8" s="12"/>
      <c r="H8" s="12"/>
      <c r="I8" s="12"/>
    </row>
    <row r="9" spans="1:9">
      <c r="A9" s="12"/>
      <c r="B9" s="12"/>
      <c r="C9" s="12"/>
      <c r="D9" s="12"/>
      <c r="E9" s="12"/>
      <c r="F9" s="12"/>
      <c r="G9" s="12"/>
      <c r="H9" s="12"/>
      <c r="I9" s="12"/>
    </row>
    <row r="10" spans="1:9">
      <c r="A10" s="12"/>
      <c r="B10" s="12"/>
      <c r="C10" s="12"/>
      <c r="D10" s="12"/>
      <c r="E10" s="12"/>
      <c r="F10" s="12"/>
      <c r="G10" s="12"/>
      <c r="H10" s="12"/>
      <c r="I10" s="12"/>
    </row>
    <row r="11" spans="1:9">
      <c r="A11" s="12"/>
      <c r="B11" s="12"/>
      <c r="C11" s="12"/>
      <c r="D11" s="12"/>
      <c r="E11" s="12"/>
      <c r="F11" s="12"/>
      <c r="G11" s="12"/>
      <c r="H11" s="12"/>
      <c r="I11" s="12"/>
    </row>
    <row r="12" spans="1:9">
      <c r="A12" s="12"/>
      <c r="B12" s="12"/>
      <c r="C12" s="12"/>
      <c r="D12" s="12"/>
      <c r="E12" s="12"/>
      <c r="F12" s="12"/>
      <c r="G12" s="12"/>
      <c r="H12" s="12"/>
      <c r="I12" s="12"/>
    </row>
    <row r="13" spans="1:9">
      <c r="A13" s="12"/>
      <c r="B13" s="12"/>
      <c r="C13" s="12"/>
      <c r="D13" s="12"/>
      <c r="E13" s="12"/>
      <c r="F13" s="12"/>
      <c r="G13" s="12"/>
      <c r="H13" s="12"/>
      <c r="I13" s="12"/>
    </row>
    <row r="14" spans="1:9">
      <c r="A14" s="12"/>
      <c r="B14" s="12"/>
      <c r="C14" s="12"/>
      <c r="D14" s="12"/>
      <c r="E14" s="12"/>
      <c r="F14" s="12"/>
      <c r="G14" s="12"/>
      <c r="H14" s="12"/>
      <c r="I14" s="12"/>
    </row>
  </sheetData>
  <mergeCells count="1">
    <mergeCell ref="A1:I14"/>
  </mergeCells>
  <phoneticPr fontId="5" type="noConversion"/>
  <pageMargins left="0.75" right="0.75" top="1" bottom="1"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V99"/>
  <sheetViews>
    <sheetView workbookViewId="0">
      <selection activeCell="K9" sqref="K9"/>
    </sheetView>
  </sheetViews>
  <sheetFormatPr baseColWidth="10" defaultColWidth="8.83203125" defaultRowHeight="13"/>
  <cols>
    <col min="1" max="1" width="20.1640625" customWidth="1"/>
    <col min="4" max="4" width="23.5" customWidth="1"/>
  </cols>
  <sheetData>
    <row r="1" spans="1:100" ht="14">
      <c r="A1" s="5" t="s">
        <v>14</v>
      </c>
      <c r="B1" s="2"/>
      <c r="D1" s="5" t="s">
        <v>38</v>
      </c>
      <c r="F1" s="12" t="s">
        <v>57</v>
      </c>
      <c r="G1" s="12"/>
      <c r="H1" s="12"/>
      <c r="I1" s="12"/>
      <c r="J1" s="12"/>
      <c r="K1" s="12"/>
      <c r="L1" s="12"/>
      <c r="P1">
        <f>MAX(P2:P299)</f>
        <v>31.881407581088656</v>
      </c>
      <c r="Q1">
        <f>MAX(Q2:Q299)</f>
        <v>30.939169590307031</v>
      </c>
      <c r="R1">
        <f t="shared" ref="R1:CC1" si="0">MAX(R2:R299)</f>
        <v>31.881407581088656</v>
      </c>
      <c r="S1">
        <f t="shared" si="0"/>
        <v>30.939169590307031</v>
      </c>
      <c r="T1">
        <f t="shared" si="0"/>
        <v>31.881407581088656</v>
      </c>
      <c r="U1">
        <f t="shared" si="0"/>
        <v>30.939169590307035</v>
      </c>
      <c r="V1">
        <f t="shared" si="0"/>
        <v>31.881407581088659</v>
      </c>
      <c r="W1">
        <f t="shared" si="0"/>
        <v>30.939169590307039</v>
      </c>
      <c r="X1">
        <f t="shared" si="0"/>
        <v>31.881407581088659</v>
      </c>
      <c r="Y1">
        <f t="shared" si="0"/>
        <v>32.852340990752836</v>
      </c>
      <c r="Z1">
        <f t="shared" si="0"/>
        <v>31.881407581088659</v>
      </c>
      <c r="AA1">
        <f t="shared" si="0"/>
        <v>32.852340990752843</v>
      </c>
      <c r="AB1">
        <f t="shared" si="0"/>
        <v>31.881407581088666</v>
      </c>
      <c r="AC1">
        <f t="shared" si="0"/>
        <v>32.852340990752843</v>
      </c>
      <c r="AD1">
        <f t="shared" si="0"/>
        <v>31.881407581088663</v>
      </c>
      <c r="AE1">
        <f t="shared" si="0"/>
        <v>32.852340990752836</v>
      </c>
      <c r="AF1">
        <f t="shared" si="0"/>
        <v>31.881407581088663</v>
      </c>
      <c r="AG1">
        <f t="shared" si="0"/>
        <v>32.85234099075285</v>
      </c>
      <c r="AH1">
        <f t="shared" si="0"/>
        <v>31.881407581088677</v>
      </c>
      <c r="AI1">
        <f t="shared" si="0"/>
        <v>32.852340990752843</v>
      </c>
      <c r="AJ1">
        <f t="shared" si="0"/>
        <v>33.852843724908247</v>
      </c>
      <c r="AK1">
        <f t="shared" si="0"/>
        <v>32.85234099075285</v>
      </c>
      <c r="AL1">
        <f t="shared" si="0"/>
        <v>33.852843724908247</v>
      </c>
      <c r="AM1">
        <f t="shared" si="0"/>
        <v>32.852340990752857</v>
      </c>
      <c r="AN1">
        <f t="shared" si="0"/>
        <v>33.852843724908247</v>
      </c>
      <c r="AO1">
        <f t="shared" si="0"/>
        <v>32.85234099075285</v>
      </c>
      <c r="AP1">
        <f t="shared" si="0"/>
        <v>33.852843724908254</v>
      </c>
      <c r="AQ1">
        <f t="shared" si="0"/>
        <v>32.85234099075285</v>
      </c>
      <c r="AR1">
        <f t="shared" si="0"/>
        <v>33.852843724908254</v>
      </c>
      <c r="AS1">
        <f t="shared" si="0"/>
        <v>34.883816303551576</v>
      </c>
      <c r="AT1">
        <f t="shared" si="0"/>
        <v>33.852843724908254</v>
      </c>
      <c r="AU1">
        <f t="shared" si="0"/>
        <v>34.883816303551576</v>
      </c>
      <c r="AV1">
        <f t="shared" si="0"/>
        <v>33.852843724908254</v>
      </c>
      <c r="AW1">
        <f t="shared" si="0"/>
        <v>34.883816303551576</v>
      </c>
      <c r="AX1">
        <f t="shared" si="0"/>
        <v>33.852843724908261</v>
      </c>
      <c r="AY1">
        <f t="shared" si="0"/>
        <v>34.883816303551583</v>
      </c>
      <c r="AZ1">
        <f t="shared" si="0"/>
        <v>33.852843724908261</v>
      </c>
      <c r="BA1">
        <f t="shared" si="0"/>
        <v>34.883816303551583</v>
      </c>
      <c r="BB1">
        <f t="shared" si="0"/>
        <v>35.946186671596344</v>
      </c>
      <c r="BC1">
        <f t="shared" si="0"/>
        <v>34.88381630355159</v>
      </c>
      <c r="BD1">
        <f t="shared" si="0"/>
        <v>35.946186671596351</v>
      </c>
      <c r="BE1">
        <f t="shared" si="0"/>
        <v>34.88381630355159</v>
      </c>
      <c r="BF1">
        <f t="shared" si="0"/>
        <v>35.946186671596344</v>
      </c>
      <c r="BG1">
        <f t="shared" si="0"/>
        <v>34.883816303551583</v>
      </c>
      <c r="BH1">
        <f t="shared" si="0"/>
        <v>35.946186671596344</v>
      </c>
      <c r="BI1">
        <f t="shared" si="0"/>
        <v>34.88381630355159</v>
      </c>
      <c r="BJ1">
        <f t="shared" si="0"/>
        <v>35.946186671596351</v>
      </c>
      <c r="BK1">
        <f t="shared" si="0"/>
        <v>37.040911034085937</v>
      </c>
      <c r="BL1">
        <f t="shared" si="0"/>
        <v>35.946186671596351</v>
      </c>
      <c r="BM1">
        <f t="shared" si="0"/>
        <v>37.040911034085937</v>
      </c>
      <c r="BN1">
        <f t="shared" si="0"/>
        <v>35.946186671596351</v>
      </c>
      <c r="BO1">
        <f t="shared" si="0"/>
        <v>37.040911034085944</v>
      </c>
      <c r="BP1">
        <f t="shared" si="0"/>
        <v>35.946186671596358</v>
      </c>
      <c r="BQ1">
        <f t="shared" si="0"/>
        <v>37.040911034085951</v>
      </c>
      <c r="BR1">
        <f t="shared" si="0"/>
        <v>38.168974716842719</v>
      </c>
      <c r="BS1">
        <f t="shared" si="0"/>
        <v>37.040911034085944</v>
      </c>
      <c r="BT1">
        <f t="shared" si="0"/>
        <v>38.168974716842719</v>
      </c>
      <c r="BU1">
        <f t="shared" si="0"/>
        <v>37.040911034085951</v>
      </c>
      <c r="BV1">
        <f t="shared" si="0"/>
        <v>38.168974716842719</v>
      </c>
      <c r="BW1">
        <f t="shared" si="0"/>
        <v>39.331393053327744</v>
      </c>
      <c r="BX1">
        <f t="shared" si="0"/>
        <v>38.168974716842733</v>
      </c>
      <c r="BY1">
        <f t="shared" si="0"/>
        <v>39.331393053327744</v>
      </c>
      <c r="BZ1">
        <f t="shared" si="0"/>
        <v>38.168974716842726</v>
      </c>
      <c r="CA1">
        <f t="shared" si="0"/>
        <v>39.331393053327737</v>
      </c>
      <c r="CB1">
        <f t="shared" si="0"/>
        <v>40.529212298509428</v>
      </c>
      <c r="CC1">
        <f t="shared" si="0"/>
        <v>39.331393053327744</v>
      </c>
      <c r="CD1">
        <f t="shared" ref="CD1:CV1" si="1">MAX(CD2:CD299)</f>
        <v>40.529212298509435</v>
      </c>
      <c r="CE1">
        <f t="shared" si="1"/>
        <v>39.331393053327744</v>
      </c>
      <c r="CF1">
        <f t="shared" si="1"/>
        <v>40.529212298509428</v>
      </c>
      <c r="CG1">
        <f t="shared" si="1"/>
        <v>41.763510570563689</v>
      </c>
      <c r="CH1">
        <f t="shared" si="1"/>
        <v>40.529212298509435</v>
      </c>
      <c r="CI1">
        <f t="shared" si="1"/>
        <v>41.763510570563689</v>
      </c>
      <c r="CJ1">
        <f t="shared" si="1"/>
        <v>43.03539882125299</v>
      </c>
      <c r="CK1">
        <f t="shared" si="1"/>
        <v>41.763510570563696</v>
      </c>
      <c r="CL1">
        <f t="shared" si="1"/>
        <v>43.035398821252983</v>
      </c>
      <c r="CM1">
        <f t="shared" si="1"/>
        <v>41.763510570563689</v>
      </c>
      <c r="CN1">
        <f t="shared" si="1"/>
        <v>43.035398821252983</v>
      </c>
      <c r="CO1">
        <f t="shared" si="1"/>
        <v>44.346021835857982</v>
      </c>
      <c r="CP1">
        <f t="shared" si="1"/>
        <v>45.696559263561525</v>
      </c>
      <c r="CQ1">
        <f t="shared" si="1"/>
        <v>44.346021835857982</v>
      </c>
      <c r="CR1">
        <f t="shared" si="1"/>
        <v>45.696559263561525</v>
      </c>
      <c r="CS1">
        <f t="shared" si="1"/>
        <v>47.088226679212561</v>
      </c>
      <c r="CT1">
        <f t="shared" si="1"/>
        <v>48.522276677425538</v>
      </c>
      <c r="CU1">
        <f t="shared" si="1"/>
        <v>50.000000000000142</v>
      </c>
      <c r="CV1">
        <f t="shared" si="1"/>
        <v>51.522726697675985</v>
      </c>
    </row>
    <row r="2" spans="1:100" ht="14">
      <c r="A2" s="2" t="s">
        <v>0</v>
      </c>
      <c r="B2" s="2">
        <v>50</v>
      </c>
      <c r="D2">
        <v>31.881407581088656</v>
      </c>
      <c r="F2" s="12"/>
      <c r="G2" s="12"/>
      <c r="H2" s="12"/>
      <c r="I2" s="12"/>
      <c r="J2" s="12"/>
      <c r="K2" s="12"/>
      <c r="L2" s="12"/>
    </row>
    <row r="3" spans="1:100" ht="14">
      <c r="A3" s="2" t="s">
        <v>9</v>
      </c>
      <c r="B3" s="2">
        <v>55</v>
      </c>
      <c r="D3">
        <v>30.939169590307031</v>
      </c>
      <c r="F3" s="12"/>
      <c r="G3" s="12"/>
      <c r="H3" s="12"/>
      <c r="I3" s="12"/>
      <c r="J3" s="12"/>
      <c r="K3" s="12"/>
      <c r="L3" s="12"/>
    </row>
    <row r="4" spans="1:100" ht="14">
      <c r="A4" s="2" t="s">
        <v>3</v>
      </c>
      <c r="B4" s="2">
        <v>0.3</v>
      </c>
      <c r="D4">
        <v>31.881407581088656</v>
      </c>
      <c r="F4" s="12"/>
      <c r="G4" s="12"/>
      <c r="H4" s="12"/>
      <c r="I4" s="12"/>
      <c r="J4" s="12"/>
      <c r="K4" s="12"/>
      <c r="L4" s="12"/>
    </row>
    <row r="5" spans="1:100" ht="14">
      <c r="A5" s="2" t="s">
        <v>4</v>
      </c>
      <c r="B5" s="2">
        <v>0.01</v>
      </c>
      <c r="D5">
        <v>30.939169590307031</v>
      </c>
      <c r="F5" s="12"/>
      <c r="G5" s="12"/>
      <c r="H5" s="12"/>
      <c r="I5" s="12"/>
      <c r="J5" s="12"/>
      <c r="K5" s="12"/>
      <c r="L5" s="12"/>
    </row>
    <row r="6" spans="1:100" ht="14">
      <c r="A6" s="2" t="s">
        <v>1</v>
      </c>
      <c r="B6" s="2">
        <v>1</v>
      </c>
      <c r="D6">
        <v>31.881407581088656</v>
      </c>
      <c r="F6" s="12"/>
      <c r="G6" s="12"/>
      <c r="H6" s="12"/>
      <c r="I6" s="12"/>
      <c r="J6" s="12"/>
      <c r="K6" s="12"/>
      <c r="L6" s="12"/>
    </row>
    <row r="7" spans="1:100" ht="14">
      <c r="A7" s="2" t="s">
        <v>2</v>
      </c>
      <c r="B7" s="2">
        <v>0</v>
      </c>
      <c r="D7">
        <v>30.939169590307035</v>
      </c>
      <c r="F7" s="12"/>
      <c r="G7" s="12"/>
      <c r="H7" s="12"/>
      <c r="I7" s="12"/>
      <c r="J7" s="12"/>
      <c r="K7" s="12"/>
      <c r="L7" s="12"/>
    </row>
    <row r="8" spans="1:100" ht="14">
      <c r="A8" s="2"/>
      <c r="B8" s="2"/>
      <c r="D8">
        <v>31.881407581088659</v>
      </c>
    </row>
    <row r="9" spans="1:100" ht="14">
      <c r="A9" s="2"/>
      <c r="B9" s="2"/>
      <c r="D9">
        <v>30.939169590307039</v>
      </c>
    </row>
    <row r="10" spans="1:100" ht="14">
      <c r="A10" s="3" t="s">
        <v>29</v>
      </c>
      <c r="B10" s="2">
        <f>8.76791296361723</f>
        <v>8.7679129636172295</v>
      </c>
      <c r="D10">
        <v>31.881407581088659</v>
      </c>
    </row>
    <row r="11" spans="1:100" ht="14">
      <c r="A11" s="2"/>
      <c r="B11" s="2"/>
      <c r="D11">
        <v>32.852340990752836</v>
      </c>
    </row>
    <row r="12" spans="1:100" ht="14">
      <c r="A12" s="2"/>
      <c r="B12" s="2"/>
      <c r="D12">
        <v>31.881407581088659</v>
      </c>
    </row>
    <row r="13" spans="1:100" ht="14">
      <c r="A13" s="3"/>
      <c r="B13" s="2"/>
      <c r="D13">
        <v>32.852340990752843</v>
      </c>
    </row>
    <row r="14" spans="1:100">
      <c r="D14">
        <v>31.881407581088666</v>
      </c>
    </row>
    <row r="15" spans="1:100">
      <c r="D15">
        <v>32.852340990752843</v>
      </c>
    </row>
    <row r="16" spans="1:100">
      <c r="D16">
        <v>31.881407581088663</v>
      </c>
    </row>
    <row r="17" spans="4:4">
      <c r="D17">
        <v>32.852340990752836</v>
      </c>
    </row>
    <row r="18" spans="4:4">
      <c r="D18">
        <v>31.881407581088663</v>
      </c>
    </row>
    <row r="19" spans="4:4">
      <c r="D19">
        <v>32.85234099075285</v>
      </c>
    </row>
    <row r="20" spans="4:4">
      <c r="D20">
        <v>31.881407581088677</v>
      </c>
    </row>
    <row r="21" spans="4:4">
      <c r="D21">
        <v>32.852340990752843</v>
      </c>
    </row>
    <row r="22" spans="4:4">
      <c r="D22">
        <v>33.852843724908247</v>
      </c>
    </row>
    <row r="23" spans="4:4">
      <c r="D23">
        <v>32.85234099075285</v>
      </c>
    </row>
    <row r="24" spans="4:4">
      <c r="D24">
        <v>33.852843724908247</v>
      </c>
    </row>
    <row r="25" spans="4:4">
      <c r="D25">
        <v>32.852340990752857</v>
      </c>
    </row>
    <row r="26" spans="4:4">
      <c r="D26">
        <v>33.852843724908247</v>
      </c>
    </row>
    <row r="27" spans="4:4">
      <c r="D27">
        <v>32.85234099075285</v>
      </c>
    </row>
    <row r="28" spans="4:4">
      <c r="D28">
        <v>33.852843724908254</v>
      </c>
    </row>
    <row r="29" spans="4:4">
      <c r="D29">
        <v>32.85234099075285</v>
      </c>
    </row>
    <row r="30" spans="4:4">
      <c r="D30">
        <v>33.852843724908254</v>
      </c>
    </row>
    <row r="31" spans="4:4">
      <c r="D31">
        <v>34.883816303551576</v>
      </c>
    </row>
    <row r="32" spans="4:4">
      <c r="D32">
        <v>33.852843724908254</v>
      </c>
    </row>
    <row r="33" spans="4:100">
      <c r="D33">
        <v>34.883816303551576</v>
      </c>
    </row>
    <row r="34" spans="4:100">
      <c r="D34">
        <v>33.852843724908254</v>
      </c>
    </row>
    <row r="35" spans="4:100">
      <c r="D35">
        <v>34.883816303551576</v>
      </c>
    </row>
    <row r="36" spans="4:100">
      <c r="D36">
        <v>33.852843724908261</v>
      </c>
    </row>
    <row r="37" spans="4:100">
      <c r="D37">
        <v>34.883816303551583</v>
      </c>
    </row>
    <row r="38" spans="4:100">
      <c r="D38">
        <v>33.852843724908261</v>
      </c>
    </row>
    <row r="39" spans="4:100">
      <c r="D39">
        <v>34.883816303551583</v>
      </c>
    </row>
    <row r="40" spans="4:100">
      <c r="D40">
        <v>35.946186671596344</v>
      </c>
    </row>
    <row r="41" spans="4:100">
      <c r="D41">
        <v>34.88381630355159</v>
      </c>
    </row>
    <row r="42" spans="4:100">
      <c r="D42">
        <v>35.946186671596351</v>
      </c>
    </row>
    <row r="43" spans="4:100">
      <c r="D43">
        <v>34.88381630355159</v>
      </c>
    </row>
    <row r="44" spans="4:100">
      <c r="D44">
        <v>35.946186671596344</v>
      </c>
    </row>
    <row r="45" spans="4:100">
      <c r="D45">
        <v>34.883816303551583</v>
      </c>
    </row>
    <row r="46" spans="4:100">
      <c r="D46">
        <v>35.946186671596344</v>
      </c>
    </row>
    <row r="47" spans="4:100">
      <c r="D47">
        <v>34.88381630355159</v>
      </c>
    </row>
    <row r="48" spans="4:100">
      <c r="D48">
        <v>35.946186671596351</v>
      </c>
      <c r="CV48">
        <v>51.522726697675985</v>
      </c>
    </row>
    <row r="49" spans="4:100">
      <c r="D49">
        <v>37.040911034085937</v>
      </c>
      <c r="CU49">
        <v>50.000000000000142</v>
      </c>
      <c r="CV49">
        <v>48.522276677425545</v>
      </c>
    </row>
    <row r="50" spans="4:100">
      <c r="D50">
        <v>35.946186671596351</v>
      </c>
      <c r="CT50">
        <v>48.522276677425538</v>
      </c>
      <c r="CU50">
        <v>47.088226679212561</v>
      </c>
      <c r="CV50">
        <v>45.696559263561532</v>
      </c>
    </row>
    <row r="51" spans="4:100">
      <c r="D51">
        <v>37.040911034085937</v>
      </c>
      <c r="CS51">
        <v>47.088226679212561</v>
      </c>
      <c r="CT51">
        <v>45.696559263561532</v>
      </c>
      <c r="CU51">
        <v>44.346021835857997</v>
      </c>
      <c r="CV51">
        <v>43.035398821253004</v>
      </c>
    </row>
    <row r="52" spans="4:100">
      <c r="D52">
        <v>35.946186671596351</v>
      </c>
      <c r="CR52">
        <v>45.696559263561525</v>
      </c>
      <c r="CS52">
        <v>44.346021835857989</v>
      </c>
      <c r="CT52">
        <v>43.035398821252997</v>
      </c>
      <c r="CU52">
        <v>41.763510570563703</v>
      </c>
      <c r="CV52">
        <v>40.529212298509457</v>
      </c>
    </row>
    <row r="53" spans="4:100">
      <c r="D53">
        <v>37.040911034085944</v>
      </c>
      <c r="CP53">
        <v>45.696559263561525</v>
      </c>
      <c r="CQ53">
        <v>44.346021835857982</v>
      </c>
      <c r="CR53">
        <v>43.035398821252997</v>
      </c>
      <c r="CS53">
        <v>41.763510570563703</v>
      </c>
      <c r="CT53">
        <v>40.529212298509457</v>
      </c>
      <c r="CU53">
        <v>39.331393053327766</v>
      </c>
      <c r="CV53">
        <v>38.168974716842747</v>
      </c>
    </row>
    <row r="54" spans="4:100">
      <c r="D54">
        <v>35.946186671596358</v>
      </c>
      <c r="CO54">
        <v>44.346021835857982</v>
      </c>
      <c r="CP54">
        <v>43.03539882125299</v>
      </c>
      <c r="CQ54">
        <v>41.763510570563696</v>
      </c>
      <c r="CR54">
        <v>40.529212298509449</v>
      </c>
      <c r="CS54">
        <v>39.331393053327766</v>
      </c>
      <c r="CT54">
        <v>38.168974716842747</v>
      </c>
      <c r="CU54">
        <v>37.04091103408598</v>
      </c>
      <c r="CV54">
        <v>35.946186671596394</v>
      </c>
    </row>
    <row r="55" spans="4:100">
      <c r="D55">
        <v>37.040911034085951</v>
      </c>
      <c r="CN55">
        <v>43.035398821252983</v>
      </c>
      <c r="CO55">
        <v>41.763510570563689</v>
      </c>
      <c r="CP55">
        <v>40.529212298509442</v>
      </c>
      <c r="CQ55">
        <v>39.331393053327758</v>
      </c>
      <c r="CR55">
        <v>38.168974716842747</v>
      </c>
      <c r="CS55">
        <v>37.040911034085973</v>
      </c>
      <c r="CT55">
        <v>35.946186671596386</v>
      </c>
      <c r="CU55">
        <v>34.883816303551626</v>
      </c>
      <c r="CV55">
        <v>33.852843724908304</v>
      </c>
    </row>
    <row r="56" spans="4:100">
      <c r="D56">
        <v>38.168974716842719</v>
      </c>
      <c r="CL56">
        <v>43.035398821252983</v>
      </c>
      <c r="CM56">
        <v>41.763510570563689</v>
      </c>
      <c r="CN56">
        <v>40.529212298509442</v>
      </c>
      <c r="CO56">
        <v>39.331393053327758</v>
      </c>
      <c r="CP56">
        <v>38.16897471684274</v>
      </c>
      <c r="CQ56">
        <v>37.040911034085973</v>
      </c>
      <c r="CR56">
        <v>35.946186671596386</v>
      </c>
      <c r="CS56">
        <v>34.883816303551626</v>
      </c>
      <c r="CT56">
        <v>33.852843724908304</v>
      </c>
      <c r="CU56">
        <v>32.852340990752907</v>
      </c>
      <c r="CV56">
        <v>31.88140758108873</v>
      </c>
    </row>
    <row r="57" spans="4:100">
      <c r="D57">
        <v>37.040911034085944</v>
      </c>
      <c r="CJ57">
        <v>43.03539882125299</v>
      </c>
      <c r="CK57">
        <v>41.763510570563696</v>
      </c>
      <c r="CL57">
        <v>40.529212298509442</v>
      </c>
      <c r="CM57">
        <v>39.331393053327758</v>
      </c>
      <c r="CN57">
        <v>38.16897471684274</v>
      </c>
      <c r="CO57">
        <v>37.040911034085973</v>
      </c>
      <c r="CP57">
        <v>35.946186671596386</v>
      </c>
      <c r="CQ57">
        <v>34.883816303551626</v>
      </c>
      <c r="CR57">
        <v>33.852843724908304</v>
      </c>
      <c r="CS57">
        <v>32.852340990752907</v>
      </c>
      <c r="CT57">
        <v>31.88140758108873</v>
      </c>
      <c r="CU57">
        <v>30.939169590307106</v>
      </c>
      <c r="CV57">
        <v>30.024778940613359</v>
      </c>
    </row>
    <row r="58" spans="4:100">
      <c r="D58">
        <v>38.168974716842719</v>
      </c>
      <c r="CI58">
        <v>41.763510570563689</v>
      </c>
      <c r="CJ58">
        <v>40.529212298509435</v>
      </c>
      <c r="CK58">
        <v>39.331393053327751</v>
      </c>
      <c r="CL58">
        <v>38.168974716842733</v>
      </c>
      <c r="CM58">
        <v>37.040911034085966</v>
      </c>
      <c r="CN58">
        <v>35.946186671596379</v>
      </c>
      <c r="CO58">
        <v>34.883816303551626</v>
      </c>
      <c r="CP58">
        <v>33.852843724908304</v>
      </c>
      <c r="CQ58">
        <v>32.8523409907529</v>
      </c>
      <c r="CR58">
        <v>31.881407581088727</v>
      </c>
      <c r="CS58">
        <v>30.939169590307099</v>
      </c>
      <c r="CT58">
        <v>30.024778940613352</v>
      </c>
      <c r="CU58">
        <v>29.137412618699535</v>
      </c>
      <c r="CV58">
        <v>28.276271934976908</v>
      </c>
    </row>
    <row r="59" spans="4:100">
      <c r="D59">
        <v>37.040911034085951</v>
      </c>
      <c r="CG59">
        <v>41.763510570563689</v>
      </c>
      <c r="CH59">
        <v>40.529212298509435</v>
      </c>
      <c r="CI59">
        <v>39.331393053327751</v>
      </c>
      <c r="CJ59">
        <v>38.168974716842733</v>
      </c>
      <c r="CK59">
        <v>37.040911034085966</v>
      </c>
      <c r="CL59">
        <v>35.946186671596379</v>
      </c>
      <c r="CM59">
        <v>34.883816303551626</v>
      </c>
      <c r="CN59">
        <v>33.852843724908304</v>
      </c>
      <c r="CO59">
        <v>32.8523409907529</v>
      </c>
      <c r="CP59">
        <v>31.881407581088723</v>
      </c>
      <c r="CQ59">
        <v>30.939169590307102</v>
      </c>
      <c r="CR59">
        <v>30.024778940613352</v>
      </c>
      <c r="CS59">
        <v>29.137412618699535</v>
      </c>
      <c r="CT59">
        <v>28.276271934976908</v>
      </c>
      <c r="CU59">
        <v>27.44058180470137</v>
      </c>
      <c r="CV59">
        <v>26.629590050344905</v>
      </c>
    </row>
    <row r="60" spans="4:100">
      <c r="D60">
        <v>38.168974716842719</v>
      </c>
      <c r="CF60">
        <v>40.529212298509428</v>
      </c>
      <c r="CG60">
        <v>39.331393053327744</v>
      </c>
      <c r="CH60">
        <v>38.168974716842726</v>
      </c>
      <c r="CI60">
        <v>37.040911034085958</v>
      </c>
      <c r="CJ60">
        <v>35.946186671596372</v>
      </c>
      <c r="CK60">
        <v>34.883816303551612</v>
      </c>
      <c r="CL60">
        <v>33.852843724908297</v>
      </c>
      <c r="CM60">
        <v>32.8523409907529</v>
      </c>
      <c r="CN60">
        <v>31.88140758108872</v>
      </c>
      <c r="CO60">
        <v>30.939169590307095</v>
      </c>
      <c r="CP60">
        <v>30.024778940613349</v>
      </c>
      <c r="CQ60">
        <v>29.137412618699528</v>
      </c>
      <c r="CR60">
        <v>28.276271934976901</v>
      </c>
      <c r="CS60">
        <v>27.440581804701367</v>
      </c>
      <c r="CT60">
        <v>26.629590050344902</v>
      </c>
      <c r="CU60">
        <v>25.842566724585001</v>
      </c>
      <c r="CV60">
        <v>25.078803453302815</v>
      </c>
    </row>
    <row r="61" spans="4:100">
      <c r="D61">
        <v>39.331393053327744</v>
      </c>
      <c r="CD61">
        <v>40.529212298509435</v>
      </c>
      <c r="CE61">
        <v>39.331393053327744</v>
      </c>
      <c r="CF61">
        <v>38.168974716842733</v>
      </c>
      <c r="CG61">
        <v>37.040911034085958</v>
      </c>
      <c r="CH61">
        <v>35.946186671596372</v>
      </c>
      <c r="CI61">
        <v>34.883816303551612</v>
      </c>
      <c r="CJ61">
        <v>33.852843724908297</v>
      </c>
      <c r="CK61">
        <v>32.8523409907529</v>
      </c>
      <c r="CL61">
        <v>31.881407581088723</v>
      </c>
      <c r="CM61">
        <v>30.939169590307099</v>
      </c>
      <c r="CN61">
        <v>30.024778940613349</v>
      </c>
      <c r="CO61">
        <v>29.137412618699535</v>
      </c>
      <c r="CP61">
        <v>28.276271934976901</v>
      </c>
      <c r="CQ61">
        <v>27.440581804701367</v>
      </c>
      <c r="CR61">
        <v>26.629590050344902</v>
      </c>
      <c r="CS61">
        <v>25.842566724585005</v>
      </c>
      <c r="CT61">
        <v>25.078803453302815</v>
      </c>
      <c r="CU61">
        <v>24.33761279799862</v>
      </c>
      <c r="CV61">
        <v>23.618327637050772</v>
      </c>
    </row>
    <row r="62" spans="4:100">
      <c r="D62">
        <v>38.168974716842733</v>
      </c>
      <c r="CB62">
        <v>40.529212298509428</v>
      </c>
      <c r="CC62">
        <v>39.331393053327744</v>
      </c>
      <c r="CD62">
        <v>38.168974716842726</v>
      </c>
      <c r="CE62">
        <v>37.040911034085958</v>
      </c>
      <c r="CF62">
        <v>35.946186671596372</v>
      </c>
      <c r="CG62">
        <v>34.883816303551612</v>
      </c>
      <c r="CH62">
        <v>33.85284372490829</v>
      </c>
      <c r="CI62">
        <v>32.852340990752893</v>
      </c>
      <c r="CJ62">
        <v>31.88140758108872</v>
      </c>
      <c r="CK62">
        <v>30.939169590307095</v>
      </c>
      <c r="CL62">
        <v>30.024778940613349</v>
      </c>
      <c r="CM62">
        <v>29.137412618699532</v>
      </c>
      <c r="CN62">
        <v>28.276271934976904</v>
      </c>
      <c r="CO62">
        <v>27.440581804701367</v>
      </c>
      <c r="CP62">
        <v>26.629590050344902</v>
      </c>
      <c r="CQ62">
        <v>25.842566724585001</v>
      </c>
      <c r="CR62">
        <v>25.078803453302815</v>
      </c>
      <c r="CS62">
        <v>24.33761279799862</v>
      </c>
      <c r="CT62">
        <v>23.618327637050772</v>
      </c>
      <c r="CU62">
        <v>22.920300565261211</v>
      </c>
      <c r="CV62">
        <v>22.242903311147089</v>
      </c>
    </row>
    <row r="63" spans="4:100">
      <c r="D63">
        <v>39.331393053327744</v>
      </c>
      <c r="CA63">
        <v>39.331393053327737</v>
      </c>
      <c r="CB63">
        <v>38.168974716842726</v>
      </c>
      <c r="CC63">
        <v>37.040911034085958</v>
      </c>
      <c r="CD63">
        <v>35.946186671596372</v>
      </c>
      <c r="CE63">
        <v>34.883816303551612</v>
      </c>
      <c r="CF63">
        <v>33.85284372490829</v>
      </c>
      <c r="CG63">
        <v>32.852340990752893</v>
      </c>
      <c r="CH63">
        <v>31.881407581088716</v>
      </c>
      <c r="CI63">
        <v>30.939169590307095</v>
      </c>
      <c r="CJ63">
        <v>30.024778940613349</v>
      </c>
      <c r="CK63">
        <v>29.137412618699532</v>
      </c>
      <c r="CL63">
        <v>28.276271934976897</v>
      </c>
      <c r="CM63">
        <v>27.440581804701367</v>
      </c>
      <c r="CN63">
        <v>26.629590050344898</v>
      </c>
      <c r="CO63">
        <v>25.842566724585001</v>
      </c>
      <c r="CP63">
        <v>25.078803453302815</v>
      </c>
      <c r="CQ63">
        <v>24.337612797998617</v>
      </c>
      <c r="CR63">
        <v>23.618327637050768</v>
      </c>
      <c r="CS63">
        <v>22.920300565261211</v>
      </c>
      <c r="CT63">
        <v>22.242903311147085</v>
      </c>
      <c r="CU63">
        <v>21.585526171454013</v>
      </c>
      <c r="CV63">
        <v>20.947577462381979</v>
      </c>
    </row>
    <row r="64" spans="4:100">
      <c r="D64">
        <v>38.168974716842726</v>
      </c>
      <c r="BY64">
        <v>39.331393053327744</v>
      </c>
      <c r="BZ64">
        <v>38.168974716842726</v>
      </c>
      <c r="CA64">
        <v>37.040911034085958</v>
      </c>
      <c r="CB64">
        <v>35.946186671596372</v>
      </c>
      <c r="CC64">
        <v>34.883816303551612</v>
      </c>
      <c r="CD64">
        <v>33.85284372490829</v>
      </c>
      <c r="CE64">
        <v>32.852340990752893</v>
      </c>
      <c r="CF64">
        <v>31.881407581088716</v>
      </c>
      <c r="CG64">
        <v>30.939169590307092</v>
      </c>
      <c r="CH64">
        <v>30.024778940613345</v>
      </c>
      <c r="CI64">
        <v>29.137412618699532</v>
      </c>
      <c r="CJ64">
        <v>28.276271934976901</v>
      </c>
      <c r="CK64">
        <v>27.440581804701363</v>
      </c>
      <c r="CL64">
        <v>26.629590050344902</v>
      </c>
      <c r="CM64">
        <v>25.842566724584998</v>
      </c>
      <c r="CN64">
        <v>25.078803453302815</v>
      </c>
      <c r="CO64">
        <v>24.337612797998617</v>
      </c>
      <c r="CP64">
        <v>23.618327637050768</v>
      </c>
      <c r="CQ64">
        <v>22.920300565261208</v>
      </c>
      <c r="CR64">
        <v>22.242903311147089</v>
      </c>
      <c r="CS64">
        <v>21.585526171454013</v>
      </c>
      <c r="CT64">
        <v>20.947577462381975</v>
      </c>
      <c r="CU64">
        <v>20.328482987029982</v>
      </c>
      <c r="CV64">
        <v>19.727685518580081</v>
      </c>
    </row>
    <row r="65" spans="4:100">
      <c r="D65">
        <v>39.331393053327737</v>
      </c>
      <c r="BW65">
        <v>39.331393053327744</v>
      </c>
      <c r="BX65">
        <v>38.168974716842733</v>
      </c>
      <c r="BY65">
        <v>37.040911034085958</v>
      </c>
      <c r="BZ65">
        <v>35.946186671596372</v>
      </c>
      <c r="CA65">
        <v>34.883816303551612</v>
      </c>
      <c r="CB65">
        <v>33.85284372490829</v>
      </c>
      <c r="CC65">
        <v>32.852340990752893</v>
      </c>
      <c r="CD65">
        <v>31.881407581088716</v>
      </c>
      <c r="CE65">
        <v>30.939169590307092</v>
      </c>
      <c r="CF65">
        <v>30.024778940613345</v>
      </c>
      <c r="CG65">
        <v>29.137412618699532</v>
      </c>
      <c r="CH65">
        <v>28.276271934976901</v>
      </c>
      <c r="CI65">
        <v>27.440581804701363</v>
      </c>
      <c r="CJ65">
        <v>26.629590050344898</v>
      </c>
      <c r="CK65">
        <v>25.842566724585001</v>
      </c>
      <c r="CL65">
        <v>25.078803453302815</v>
      </c>
      <c r="CM65">
        <v>24.337612797998617</v>
      </c>
      <c r="CN65">
        <v>23.618327637050768</v>
      </c>
      <c r="CO65">
        <v>22.920300565261211</v>
      </c>
      <c r="CP65">
        <v>22.242903311147089</v>
      </c>
      <c r="CQ65">
        <v>21.585526171454013</v>
      </c>
      <c r="CR65">
        <v>20.947577462381975</v>
      </c>
      <c r="CS65">
        <v>20.328482987029979</v>
      </c>
      <c r="CT65">
        <v>19.727685518580085</v>
      </c>
      <c r="CU65">
        <v>19.144644298755626</v>
      </c>
      <c r="CV65">
        <v>18.578834551102307</v>
      </c>
    </row>
    <row r="66" spans="4:100">
      <c r="D66">
        <v>40.529212298509428</v>
      </c>
      <c r="BV66">
        <v>38.168974716842719</v>
      </c>
      <c r="BW66">
        <v>37.040911034085951</v>
      </c>
      <c r="BX66">
        <v>35.946186671596365</v>
      </c>
      <c r="BY66">
        <v>34.883816303551605</v>
      </c>
      <c r="BZ66">
        <v>33.852843724908283</v>
      </c>
      <c r="CA66">
        <v>32.852340990752886</v>
      </c>
      <c r="CB66">
        <v>31.881407581088709</v>
      </c>
      <c r="CC66">
        <v>30.939169590307085</v>
      </c>
      <c r="CD66">
        <v>30.024778940613338</v>
      </c>
      <c r="CE66">
        <v>29.137412618699521</v>
      </c>
      <c r="CF66">
        <v>28.276271934976894</v>
      </c>
      <c r="CG66">
        <v>27.44058180470136</v>
      </c>
      <c r="CH66">
        <v>26.629590050344895</v>
      </c>
      <c r="CI66">
        <v>25.842566724584994</v>
      </c>
      <c r="CJ66">
        <v>25.078803453302811</v>
      </c>
      <c r="CK66">
        <v>24.337612797998613</v>
      </c>
      <c r="CL66">
        <v>23.618327637050765</v>
      </c>
      <c r="CM66">
        <v>22.920300565261204</v>
      </c>
      <c r="CN66">
        <v>22.242903311147082</v>
      </c>
      <c r="CO66">
        <v>21.58552617145401</v>
      </c>
      <c r="CP66">
        <v>20.947577462381972</v>
      </c>
      <c r="CQ66">
        <v>20.328482987029979</v>
      </c>
      <c r="CR66">
        <v>19.727685518580078</v>
      </c>
      <c r="CS66">
        <v>19.144644298755622</v>
      </c>
      <c r="CT66">
        <v>18.578834551102304</v>
      </c>
      <c r="CU66">
        <v>18.029747008653931</v>
      </c>
      <c r="CV66">
        <v>17.496887455557786</v>
      </c>
    </row>
    <row r="67" spans="4:100">
      <c r="D67">
        <v>39.331393053327744</v>
      </c>
      <c r="BT67">
        <v>38.168974716842719</v>
      </c>
      <c r="BU67">
        <v>37.040911034085951</v>
      </c>
      <c r="BV67">
        <v>35.946186671596365</v>
      </c>
      <c r="BW67">
        <v>34.883816303551605</v>
      </c>
      <c r="BX67">
        <v>33.852843724908283</v>
      </c>
      <c r="BY67">
        <v>32.852340990752886</v>
      </c>
      <c r="BZ67">
        <v>31.881407581088709</v>
      </c>
      <c r="CA67">
        <v>30.939169590307085</v>
      </c>
      <c r="CB67">
        <v>30.024778940613338</v>
      </c>
      <c r="CC67">
        <v>29.137412618699521</v>
      </c>
      <c r="CD67">
        <v>28.27627193497689</v>
      </c>
      <c r="CE67">
        <v>27.44058180470136</v>
      </c>
      <c r="CF67">
        <v>26.629590050344895</v>
      </c>
      <c r="CG67">
        <v>25.842566724584994</v>
      </c>
      <c r="CH67">
        <v>25.078803453302807</v>
      </c>
      <c r="CI67">
        <v>24.337612797998613</v>
      </c>
      <c r="CJ67">
        <v>23.618327637050761</v>
      </c>
      <c r="CK67">
        <v>22.920300565261204</v>
      </c>
      <c r="CL67">
        <v>22.242903311147082</v>
      </c>
      <c r="CM67">
        <v>21.58552617145401</v>
      </c>
      <c r="CN67">
        <v>20.947577462381972</v>
      </c>
      <c r="CO67">
        <v>20.328482987029979</v>
      </c>
      <c r="CP67">
        <v>19.727685518580078</v>
      </c>
      <c r="CQ67">
        <v>19.144644298755619</v>
      </c>
      <c r="CR67">
        <v>18.578834551102304</v>
      </c>
      <c r="CS67">
        <v>18.029747008653931</v>
      </c>
      <c r="CT67">
        <v>17.496887455557783</v>
      </c>
      <c r="CU67">
        <v>16.979776282246974</v>
      </c>
      <c r="CV67">
        <v>16.477948053759469</v>
      </c>
    </row>
    <row r="68" spans="4:100">
      <c r="D68">
        <v>40.529212298509435</v>
      </c>
      <c r="BR68">
        <v>38.168974716842719</v>
      </c>
      <c r="BS68">
        <v>37.040911034085944</v>
      </c>
      <c r="BT68">
        <v>35.946186671596365</v>
      </c>
      <c r="BU68">
        <v>34.883816303551605</v>
      </c>
      <c r="BV68">
        <v>33.852843724908283</v>
      </c>
      <c r="BW68">
        <v>32.852340990752886</v>
      </c>
      <c r="BX68">
        <v>31.881407581088709</v>
      </c>
      <c r="BY68">
        <v>30.939169590307085</v>
      </c>
      <c r="BZ68">
        <v>30.024778940613334</v>
      </c>
      <c r="CA68">
        <v>29.137412618699521</v>
      </c>
      <c r="CB68">
        <v>28.27627193497689</v>
      </c>
      <c r="CC68">
        <v>27.440581804701356</v>
      </c>
      <c r="CD68">
        <v>26.629590050344895</v>
      </c>
      <c r="CE68">
        <v>25.842566724584994</v>
      </c>
      <c r="CF68">
        <v>25.078803453302807</v>
      </c>
      <c r="CG68">
        <v>24.337612797998609</v>
      </c>
      <c r="CH68">
        <v>23.618327637050765</v>
      </c>
      <c r="CI68">
        <v>22.920300565261204</v>
      </c>
      <c r="CJ68">
        <v>22.242903311147082</v>
      </c>
      <c r="CK68">
        <v>21.58552617145401</v>
      </c>
      <c r="CL68">
        <v>20.947577462381972</v>
      </c>
      <c r="CM68">
        <v>20.328482987029975</v>
      </c>
      <c r="CN68">
        <v>19.727685518580078</v>
      </c>
      <c r="CO68">
        <v>19.144644298755619</v>
      </c>
      <c r="CP68">
        <v>18.5788345511023</v>
      </c>
      <c r="CQ68">
        <v>18.029747008653935</v>
      </c>
      <c r="CR68">
        <v>17.496887455557786</v>
      </c>
      <c r="CS68">
        <v>16.979776282246974</v>
      </c>
      <c r="CT68">
        <v>16.477948053759469</v>
      </c>
      <c r="CU68">
        <v>15.990951090815209</v>
      </c>
      <c r="CV68">
        <v>15.518347063274264</v>
      </c>
    </row>
    <row r="69" spans="4:100">
      <c r="D69">
        <v>39.331393053327744</v>
      </c>
      <c r="BQ69">
        <v>37.040911034085951</v>
      </c>
      <c r="BR69">
        <v>35.946186671596358</v>
      </c>
      <c r="BS69">
        <v>34.883816303551605</v>
      </c>
      <c r="BT69">
        <v>33.852843724908283</v>
      </c>
      <c r="BU69">
        <v>32.852340990752879</v>
      </c>
      <c r="BV69">
        <v>31.881407581088709</v>
      </c>
      <c r="BW69">
        <v>30.939169590307081</v>
      </c>
      <c r="BX69">
        <v>30.024778940613334</v>
      </c>
      <c r="BY69">
        <v>29.137412618699518</v>
      </c>
      <c r="BZ69">
        <v>28.276271934976887</v>
      </c>
      <c r="CA69">
        <v>27.440581804701353</v>
      </c>
      <c r="CB69">
        <v>26.629590050344891</v>
      </c>
      <c r="CC69">
        <v>25.842566724584991</v>
      </c>
      <c r="CD69">
        <v>25.078803453302804</v>
      </c>
      <c r="CE69">
        <v>24.337612797998609</v>
      </c>
      <c r="CF69">
        <v>23.618327637050761</v>
      </c>
      <c r="CG69">
        <v>22.920300565261204</v>
      </c>
      <c r="CH69">
        <v>22.242903311147078</v>
      </c>
      <c r="CI69">
        <v>21.585526171454006</v>
      </c>
      <c r="CJ69">
        <v>20.947577462381968</v>
      </c>
      <c r="CK69">
        <v>20.328482987029975</v>
      </c>
      <c r="CL69">
        <v>19.727685518580074</v>
      </c>
      <c r="CM69">
        <v>19.144644298755619</v>
      </c>
      <c r="CN69">
        <v>18.5788345511023</v>
      </c>
      <c r="CO69">
        <v>18.029747008653928</v>
      </c>
      <c r="CP69">
        <v>17.496887455557783</v>
      </c>
      <c r="CQ69">
        <v>16.979776282246974</v>
      </c>
      <c r="CR69">
        <v>16.477948053759466</v>
      </c>
      <c r="CS69">
        <v>15.990951090815207</v>
      </c>
      <c r="CT69">
        <v>15.518347063274261</v>
      </c>
      <c r="CU69">
        <v>15.059710595610117</v>
      </c>
      <c r="CV69">
        <v>14.614628884042981</v>
      </c>
    </row>
    <row r="70" spans="4:100">
      <c r="D70">
        <v>40.529212298509428</v>
      </c>
      <c r="BO70">
        <v>37.040911034085944</v>
      </c>
      <c r="BP70">
        <v>35.946186671596358</v>
      </c>
      <c r="BQ70">
        <v>34.88381630355159</v>
      </c>
      <c r="BR70">
        <v>33.852843724908276</v>
      </c>
      <c r="BS70">
        <v>32.852340990752879</v>
      </c>
      <c r="BT70">
        <v>31.881407581088702</v>
      </c>
      <c r="BU70">
        <v>30.939169590307078</v>
      </c>
      <c r="BV70">
        <v>30.024778940613331</v>
      </c>
      <c r="BW70">
        <v>29.137412618699514</v>
      </c>
      <c r="BX70">
        <v>28.276271934976883</v>
      </c>
      <c r="BY70">
        <v>27.440581804701349</v>
      </c>
      <c r="BZ70">
        <v>26.629590050344884</v>
      </c>
      <c r="CA70">
        <v>25.842566724584987</v>
      </c>
      <c r="CB70">
        <v>25.078803453302804</v>
      </c>
      <c r="CC70">
        <v>24.337612797998606</v>
      </c>
      <c r="CD70">
        <v>23.618327637050758</v>
      </c>
      <c r="CE70">
        <v>22.920300565261197</v>
      </c>
      <c r="CF70">
        <v>22.242903311147078</v>
      </c>
      <c r="CG70">
        <v>21.585526171454003</v>
      </c>
      <c r="CH70">
        <v>20.947577462381968</v>
      </c>
      <c r="CI70">
        <v>20.328482987029972</v>
      </c>
      <c r="CJ70">
        <v>19.727685518580071</v>
      </c>
      <c r="CK70">
        <v>19.144644298755615</v>
      </c>
      <c r="CL70">
        <v>18.5788345511023</v>
      </c>
      <c r="CM70">
        <v>18.029747008653928</v>
      </c>
      <c r="CN70">
        <v>17.496887455557779</v>
      </c>
      <c r="CO70">
        <v>16.97977628224697</v>
      </c>
      <c r="CP70">
        <v>16.477948053759466</v>
      </c>
      <c r="CQ70">
        <v>15.990951090815205</v>
      </c>
      <c r="CR70">
        <v>15.518347063274261</v>
      </c>
      <c r="CS70">
        <v>15.059710595610113</v>
      </c>
      <c r="CT70">
        <v>14.614628884042979</v>
      </c>
      <c r="CU70">
        <v>14.182701324988527</v>
      </c>
      <c r="CV70">
        <v>13.763539154487624</v>
      </c>
    </row>
    <row r="71" spans="4:100">
      <c r="D71">
        <v>41.763510570563689</v>
      </c>
      <c r="BM71">
        <v>37.040911034085937</v>
      </c>
      <c r="BN71">
        <v>35.946186671596351</v>
      </c>
      <c r="BO71">
        <v>34.883816303551598</v>
      </c>
      <c r="BP71">
        <v>33.852843724908276</v>
      </c>
      <c r="BQ71">
        <v>32.852340990752879</v>
      </c>
      <c r="BR71">
        <v>31.881407581088702</v>
      </c>
      <c r="BS71">
        <v>30.939169590307074</v>
      </c>
      <c r="BT71">
        <v>30.024778940613331</v>
      </c>
      <c r="BU71">
        <v>29.137412618699511</v>
      </c>
      <c r="BV71">
        <v>28.276271934976883</v>
      </c>
      <c r="BW71">
        <v>27.440581804701349</v>
      </c>
      <c r="BX71">
        <v>26.629590050344884</v>
      </c>
      <c r="BY71">
        <v>25.842566724584984</v>
      </c>
      <c r="BZ71">
        <v>25.0788034533028</v>
      </c>
      <c r="CA71">
        <v>24.337612797998606</v>
      </c>
      <c r="CB71">
        <v>23.618327637050758</v>
      </c>
      <c r="CC71">
        <v>22.920300565261197</v>
      </c>
      <c r="CD71">
        <v>22.242903311147074</v>
      </c>
      <c r="CE71">
        <v>21.585526171454003</v>
      </c>
      <c r="CF71">
        <v>20.947577462381965</v>
      </c>
      <c r="CG71">
        <v>20.328482987029972</v>
      </c>
      <c r="CH71">
        <v>19.727685518580071</v>
      </c>
      <c r="CI71">
        <v>19.144644298755615</v>
      </c>
      <c r="CJ71">
        <v>18.578834551102297</v>
      </c>
      <c r="CK71">
        <v>18.029747008653928</v>
      </c>
      <c r="CL71">
        <v>17.496887455557779</v>
      </c>
      <c r="CM71">
        <v>16.979776282246966</v>
      </c>
      <c r="CN71">
        <v>16.477948053759466</v>
      </c>
      <c r="CO71">
        <v>15.990951090815205</v>
      </c>
      <c r="CP71">
        <v>15.518347063274259</v>
      </c>
      <c r="CQ71">
        <v>15.059710595610113</v>
      </c>
      <c r="CR71">
        <v>14.614628884042977</v>
      </c>
      <c r="CS71">
        <v>14.182701324988527</v>
      </c>
      <c r="CT71">
        <v>13.763539154487622</v>
      </c>
      <c r="CU71">
        <v>13.356765098292524</v>
      </c>
      <c r="CV71">
        <v>12.96201303229458</v>
      </c>
    </row>
    <row r="72" spans="4:100">
      <c r="D72">
        <v>40.529212298509435</v>
      </c>
      <c r="BK72">
        <v>37.040911034085937</v>
      </c>
      <c r="BL72">
        <v>35.946186671596351</v>
      </c>
      <c r="BM72">
        <v>34.88381630355159</v>
      </c>
      <c r="BN72">
        <v>33.852843724908276</v>
      </c>
      <c r="BO72">
        <v>32.852340990752872</v>
      </c>
      <c r="BP72">
        <v>31.881407581088698</v>
      </c>
      <c r="BQ72">
        <v>30.939169590307078</v>
      </c>
      <c r="BR72">
        <v>30.024778940613327</v>
      </c>
      <c r="BS72">
        <v>29.137412618699514</v>
      </c>
      <c r="BT72">
        <v>28.276271934976879</v>
      </c>
      <c r="BU72">
        <v>27.440581804701345</v>
      </c>
      <c r="BV72">
        <v>26.629590050344884</v>
      </c>
      <c r="BW72">
        <v>25.842566724584984</v>
      </c>
      <c r="BX72">
        <v>25.078803453302797</v>
      </c>
      <c r="BY72">
        <v>24.337612797998602</v>
      </c>
      <c r="BZ72">
        <v>23.618327637050754</v>
      </c>
      <c r="CA72">
        <v>22.920300565261197</v>
      </c>
      <c r="CB72">
        <v>22.242903311147074</v>
      </c>
      <c r="CC72">
        <v>21.585526171453999</v>
      </c>
      <c r="CD72">
        <v>20.947577462381965</v>
      </c>
      <c r="CE72">
        <v>20.328482987029968</v>
      </c>
      <c r="CF72">
        <v>19.727685518580071</v>
      </c>
      <c r="CG72">
        <v>19.144644298755615</v>
      </c>
      <c r="CH72">
        <v>18.578834551102297</v>
      </c>
      <c r="CI72">
        <v>18.029747008653924</v>
      </c>
      <c r="CJ72">
        <v>17.496887455557779</v>
      </c>
      <c r="CK72">
        <v>16.979776282246966</v>
      </c>
      <c r="CL72">
        <v>16.477948053759462</v>
      </c>
      <c r="CM72">
        <v>15.990951090815203</v>
      </c>
      <c r="CN72">
        <v>15.518347063274259</v>
      </c>
      <c r="CO72">
        <v>15.059710595610111</v>
      </c>
      <c r="CP72">
        <v>14.614628884042977</v>
      </c>
      <c r="CQ72">
        <v>14.182701324988525</v>
      </c>
      <c r="CR72">
        <v>13.763539154487622</v>
      </c>
      <c r="CS72">
        <v>13.356765098292524</v>
      </c>
      <c r="CT72">
        <v>12.96201303229458</v>
      </c>
      <c r="CU72">
        <v>12.578927652987829</v>
      </c>
      <c r="CV72">
        <v>12.207164157671858</v>
      </c>
    </row>
    <row r="73" spans="4:100">
      <c r="D73">
        <v>41.763510570563689</v>
      </c>
      <c r="BJ73">
        <v>35.946186671596351</v>
      </c>
      <c r="BK73">
        <v>34.88381630355159</v>
      </c>
      <c r="BL73">
        <v>33.852843724908276</v>
      </c>
      <c r="BM73">
        <v>32.852340990752879</v>
      </c>
      <c r="BN73">
        <v>31.881407581088698</v>
      </c>
      <c r="BO73">
        <v>30.939169590307078</v>
      </c>
      <c r="BP73">
        <v>30.024778940613331</v>
      </c>
      <c r="BQ73">
        <v>29.137412618699511</v>
      </c>
      <c r="BR73">
        <v>28.276271934976883</v>
      </c>
      <c r="BS73">
        <v>27.440581804701345</v>
      </c>
      <c r="BT73">
        <v>26.629590050344884</v>
      </c>
      <c r="BU73">
        <v>25.842566724584984</v>
      </c>
      <c r="BV73">
        <v>25.078803453302797</v>
      </c>
      <c r="BW73">
        <v>24.337612797998602</v>
      </c>
      <c r="BX73">
        <v>23.618327637050754</v>
      </c>
      <c r="BY73">
        <v>22.920300565261197</v>
      </c>
      <c r="BZ73">
        <v>22.242903311147074</v>
      </c>
      <c r="CA73">
        <v>21.585526171454003</v>
      </c>
      <c r="CB73">
        <v>20.947577462381965</v>
      </c>
      <c r="CC73">
        <v>20.328482987029972</v>
      </c>
      <c r="CD73">
        <v>19.727685518580071</v>
      </c>
      <c r="CE73">
        <v>19.144644298755615</v>
      </c>
      <c r="CF73">
        <v>18.578834551102297</v>
      </c>
      <c r="CG73">
        <v>18.029747008653928</v>
      </c>
      <c r="CH73">
        <v>17.496887455557779</v>
      </c>
      <c r="CI73">
        <v>16.97977628224697</v>
      </c>
      <c r="CJ73">
        <v>16.477948053759462</v>
      </c>
      <c r="CK73">
        <v>15.990951090815201</v>
      </c>
      <c r="CL73">
        <v>15.518347063274259</v>
      </c>
      <c r="CM73">
        <v>15.059710595610113</v>
      </c>
      <c r="CN73">
        <v>14.614628884042977</v>
      </c>
      <c r="CO73">
        <v>14.182701324988527</v>
      </c>
      <c r="CP73">
        <v>13.763539154487622</v>
      </c>
      <c r="CQ73">
        <v>13.356765098292524</v>
      </c>
      <c r="CR73">
        <v>12.96201303229458</v>
      </c>
      <c r="CS73">
        <v>12.578927652987829</v>
      </c>
      <c r="CT73">
        <v>12.207164157671858</v>
      </c>
      <c r="CU73">
        <v>11.846387934106092</v>
      </c>
      <c r="CV73">
        <v>11.496274259336195</v>
      </c>
    </row>
    <row r="74" spans="4:100">
      <c r="D74">
        <v>43.03539882125299</v>
      </c>
      <c r="BH74">
        <v>35.946186671596344</v>
      </c>
      <c r="BI74">
        <v>34.88381630355159</v>
      </c>
      <c r="BJ74">
        <v>33.852843724908269</v>
      </c>
      <c r="BK74">
        <v>32.852340990752872</v>
      </c>
      <c r="BL74">
        <v>31.881407581088698</v>
      </c>
      <c r="BM74">
        <v>30.93916959030707</v>
      </c>
      <c r="BN74">
        <v>30.024778940613327</v>
      </c>
      <c r="BO74">
        <v>29.137412618699511</v>
      </c>
      <c r="BP74">
        <v>28.276271934976879</v>
      </c>
      <c r="BQ74">
        <v>27.440581804701345</v>
      </c>
      <c r="BR74">
        <v>26.629590050344881</v>
      </c>
      <c r="BS74">
        <v>25.84256672458498</v>
      </c>
      <c r="BT74">
        <v>25.078803453302793</v>
      </c>
      <c r="BU74">
        <v>24.337612797998599</v>
      </c>
      <c r="BV74">
        <v>23.618327637050751</v>
      </c>
      <c r="BW74">
        <v>22.920300565261194</v>
      </c>
      <c r="BX74">
        <v>22.242903311147074</v>
      </c>
      <c r="BY74">
        <v>21.585526171453999</v>
      </c>
      <c r="BZ74">
        <v>20.947577462381965</v>
      </c>
      <c r="CA74">
        <v>20.328482987029968</v>
      </c>
      <c r="CB74">
        <v>19.727685518580071</v>
      </c>
      <c r="CC74">
        <v>19.144644298755612</v>
      </c>
      <c r="CD74">
        <v>18.578834551102293</v>
      </c>
      <c r="CE74">
        <v>18.029747008653924</v>
      </c>
      <c r="CF74">
        <v>17.496887455557776</v>
      </c>
      <c r="CG74">
        <v>16.979776282246966</v>
      </c>
      <c r="CH74">
        <v>16.477948053759462</v>
      </c>
      <c r="CI74">
        <v>15.990951090815201</v>
      </c>
      <c r="CJ74">
        <v>15.518347063274256</v>
      </c>
      <c r="CK74">
        <v>15.059710595610111</v>
      </c>
      <c r="CL74">
        <v>14.614628884042975</v>
      </c>
      <c r="CM74">
        <v>14.182701324988523</v>
      </c>
      <c r="CN74">
        <v>13.763539154487621</v>
      </c>
      <c r="CO74">
        <v>13.356765098292522</v>
      </c>
      <c r="CP74">
        <v>12.962013032294578</v>
      </c>
      <c r="CQ74">
        <v>12.578927652987828</v>
      </c>
      <c r="CR74">
        <v>12.207164157671857</v>
      </c>
      <c r="CS74">
        <v>11.84638793410609</v>
      </c>
      <c r="CT74">
        <v>11.496274259336193</v>
      </c>
      <c r="CU74">
        <v>11.156508007421493</v>
      </c>
      <c r="CV74">
        <v>10.826783365800354</v>
      </c>
    </row>
    <row r="75" spans="4:100">
      <c r="D75">
        <v>41.763510570563696</v>
      </c>
      <c r="BF75">
        <v>35.946186671596344</v>
      </c>
      <c r="BG75">
        <v>34.883816303551583</v>
      </c>
      <c r="BH75">
        <v>33.852843724908269</v>
      </c>
      <c r="BI75">
        <v>32.852340990752872</v>
      </c>
      <c r="BJ75">
        <v>31.881407581088695</v>
      </c>
      <c r="BK75">
        <v>30.939169590307074</v>
      </c>
      <c r="BL75">
        <v>30.024778940613324</v>
      </c>
      <c r="BM75">
        <v>29.137412618699511</v>
      </c>
      <c r="BN75">
        <v>28.276271934976879</v>
      </c>
      <c r="BO75">
        <v>27.440581804701342</v>
      </c>
      <c r="BP75">
        <v>26.629590050344881</v>
      </c>
      <c r="BQ75">
        <v>25.84256672458498</v>
      </c>
      <c r="BR75">
        <v>25.078803453302793</v>
      </c>
      <c r="BS75">
        <v>24.337612797998599</v>
      </c>
      <c r="BT75">
        <v>23.618327637050751</v>
      </c>
      <c r="BU75">
        <v>22.92030056526119</v>
      </c>
      <c r="BV75">
        <v>22.242903311147071</v>
      </c>
      <c r="BW75">
        <v>21.585526171453999</v>
      </c>
      <c r="BX75">
        <v>20.947577462381965</v>
      </c>
      <c r="BY75">
        <v>20.328482987029968</v>
      </c>
      <c r="BZ75">
        <v>19.727685518580067</v>
      </c>
      <c r="CA75">
        <v>19.144644298755612</v>
      </c>
      <c r="CB75">
        <v>18.578834551102293</v>
      </c>
      <c r="CC75">
        <v>18.029747008653924</v>
      </c>
      <c r="CD75">
        <v>17.496887455557776</v>
      </c>
      <c r="CE75">
        <v>16.979776282246966</v>
      </c>
      <c r="CF75">
        <v>16.477948053759459</v>
      </c>
      <c r="CG75">
        <v>15.990951090815201</v>
      </c>
      <c r="CH75">
        <v>15.518347063274256</v>
      </c>
      <c r="CI75">
        <v>15.05971059561011</v>
      </c>
      <c r="CJ75">
        <v>14.614628884042975</v>
      </c>
      <c r="CK75">
        <v>14.182701324988525</v>
      </c>
      <c r="CL75">
        <v>13.763539154487621</v>
      </c>
      <c r="CM75">
        <v>13.356765098292522</v>
      </c>
      <c r="CN75">
        <v>12.962013032294578</v>
      </c>
      <c r="CO75">
        <v>12.578927652987829</v>
      </c>
      <c r="CP75">
        <v>12.207164157671857</v>
      </c>
      <c r="CQ75">
        <v>11.84638793410609</v>
      </c>
      <c r="CR75">
        <v>11.496274259336193</v>
      </c>
      <c r="CS75">
        <v>11.156508007421493</v>
      </c>
      <c r="CT75">
        <v>10.826783365800354</v>
      </c>
      <c r="CU75">
        <v>10.506803560038238</v>
      </c>
      <c r="CV75">
        <v>10.196280586710673</v>
      </c>
    </row>
    <row r="76" spans="4:100">
      <c r="D76">
        <v>43.035398821252983</v>
      </c>
      <c r="BD76">
        <v>35.946186671596351</v>
      </c>
      <c r="BE76">
        <v>34.88381630355159</v>
      </c>
      <c r="BF76">
        <v>33.852843724908269</v>
      </c>
      <c r="BG76">
        <v>32.852340990752872</v>
      </c>
      <c r="BH76">
        <v>31.881407581088695</v>
      </c>
      <c r="BI76">
        <v>30.93916959030707</v>
      </c>
      <c r="BJ76">
        <v>30.024778940613327</v>
      </c>
      <c r="BK76">
        <v>29.137412618699507</v>
      </c>
      <c r="BL76">
        <v>28.276271934976879</v>
      </c>
      <c r="BM76">
        <v>27.440581804701345</v>
      </c>
      <c r="BN76">
        <v>26.629590050344881</v>
      </c>
      <c r="BO76">
        <v>25.842566724584984</v>
      </c>
      <c r="BP76">
        <v>25.078803453302793</v>
      </c>
      <c r="BQ76">
        <v>24.337612797998599</v>
      </c>
      <c r="BR76">
        <v>23.618327637050751</v>
      </c>
      <c r="BS76">
        <v>22.920300565261194</v>
      </c>
      <c r="BT76">
        <v>22.242903311147071</v>
      </c>
      <c r="BU76">
        <v>21.585526171453999</v>
      </c>
      <c r="BV76">
        <v>20.947577462381965</v>
      </c>
      <c r="BW76">
        <v>20.328482987029968</v>
      </c>
      <c r="BX76">
        <v>19.727685518580067</v>
      </c>
      <c r="BY76">
        <v>19.144644298755612</v>
      </c>
      <c r="BZ76">
        <v>18.578834551102297</v>
      </c>
      <c r="CA76">
        <v>18.029747008653924</v>
      </c>
      <c r="CB76">
        <v>17.496887455557776</v>
      </c>
      <c r="CC76">
        <v>16.979776282246966</v>
      </c>
      <c r="CD76">
        <v>16.477948053759462</v>
      </c>
      <c r="CE76">
        <v>15.990951090815201</v>
      </c>
      <c r="CF76">
        <v>15.518347063274257</v>
      </c>
      <c r="CG76">
        <v>15.05971059561011</v>
      </c>
      <c r="CH76">
        <v>14.614628884042974</v>
      </c>
      <c r="CI76">
        <v>14.182701324988525</v>
      </c>
      <c r="CJ76">
        <v>13.763539154487622</v>
      </c>
      <c r="CK76">
        <v>13.356765098292522</v>
      </c>
      <c r="CL76">
        <v>12.962013032294578</v>
      </c>
      <c r="CM76">
        <v>12.578927652987829</v>
      </c>
      <c r="CN76">
        <v>12.207164157671857</v>
      </c>
      <c r="CO76">
        <v>11.84638793410609</v>
      </c>
      <c r="CP76">
        <v>11.496274259336193</v>
      </c>
      <c r="CQ76">
        <v>11.156508007421493</v>
      </c>
      <c r="CR76">
        <v>10.826783365800354</v>
      </c>
      <c r="CS76">
        <v>10.506803560038238</v>
      </c>
      <c r="CT76">
        <v>10.196280586710673</v>
      </c>
      <c r="CU76">
        <v>9.8949349541807337</v>
      </c>
      <c r="CV76">
        <v>9.6024954310377062</v>
      </c>
    </row>
    <row r="77" spans="4:100">
      <c r="D77">
        <v>41.763510570563689</v>
      </c>
      <c r="BB77">
        <v>35.946186671596344</v>
      </c>
      <c r="BC77">
        <v>34.88381630355159</v>
      </c>
      <c r="BD77">
        <v>33.852843724908269</v>
      </c>
      <c r="BE77">
        <v>32.852340990752865</v>
      </c>
      <c r="BF77">
        <v>31.881407581088695</v>
      </c>
      <c r="BG77">
        <v>30.939169590307067</v>
      </c>
      <c r="BH77">
        <v>30.024778940613324</v>
      </c>
      <c r="BI77">
        <v>29.137412618699507</v>
      </c>
      <c r="BJ77">
        <v>28.276271934976876</v>
      </c>
      <c r="BK77">
        <v>27.440581804701345</v>
      </c>
      <c r="BL77">
        <v>26.629590050344881</v>
      </c>
      <c r="BM77">
        <v>25.84256672458498</v>
      </c>
      <c r="BN77">
        <v>25.078803453302797</v>
      </c>
      <c r="BO77">
        <v>24.337612797998599</v>
      </c>
      <c r="BP77">
        <v>23.618327637050751</v>
      </c>
      <c r="BQ77">
        <v>22.92030056526119</v>
      </c>
      <c r="BR77">
        <v>22.242903311147067</v>
      </c>
      <c r="BS77">
        <v>21.585526171453996</v>
      </c>
      <c r="BT77">
        <v>20.947577462381961</v>
      </c>
      <c r="BU77">
        <v>20.328482987029968</v>
      </c>
      <c r="BV77">
        <v>19.727685518580067</v>
      </c>
      <c r="BW77">
        <v>19.144644298755612</v>
      </c>
      <c r="BX77">
        <v>18.578834551102293</v>
      </c>
      <c r="BY77">
        <v>18.029747008653924</v>
      </c>
      <c r="BZ77">
        <v>17.496887455557776</v>
      </c>
      <c r="CA77">
        <v>16.979776282246963</v>
      </c>
      <c r="CB77">
        <v>16.477948053759459</v>
      </c>
      <c r="CC77">
        <v>15.9909510908152</v>
      </c>
      <c r="CD77">
        <v>15.518347063274256</v>
      </c>
      <c r="CE77">
        <v>15.05971059561011</v>
      </c>
      <c r="CF77">
        <v>14.614628884042974</v>
      </c>
      <c r="CG77">
        <v>14.182701324988521</v>
      </c>
      <c r="CH77">
        <v>13.763539154487621</v>
      </c>
      <c r="CI77">
        <v>13.356765098292522</v>
      </c>
      <c r="CJ77">
        <v>12.962013032294578</v>
      </c>
      <c r="CK77">
        <v>12.578927652987828</v>
      </c>
      <c r="CL77">
        <v>12.207164157671855</v>
      </c>
      <c r="CM77">
        <v>11.84638793410609</v>
      </c>
      <c r="CN77">
        <v>11.496274259336193</v>
      </c>
      <c r="CO77">
        <v>11.156508007421492</v>
      </c>
      <c r="CP77">
        <v>10.826783365800354</v>
      </c>
      <c r="CQ77">
        <v>10.506803560038238</v>
      </c>
      <c r="CR77">
        <v>10.196280586710671</v>
      </c>
      <c r="CS77">
        <v>9.8949349541807337</v>
      </c>
      <c r="CT77">
        <v>9.6024954310377044</v>
      </c>
      <c r="CU77">
        <v>9.3186988019704966</v>
      </c>
      <c r="CV77">
        <v>9.043289630856103</v>
      </c>
    </row>
    <row r="78" spans="4:100">
      <c r="D78">
        <v>43.035398821252983</v>
      </c>
      <c r="BA78">
        <v>34.883816303551583</v>
      </c>
      <c r="BB78">
        <v>33.852843724908269</v>
      </c>
      <c r="BC78">
        <v>32.852340990752872</v>
      </c>
      <c r="BD78">
        <v>31.881407581088691</v>
      </c>
      <c r="BE78">
        <v>30.93916959030707</v>
      </c>
      <c r="BF78">
        <v>30.024778940613324</v>
      </c>
      <c r="BG78">
        <v>29.137412618699507</v>
      </c>
      <c r="BH78">
        <v>28.276271934976879</v>
      </c>
      <c r="BI78">
        <v>27.440581804701342</v>
      </c>
      <c r="BJ78">
        <v>26.629590050344881</v>
      </c>
      <c r="BK78">
        <v>25.842566724584984</v>
      </c>
      <c r="BL78">
        <v>25.078803453302793</v>
      </c>
      <c r="BM78">
        <v>24.337612797998602</v>
      </c>
      <c r="BN78">
        <v>23.618327637050751</v>
      </c>
      <c r="BO78">
        <v>22.92030056526119</v>
      </c>
      <c r="BP78">
        <v>22.242903311147071</v>
      </c>
      <c r="BQ78">
        <v>21.585526171453996</v>
      </c>
      <c r="BR78">
        <v>20.947577462381961</v>
      </c>
      <c r="BS78">
        <v>20.328482987029968</v>
      </c>
      <c r="BT78">
        <v>19.727685518580067</v>
      </c>
      <c r="BU78">
        <v>19.144644298755612</v>
      </c>
      <c r="BV78">
        <v>18.578834551102293</v>
      </c>
      <c r="BW78">
        <v>18.029747008653924</v>
      </c>
      <c r="BX78">
        <v>17.496887455557776</v>
      </c>
      <c r="BY78">
        <v>16.979776282246963</v>
      </c>
      <c r="BZ78">
        <v>16.477948053759459</v>
      </c>
      <c r="CA78">
        <v>15.990951090815201</v>
      </c>
      <c r="CB78">
        <v>15.518347063274256</v>
      </c>
      <c r="CC78">
        <v>15.05971059561011</v>
      </c>
      <c r="CD78">
        <v>14.614628884042975</v>
      </c>
      <c r="CE78">
        <v>14.182701324988523</v>
      </c>
      <c r="CF78">
        <v>13.763539154487619</v>
      </c>
      <c r="CG78">
        <v>13.356765098292522</v>
      </c>
      <c r="CH78">
        <v>12.962013032294578</v>
      </c>
      <c r="CI78">
        <v>12.578927652987828</v>
      </c>
      <c r="CJ78">
        <v>12.207164157671857</v>
      </c>
      <c r="CK78">
        <v>11.84638793410609</v>
      </c>
      <c r="CL78">
        <v>11.496274259336193</v>
      </c>
      <c r="CM78">
        <v>11.156508007421492</v>
      </c>
      <c r="CN78">
        <v>10.826783365800354</v>
      </c>
      <c r="CO78">
        <v>10.506803560038238</v>
      </c>
      <c r="CP78">
        <v>10.196280586710673</v>
      </c>
      <c r="CQ78">
        <v>9.8949349541807337</v>
      </c>
      <c r="CR78">
        <v>9.6024954310377062</v>
      </c>
      <c r="CS78">
        <v>9.3186988019704984</v>
      </c>
      <c r="CT78">
        <v>9.043289630856103</v>
      </c>
      <c r="CU78">
        <v>8.7760200308498426</v>
      </c>
      <c r="CV78">
        <v>8.5166494412704701</v>
      </c>
    </row>
    <row r="79" spans="4:100">
      <c r="D79">
        <v>44.346021835857982</v>
      </c>
      <c r="AY79">
        <v>34.883816303551583</v>
      </c>
      <c r="AZ79">
        <v>33.852843724908261</v>
      </c>
      <c r="BA79">
        <v>32.852340990752865</v>
      </c>
      <c r="BB79">
        <v>31.881407581088688</v>
      </c>
      <c r="BC79">
        <v>30.93916959030706</v>
      </c>
      <c r="BD79">
        <v>30.024778940613317</v>
      </c>
      <c r="BE79">
        <v>29.1374126186995</v>
      </c>
      <c r="BF79">
        <v>28.276271934976872</v>
      </c>
      <c r="BG79">
        <v>27.440581804701338</v>
      </c>
      <c r="BH79">
        <v>26.629590050344873</v>
      </c>
      <c r="BI79">
        <v>25.842566724584977</v>
      </c>
      <c r="BJ79">
        <v>25.07880345330279</v>
      </c>
      <c r="BK79">
        <v>24.337612797998592</v>
      </c>
      <c r="BL79">
        <v>23.618327637050747</v>
      </c>
      <c r="BM79">
        <v>22.920300565261186</v>
      </c>
      <c r="BN79">
        <v>22.242903311147064</v>
      </c>
      <c r="BO79">
        <v>21.585526171453992</v>
      </c>
      <c r="BP79">
        <v>20.947577462381954</v>
      </c>
      <c r="BQ79">
        <v>20.328482987029961</v>
      </c>
      <c r="BR79">
        <v>19.727685518580063</v>
      </c>
      <c r="BS79">
        <v>19.144644298755608</v>
      </c>
      <c r="BT79">
        <v>18.57883455110229</v>
      </c>
      <c r="BU79">
        <v>18.029747008653921</v>
      </c>
      <c r="BV79">
        <v>17.496887455557772</v>
      </c>
      <c r="BW79">
        <v>16.979776282246963</v>
      </c>
      <c r="BX79">
        <v>16.477948053759455</v>
      </c>
      <c r="BY79">
        <v>15.990951090815198</v>
      </c>
      <c r="BZ79">
        <v>15.518347063274252</v>
      </c>
      <c r="CA79">
        <v>15.059710595610106</v>
      </c>
      <c r="CB79">
        <v>14.614628884042972</v>
      </c>
      <c r="CC79">
        <v>14.182701324988519</v>
      </c>
      <c r="CD79">
        <v>13.763539154487617</v>
      </c>
      <c r="CE79">
        <v>13.356765098292517</v>
      </c>
      <c r="CF79">
        <v>12.962013032294577</v>
      </c>
      <c r="CG79">
        <v>12.578927652987826</v>
      </c>
      <c r="CH79">
        <v>12.207164157671853</v>
      </c>
      <c r="CI79">
        <v>11.846387934106087</v>
      </c>
      <c r="CJ79">
        <v>11.496274259336191</v>
      </c>
      <c r="CK79">
        <v>11.15650800742149</v>
      </c>
      <c r="CL79">
        <v>10.826783365800351</v>
      </c>
      <c r="CM79">
        <v>10.506803560038234</v>
      </c>
      <c r="CN79">
        <v>10.196280586710669</v>
      </c>
      <c r="CO79">
        <v>9.8949349541807319</v>
      </c>
      <c r="CP79">
        <v>9.6024954310377026</v>
      </c>
      <c r="CQ79">
        <v>9.3186988019704948</v>
      </c>
      <c r="CR79">
        <v>9.0432896308561013</v>
      </c>
      <c r="CS79">
        <v>8.7760200308498408</v>
      </c>
      <c r="CT79">
        <v>8.5166494412704683</v>
      </c>
      <c r="CU79">
        <v>8.2649444110793233</v>
      </c>
      <c r="CV79">
        <v>8.0206783887586344</v>
      </c>
    </row>
    <row r="80" spans="4:100">
      <c r="D80">
        <v>45.696559263561525</v>
      </c>
      <c r="AW80">
        <v>34.883816303551576</v>
      </c>
      <c r="AX80">
        <v>33.852843724908261</v>
      </c>
      <c r="AY80">
        <v>32.852340990752857</v>
      </c>
      <c r="AZ80">
        <v>31.881407581088688</v>
      </c>
      <c r="BA80">
        <v>30.939169590307063</v>
      </c>
      <c r="BB80">
        <v>30.024778940613313</v>
      </c>
      <c r="BC80">
        <v>29.137412618699503</v>
      </c>
      <c r="BD80">
        <v>28.276271934976872</v>
      </c>
      <c r="BE80">
        <v>27.440581804701338</v>
      </c>
      <c r="BF80">
        <v>26.629590050344877</v>
      </c>
      <c r="BG80">
        <v>25.842566724584973</v>
      </c>
      <c r="BH80">
        <v>25.07880345330279</v>
      </c>
      <c r="BI80">
        <v>24.337612797998595</v>
      </c>
      <c r="BJ80">
        <v>23.618327637050744</v>
      </c>
      <c r="BK80">
        <v>22.920300565261186</v>
      </c>
      <c r="BL80">
        <v>22.242903311147064</v>
      </c>
      <c r="BM80">
        <v>21.585526171453992</v>
      </c>
      <c r="BN80">
        <v>20.947577462381954</v>
      </c>
      <c r="BO80">
        <v>20.328482987029961</v>
      </c>
      <c r="BP80">
        <v>19.72768551858006</v>
      </c>
      <c r="BQ80">
        <v>19.144644298755605</v>
      </c>
      <c r="BR80">
        <v>18.57883455110229</v>
      </c>
      <c r="BS80">
        <v>18.029747008653921</v>
      </c>
      <c r="BT80">
        <v>17.496887455557772</v>
      </c>
      <c r="BU80">
        <v>16.979776282246959</v>
      </c>
      <c r="BV80">
        <v>16.477948053759455</v>
      </c>
      <c r="BW80">
        <v>15.990951090815196</v>
      </c>
      <c r="BX80">
        <v>15.518347063274252</v>
      </c>
      <c r="BY80">
        <v>15.059710595610106</v>
      </c>
      <c r="BZ80">
        <v>14.614628884042972</v>
      </c>
      <c r="CA80">
        <v>14.182701324988519</v>
      </c>
      <c r="CB80">
        <v>13.763539154487617</v>
      </c>
      <c r="CC80">
        <v>13.356765098292518</v>
      </c>
      <c r="CD80">
        <v>12.962013032294573</v>
      </c>
      <c r="CE80">
        <v>12.578927652987826</v>
      </c>
      <c r="CF80">
        <v>12.207164157671853</v>
      </c>
      <c r="CG80">
        <v>11.846387934106087</v>
      </c>
      <c r="CH80">
        <v>11.496274259336191</v>
      </c>
      <c r="CI80">
        <v>11.15650800742149</v>
      </c>
      <c r="CJ80">
        <v>10.826783365800351</v>
      </c>
      <c r="CK80">
        <v>10.506803560038234</v>
      </c>
      <c r="CL80">
        <v>10.196280586710669</v>
      </c>
      <c r="CM80">
        <v>9.8949349541807319</v>
      </c>
      <c r="CN80">
        <v>9.6024954310377026</v>
      </c>
      <c r="CO80">
        <v>9.3186988019704948</v>
      </c>
      <c r="CP80">
        <v>9.0432896308561013</v>
      </c>
      <c r="CQ80">
        <v>8.7760200308498408</v>
      </c>
      <c r="CR80">
        <v>8.5166494412704683</v>
      </c>
      <c r="CS80">
        <v>8.2649444110793233</v>
      </c>
      <c r="CT80">
        <v>8.0206783887586344</v>
      </c>
      <c r="CU80">
        <v>7.7836315183998614</v>
      </c>
      <c r="CV80">
        <v>7.5535904418185389</v>
      </c>
    </row>
    <row r="81" spans="4:100">
      <c r="D81">
        <v>44.346021835857982</v>
      </c>
      <c r="AU81">
        <v>34.883816303551576</v>
      </c>
      <c r="AV81">
        <v>33.852843724908254</v>
      </c>
      <c r="AW81">
        <v>32.852340990752865</v>
      </c>
      <c r="AX81">
        <v>31.881407581088684</v>
      </c>
      <c r="AY81">
        <v>30.939169590307063</v>
      </c>
      <c r="AZ81">
        <v>30.024778940613317</v>
      </c>
      <c r="BA81">
        <v>29.137412618699496</v>
      </c>
      <c r="BB81">
        <v>28.276271934976872</v>
      </c>
      <c r="BC81">
        <v>27.440581804701335</v>
      </c>
      <c r="BD81">
        <v>26.629590050344873</v>
      </c>
      <c r="BE81">
        <v>25.842566724584977</v>
      </c>
      <c r="BF81">
        <v>25.078803453302786</v>
      </c>
      <c r="BG81">
        <v>24.337612797998595</v>
      </c>
      <c r="BH81">
        <v>23.618327637050747</v>
      </c>
      <c r="BI81">
        <v>22.920300565261186</v>
      </c>
      <c r="BJ81">
        <v>22.242903311147064</v>
      </c>
      <c r="BK81">
        <v>21.585526171453992</v>
      </c>
      <c r="BL81">
        <v>20.947577462381954</v>
      </c>
      <c r="BM81">
        <v>20.328482987029961</v>
      </c>
      <c r="BN81">
        <v>19.72768551858006</v>
      </c>
      <c r="BO81">
        <v>19.144644298755605</v>
      </c>
      <c r="BP81">
        <v>18.578834551102286</v>
      </c>
      <c r="BQ81">
        <v>18.029747008653921</v>
      </c>
      <c r="BR81">
        <v>17.496887455557772</v>
      </c>
      <c r="BS81">
        <v>16.979776282246959</v>
      </c>
      <c r="BT81">
        <v>16.477948053759455</v>
      </c>
      <c r="BU81">
        <v>15.990951090815196</v>
      </c>
      <c r="BV81">
        <v>15.51834706327425</v>
      </c>
      <c r="BW81">
        <v>15.059710595610106</v>
      </c>
      <c r="BX81">
        <v>14.61462888404297</v>
      </c>
      <c r="BY81">
        <v>14.182701324988519</v>
      </c>
      <c r="BZ81">
        <v>13.763539154487617</v>
      </c>
      <c r="CA81">
        <v>13.356765098292518</v>
      </c>
      <c r="CB81">
        <v>12.962013032294575</v>
      </c>
      <c r="CC81">
        <v>12.578927652987824</v>
      </c>
      <c r="CD81">
        <v>12.207164157671853</v>
      </c>
      <c r="CE81">
        <v>11.846387934106087</v>
      </c>
      <c r="CF81">
        <v>11.49627425933619</v>
      </c>
      <c r="CG81">
        <v>11.15650800742149</v>
      </c>
      <c r="CH81">
        <v>10.826783365800351</v>
      </c>
      <c r="CI81">
        <v>10.506803560038234</v>
      </c>
      <c r="CJ81">
        <v>10.196280586710669</v>
      </c>
      <c r="CK81">
        <v>9.8949349541807319</v>
      </c>
      <c r="CL81">
        <v>9.6024954310377026</v>
      </c>
      <c r="CM81">
        <v>9.3186988019704948</v>
      </c>
      <c r="CN81">
        <v>9.0432896308561013</v>
      </c>
      <c r="CO81">
        <v>8.7760200308498408</v>
      </c>
      <c r="CP81">
        <v>8.5166494412704683</v>
      </c>
      <c r="CQ81">
        <v>8.2649444110793233</v>
      </c>
      <c r="CR81">
        <v>8.0206783887586344</v>
      </c>
      <c r="CS81">
        <v>7.7836315183998614</v>
      </c>
      <c r="CT81">
        <v>7.553590441818538</v>
      </c>
      <c r="CU81">
        <v>7.3303481065175031</v>
      </c>
      <c r="CV81">
        <v>7.1137035793256747</v>
      </c>
    </row>
    <row r="82" spans="4:100">
      <c r="D82">
        <v>45.696559263561525</v>
      </c>
      <c r="AS82">
        <v>34.883816303551576</v>
      </c>
      <c r="AT82">
        <v>33.852843724908254</v>
      </c>
      <c r="AU82">
        <v>32.852340990752857</v>
      </c>
      <c r="AV82">
        <v>31.881407581088684</v>
      </c>
      <c r="AW82">
        <v>30.93916959030706</v>
      </c>
      <c r="AX82">
        <v>30.024778940613313</v>
      </c>
      <c r="AY82">
        <v>29.1374126186995</v>
      </c>
      <c r="AZ82">
        <v>28.276271934976865</v>
      </c>
      <c r="BA82">
        <v>27.440581804701335</v>
      </c>
      <c r="BB82">
        <v>26.62959005034487</v>
      </c>
      <c r="BC82">
        <v>25.842566724584973</v>
      </c>
      <c r="BD82">
        <v>25.07880345330279</v>
      </c>
      <c r="BE82">
        <v>24.337612797998588</v>
      </c>
      <c r="BF82">
        <v>23.618327637050744</v>
      </c>
      <c r="BG82">
        <v>22.920300565261186</v>
      </c>
      <c r="BH82">
        <v>22.242903311147064</v>
      </c>
      <c r="BI82">
        <v>21.585526171453992</v>
      </c>
      <c r="BJ82">
        <v>20.947577462381954</v>
      </c>
      <c r="BK82">
        <v>20.328482987029961</v>
      </c>
      <c r="BL82">
        <v>19.72768551858006</v>
      </c>
      <c r="BM82">
        <v>19.144644298755605</v>
      </c>
      <c r="BN82">
        <v>18.578834551102286</v>
      </c>
      <c r="BO82">
        <v>18.029747008653917</v>
      </c>
      <c r="BP82">
        <v>17.496887455557772</v>
      </c>
      <c r="BQ82">
        <v>16.979776282246959</v>
      </c>
      <c r="BR82">
        <v>16.477948053759455</v>
      </c>
      <c r="BS82">
        <v>15.990951090815194</v>
      </c>
      <c r="BT82">
        <v>15.518347063274252</v>
      </c>
      <c r="BU82">
        <v>15.059710595610104</v>
      </c>
      <c r="BV82">
        <v>14.61462888404297</v>
      </c>
      <c r="BW82">
        <v>14.182701324988518</v>
      </c>
      <c r="BX82">
        <v>13.763539154487615</v>
      </c>
      <c r="BY82">
        <v>13.356765098292517</v>
      </c>
      <c r="BZ82">
        <v>12.962013032294575</v>
      </c>
      <c r="CA82">
        <v>12.578927652987824</v>
      </c>
      <c r="CB82">
        <v>12.207164157671851</v>
      </c>
      <c r="CC82">
        <v>11.846387934106087</v>
      </c>
      <c r="CD82">
        <v>11.49627425933619</v>
      </c>
      <c r="CE82">
        <v>11.156508007421488</v>
      </c>
      <c r="CF82">
        <v>10.826783365800351</v>
      </c>
      <c r="CG82">
        <v>10.506803560038234</v>
      </c>
      <c r="CH82">
        <v>10.196280586710669</v>
      </c>
      <c r="CI82">
        <v>9.8949349541807301</v>
      </c>
      <c r="CJ82">
        <v>9.6024954310377026</v>
      </c>
      <c r="CK82">
        <v>9.3186988019704948</v>
      </c>
      <c r="CL82">
        <v>9.0432896308561013</v>
      </c>
      <c r="CM82">
        <v>8.7760200308498391</v>
      </c>
      <c r="CN82">
        <v>8.5166494412704683</v>
      </c>
      <c r="CO82">
        <v>8.2649444110793233</v>
      </c>
      <c r="CP82">
        <v>8.0206783887586344</v>
      </c>
      <c r="CQ82">
        <v>7.7836315183998606</v>
      </c>
      <c r="CR82">
        <v>7.553590441818538</v>
      </c>
      <c r="CS82">
        <v>7.3303481065175022</v>
      </c>
      <c r="CT82">
        <v>7.1137035793256747</v>
      </c>
      <c r="CU82">
        <v>6.903461865544636</v>
      </c>
      <c r="CV82">
        <v>6.6994337334402436</v>
      </c>
    </row>
    <row r="83" spans="4:100">
      <c r="D83">
        <v>47.088226679212561</v>
      </c>
      <c r="AR83">
        <v>33.852843724908254</v>
      </c>
      <c r="AS83">
        <v>32.852340990752857</v>
      </c>
      <c r="AT83">
        <v>31.881407581088684</v>
      </c>
      <c r="AU83">
        <v>30.93916959030706</v>
      </c>
      <c r="AV83">
        <v>30.024778940613313</v>
      </c>
      <c r="AW83">
        <v>29.1374126186995</v>
      </c>
      <c r="AX83">
        <v>28.276271934976869</v>
      </c>
      <c r="AY83">
        <v>27.440581804701331</v>
      </c>
      <c r="AZ83">
        <v>26.629590050344873</v>
      </c>
      <c r="BA83">
        <v>25.842566724584973</v>
      </c>
      <c r="BB83">
        <v>25.078803453302786</v>
      </c>
      <c r="BC83">
        <v>24.337612797998595</v>
      </c>
      <c r="BD83">
        <v>23.618327637050744</v>
      </c>
      <c r="BE83">
        <v>22.920300565261186</v>
      </c>
      <c r="BF83">
        <v>22.242903311147064</v>
      </c>
      <c r="BG83">
        <v>21.585526171453989</v>
      </c>
      <c r="BH83">
        <v>20.947577462381954</v>
      </c>
      <c r="BI83">
        <v>20.328482987029961</v>
      </c>
      <c r="BJ83">
        <v>19.72768551858006</v>
      </c>
      <c r="BK83">
        <v>19.144644298755605</v>
      </c>
      <c r="BL83">
        <v>18.578834551102286</v>
      </c>
      <c r="BM83">
        <v>18.029747008653917</v>
      </c>
      <c r="BN83">
        <v>17.496887455557768</v>
      </c>
      <c r="BO83">
        <v>16.979776282246959</v>
      </c>
      <c r="BP83">
        <v>16.477948053759455</v>
      </c>
      <c r="BQ83">
        <v>15.990951090815196</v>
      </c>
      <c r="BR83">
        <v>15.51834706327425</v>
      </c>
      <c r="BS83">
        <v>15.059710595610106</v>
      </c>
      <c r="BT83">
        <v>14.61462888404297</v>
      </c>
      <c r="BU83">
        <v>14.182701324988518</v>
      </c>
      <c r="BV83">
        <v>13.763539154487617</v>
      </c>
      <c r="BW83">
        <v>13.356765098292518</v>
      </c>
      <c r="BX83">
        <v>12.962013032294575</v>
      </c>
      <c r="BY83">
        <v>12.578927652987824</v>
      </c>
      <c r="BZ83">
        <v>12.207164157671851</v>
      </c>
      <c r="CA83">
        <v>11.846387934106085</v>
      </c>
      <c r="CB83">
        <v>11.496274259336191</v>
      </c>
      <c r="CC83">
        <v>11.15650800742149</v>
      </c>
      <c r="CD83">
        <v>10.826783365800351</v>
      </c>
      <c r="CE83">
        <v>10.506803560038234</v>
      </c>
      <c r="CF83">
        <v>10.196280586710669</v>
      </c>
      <c r="CG83">
        <v>9.8949349541807319</v>
      </c>
      <c r="CH83">
        <v>9.6024954310377026</v>
      </c>
      <c r="CI83">
        <v>9.3186988019704948</v>
      </c>
      <c r="CJ83">
        <v>9.0432896308561013</v>
      </c>
      <c r="CK83">
        <v>8.7760200308498408</v>
      </c>
      <c r="CL83">
        <v>8.5166494412704683</v>
      </c>
      <c r="CM83">
        <v>8.2649444110793233</v>
      </c>
      <c r="CN83">
        <v>8.0206783887586344</v>
      </c>
      <c r="CO83">
        <v>7.7836315183998614</v>
      </c>
      <c r="CP83">
        <v>7.553590441818538</v>
      </c>
      <c r="CQ83">
        <v>7.3303481065175022</v>
      </c>
      <c r="CR83">
        <v>7.1137035793256738</v>
      </c>
      <c r="CS83">
        <v>6.903461865544636</v>
      </c>
      <c r="CT83">
        <v>6.6994337334402445</v>
      </c>
      <c r="CU83">
        <v>6.5014355439212919</v>
      </c>
      <c r="CV83">
        <v>6.3092890852519332</v>
      </c>
    </row>
    <row r="84" spans="4:100">
      <c r="D84">
        <v>48.522276677425538</v>
      </c>
      <c r="AP84">
        <v>33.852843724908254</v>
      </c>
      <c r="AQ84">
        <v>32.85234099075285</v>
      </c>
      <c r="AR84">
        <v>31.881407581088681</v>
      </c>
      <c r="AS84">
        <v>30.939169590307056</v>
      </c>
      <c r="AT84">
        <v>30.024778940613309</v>
      </c>
      <c r="AU84">
        <v>29.137412618699493</v>
      </c>
      <c r="AV84">
        <v>28.276271934976865</v>
      </c>
      <c r="AW84">
        <v>27.440581804701331</v>
      </c>
      <c r="AX84">
        <v>26.629590050344866</v>
      </c>
      <c r="AY84">
        <v>25.84256672458497</v>
      </c>
      <c r="AZ84">
        <v>25.078803453302783</v>
      </c>
      <c r="BA84">
        <v>24.337612797998588</v>
      </c>
      <c r="BB84">
        <v>23.618327637050744</v>
      </c>
      <c r="BC84">
        <v>22.920300565261179</v>
      </c>
      <c r="BD84">
        <v>22.24290331114706</v>
      </c>
      <c r="BE84">
        <v>21.585526171453989</v>
      </c>
      <c r="BF84">
        <v>20.94757746238195</v>
      </c>
      <c r="BG84">
        <v>20.328482987029957</v>
      </c>
      <c r="BH84">
        <v>19.727685518580056</v>
      </c>
      <c r="BI84">
        <v>19.144644298755601</v>
      </c>
      <c r="BJ84">
        <v>18.578834551102283</v>
      </c>
      <c r="BK84">
        <v>18.029747008653914</v>
      </c>
      <c r="BL84">
        <v>17.496887455557765</v>
      </c>
      <c r="BM84">
        <v>16.979776282246956</v>
      </c>
      <c r="BN84">
        <v>16.477948053759452</v>
      </c>
      <c r="BO84">
        <v>15.990951090815194</v>
      </c>
      <c r="BP84">
        <v>15.518347063274248</v>
      </c>
      <c r="BQ84">
        <v>15.059710595610103</v>
      </c>
      <c r="BR84">
        <v>14.614628884042968</v>
      </c>
      <c r="BS84">
        <v>14.182701324988516</v>
      </c>
      <c r="BT84">
        <v>13.763539154487615</v>
      </c>
      <c r="BU84">
        <v>13.356765098292517</v>
      </c>
      <c r="BV84">
        <v>12.962013032294573</v>
      </c>
      <c r="BW84">
        <v>12.578927652987822</v>
      </c>
      <c r="BX84">
        <v>12.207164157671851</v>
      </c>
      <c r="BY84">
        <v>11.846387934106083</v>
      </c>
      <c r="BZ84">
        <v>11.496274259336188</v>
      </c>
      <c r="CA84">
        <v>11.156508007421488</v>
      </c>
      <c r="CB84">
        <v>10.826783365800349</v>
      </c>
      <c r="CC84">
        <v>10.506803560038232</v>
      </c>
      <c r="CD84">
        <v>10.196280586710667</v>
      </c>
      <c r="CE84">
        <v>9.8949349541807301</v>
      </c>
      <c r="CF84">
        <v>9.6024954310377009</v>
      </c>
      <c r="CG84">
        <v>9.3186988019704931</v>
      </c>
      <c r="CH84">
        <v>9.0432896308560995</v>
      </c>
      <c r="CI84">
        <v>8.7760200308498391</v>
      </c>
      <c r="CJ84">
        <v>8.5166494412704665</v>
      </c>
      <c r="CK84">
        <v>8.2649444110793215</v>
      </c>
      <c r="CL84">
        <v>8.0206783887586326</v>
      </c>
      <c r="CM84">
        <v>7.7836315183998606</v>
      </c>
      <c r="CN84">
        <v>7.5535904418185371</v>
      </c>
      <c r="CO84">
        <v>7.3303481065175013</v>
      </c>
      <c r="CP84">
        <v>7.1137035793256729</v>
      </c>
      <c r="CQ84">
        <v>6.9034618655446351</v>
      </c>
      <c r="CR84">
        <v>6.6994337334402436</v>
      </c>
      <c r="CS84">
        <v>6.501435543921291</v>
      </c>
      <c r="CT84">
        <v>6.3092890852519323</v>
      </c>
      <c r="CU84">
        <v>6.1228214126490901</v>
      </c>
      <c r="CV84">
        <v>5.9418646926204772</v>
      </c>
    </row>
    <row r="85" spans="4:100">
      <c r="D85">
        <v>50.000000000000142</v>
      </c>
      <c r="AN85">
        <v>33.852843724908247</v>
      </c>
      <c r="AO85">
        <v>32.85234099075285</v>
      </c>
      <c r="AP85">
        <v>31.881407581088673</v>
      </c>
      <c r="AQ85">
        <v>30.939169590307053</v>
      </c>
      <c r="AR85">
        <v>30.024778940613306</v>
      </c>
      <c r="AS85">
        <v>29.137412618699493</v>
      </c>
      <c r="AT85">
        <v>28.276271934976862</v>
      </c>
      <c r="AU85">
        <v>27.440581804701331</v>
      </c>
      <c r="AV85">
        <v>26.629590050344866</v>
      </c>
      <c r="AW85">
        <v>25.842566724584966</v>
      </c>
      <c r="AX85">
        <v>25.078803453302783</v>
      </c>
      <c r="AY85">
        <v>24.337612797998585</v>
      </c>
      <c r="AZ85">
        <v>23.61832763705074</v>
      </c>
      <c r="BA85">
        <v>22.920300565261183</v>
      </c>
      <c r="BB85">
        <v>22.242903311147057</v>
      </c>
      <c r="BC85">
        <v>21.585526171453989</v>
      </c>
      <c r="BD85">
        <v>20.94757746238195</v>
      </c>
      <c r="BE85">
        <v>20.328482987029954</v>
      </c>
      <c r="BF85">
        <v>19.727685518580056</v>
      </c>
      <c r="BG85">
        <v>19.144644298755601</v>
      </c>
      <c r="BH85">
        <v>18.578834551102283</v>
      </c>
      <c r="BI85">
        <v>18.029747008653914</v>
      </c>
      <c r="BJ85">
        <v>17.496887455557765</v>
      </c>
      <c r="BK85">
        <v>16.979776282246956</v>
      </c>
      <c r="BL85">
        <v>16.477948053759452</v>
      </c>
      <c r="BM85">
        <v>15.990951090815193</v>
      </c>
      <c r="BN85">
        <v>15.518347063274248</v>
      </c>
      <c r="BO85">
        <v>15.059710595610103</v>
      </c>
      <c r="BP85">
        <v>14.614628884042967</v>
      </c>
      <c r="BQ85">
        <v>14.182701324988516</v>
      </c>
      <c r="BR85">
        <v>13.763539154487612</v>
      </c>
      <c r="BS85">
        <v>13.356765098292515</v>
      </c>
      <c r="BT85">
        <v>12.962013032294571</v>
      </c>
      <c r="BU85">
        <v>12.57892765298782</v>
      </c>
      <c r="BV85">
        <v>12.207164157671849</v>
      </c>
      <c r="BW85">
        <v>11.846387934106083</v>
      </c>
      <c r="BX85">
        <v>11.496274259336186</v>
      </c>
      <c r="BY85">
        <v>11.156508007421486</v>
      </c>
      <c r="BZ85">
        <v>10.826783365800349</v>
      </c>
      <c r="CA85">
        <v>10.506803560038232</v>
      </c>
      <c r="CB85">
        <v>10.196280586710666</v>
      </c>
      <c r="CC85">
        <v>9.8949349541807283</v>
      </c>
      <c r="CD85">
        <v>9.6024954310377009</v>
      </c>
      <c r="CE85">
        <v>9.3186988019704931</v>
      </c>
      <c r="CF85">
        <v>9.0432896308560977</v>
      </c>
      <c r="CG85">
        <v>8.7760200308498373</v>
      </c>
      <c r="CH85">
        <v>8.5166494412704665</v>
      </c>
      <c r="CI85">
        <v>8.2649444110793215</v>
      </c>
      <c r="CJ85">
        <v>8.0206783887586326</v>
      </c>
      <c r="CK85">
        <v>7.7836315183998597</v>
      </c>
      <c r="CL85">
        <v>7.5535904418185362</v>
      </c>
      <c r="CM85">
        <v>7.3303481065175005</v>
      </c>
      <c r="CN85">
        <v>7.113703579325672</v>
      </c>
      <c r="CO85">
        <v>6.9034618655446343</v>
      </c>
      <c r="CP85">
        <v>6.6994337334402418</v>
      </c>
      <c r="CQ85">
        <v>6.5014355439212901</v>
      </c>
      <c r="CR85">
        <v>6.3092890852519314</v>
      </c>
      <c r="CS85">
        <v>6.1228214126490901</v>
      </c>
      <c r="CT85">
        <v>5.9418646926204763</v>
      </c>
      <c r="CU85">
        <v>5.7662560519031212</v>
      </c>
      <c r="CV85">
        <v>5.595837430866438</v>
      </c>
    </row>
    <row r="86" spans="4:100">
      <c r="D86">
        <v>51.522726697675985</v>
      </c>
      <c r="AL86">
        <v>33.852843724908247</v>
      </c>
      <c r="AM86">
        <v>32.852340990752857</v>
      </c>
      <c r="AN86">
        <v>31.881407581088681</v>
      </c>
      <c r="AO86">
        <v>30.939169590307053</v>
      </c>
      <c r="AP86">
        <v>30.024778940613309</v>
      </c>
      <c r="AQ86">
        <v>29.137412618699493</v>
      </c>
      <c r="AR86">
        <v>28.276271934976865</v>
      </c>
      <c r="AS86">
        <v>27.440581804701331</v>
      </c>
      <c r="AT86">
        <v>26.62959005034487</v>
      </c>
      <c r="AU86">
        <v>25.84256672458497</v>
      </c>
      <c r="AV86">
        <v>25.078803453302783</v>
      </c>
      <c r="AW86">
        <v>24.337612797998588</v>
      </c>
      <c r="AX86">
        <v>23.61832763705074</v>
      </c>
      <c r="AY86">
        <v>22.920300565261183</v>
      </c>
      <c r="AZ86">
        <v>22.242903311147064</v>
      </c>
      <c r="BA86">
        <v>21.585526171453985</v>
      </c>
      <c r="BB86">
        <v>20.947577462381954</v>
      </c>
      <c r="BC86">
        <v>20.328482987029957</v>
      </c>
      <c r="BD86">
        <v>19.727685518580056</v>
      </c>
      <c r="BE86">
        <v>19.144644298755605</v>
      </c>
      <c r="BF86">
        <v>18.578834551102283</v>
      </c>
      <c r="BG86">
        <v>18.029747008653914</v>
      </c>
      <c r="BH86">
        <v>17.496887455557765</v>
      </c>
      <c r="BI86">
        <v>16.979776282246956</v>
      </c>
      <c r="BJ86">
        <v>16.477948053759452</v>
      </c>
      <c r="BK86">
        <v>15.990951090815193</v>
      </c>
      <c r="BL86">
        <v>15.51834706327425</v>
      </c>
      <c r="BM86">
        <v>15.059710595610104</v>
      </c>
      <c r="BN86">
        <v>14.614628884042968</v>
      </c>
      <c r="BO86">
        <v>14.182701324988516</v>
      </c>
      <c r="BP86">
        <v>13.763539154487615</v>
      </c>
      <c r="BQ86">
        <v>13.356765098292515</v>
      </c>
      <c r="BR86">
        <v>12.962013032294573</v>
      </c>
      <c r="BS86">
        <v>12.578927652987822</v>
      </c>
      <c r="BT86">
        <v>12.207164157671851</v>
      </c>
      <c r="BU86">
        <v>11.846387934106083</v>
      </c>
      <c r="BV86">
        <v>11.496274259336188</v>
      </c>
      <c r="BW86">
        <v>11.156508007421488</v>
      </c>
      <c r="BX86">
        <v>10.826783365800347</v>
      </c>
      <c r="BY86">
        <v>10.506803560038234</v>
      </c>
      <c r="BZ86">
        <v>10.196280586710667</v>
      </c>
      <c r="CA86">
        <v>9.8949349541807301</v>
      </c>
      <c r="CB86">
        <v>9.6024954310377009</v>
      </c>
      <c r="CC86">
        <v>9.3186988019704931</v>
      </c>
      <c r="CD86">
        <v>9.0432896308560995</v>
      </c>
      <c r="CE86">
        <v>8.7760200308498391</v>
      </c>
      <c r="CF86">
        <v>8.5166494412704665</v>
      </c>
      <c r="CG86">
        <v>8.2649444110793215</v>
      </c>
      <c r="CH86">
        <v>8.0206783887586326</v>
      </c>
      <c r="CI86">
        <v>7.7836315183998597</v>
      </c>
      <c r="CJ86">
        <v>7.5535904418185371</v>
      </c>
      <c r="CK86">
        <v>7.3303481065175013</v>
      </c>
      <c r="CL86">
        <v>7.1137035793256729</v>
      </c>
      <c r="CM86">
        <v>6.9034618655446351</v>
      </c>
      <c r="CN86">
        <v>6.6994337334402427</v>
      </c>
      <c r="CO86">
        <v>6.5014355439212901</v>
      </c>
      <c r="CP86">
        <v>6.3092890852519323</v>
      </c>
      <c r="CQ86">
        <v>6.1228214126490901</v>
      </c>
      <c r="CR86">
        <v>5.9418646926204772</v>
      </c>
      <c r="CS86">
        <v>5.7662560519031212</v>
      </c>
      <c r="CT86">
        <v>5.5958374308664389</v>
      </c>
      <c r="CU86">
        <v>5.4304554412478936</v>
      </c>
      <c r="CV86">
        <v>5.2699612280932122</v>
      </c>
    </row>
    <row r="87" spans="4:100">
      <c r="AJ87">
        <v>33.852843724908247</v>
      </c>
      <c r="AK87">
        <v>32.85234099075285</v>
      </c>
      <c r="AL87">
        <v>31.881407581088677</v>
      </c>
      <c r="AM87">
        <v>30.939169590307053</v>
      </c>
      <c r="AN87">
        <v>30.024778940613306</v>
      </c>
      <c r="AO87">
        <v>29.137412618699493</v>
      </c>
      <c r="AP87">
        <v>28.276271934976862</v>
      </c>
      <c r="AQ87">
        <v>27.440581804701328</v>
      </c>
      <c r="AR87">
        <v>26.629590050344863</v>
      </c>
      <c r="AS87">
        <v>25.84256672458497</v>
      </c>
      <c r="AT87">
        <v>25.078803453302783</v>
      </c>
      <c r="AU87">
        <v>24.337612797998585</v>
      </c>
      <c r="AV87">
        <v>23.61832763705074</v>
      </c>
      <c r="AW87">
        <v>22.920300565261179</v>
      </c>
      <c r="AX87">
        <v>22.24290331114706</v>
      </c>
      <c r="AY87">
        <v>21.585526171453989</v>
      </c>
      <c r="AZ87">
        <v>20.947577462381947</v>
      </c>
      <c r="BA87">
        <v>20.328482987029957</v>
      </c>
      <c r="BB87">
        <v>19.727685518580056</v>
      </c>
      <c r="BC87">
        <v>19.144644298755601</v>
      </c>
      <c r="BD87">
        <v>18.578834551102283</v>
      </c>
      <c r="BE87">
        <v>18.029747008653914</v>
      </c>
      <c r="BF87">
        <v>17.496887455557765</v>
      </c>
      <c r="BG87">
        <v>16.979776282246956</v>
      </c>
      <c r="BH87">
        <v>16.477948053759452</v>
      </c>
      <c r="BI87">
        <v>15.990951090815191</v>
      </c>
      <c r="BJ87">
        <v>15.518347063274247</v>
      </c>
      <c r="BK87">
        <v>15.059710595610103</v>
      </c>
      <c r="BL87">
        <v>14.614628884042967</v>
      </c>
      <c r="BM87">
        <v>14.182701324988516</v>
      </c>
      <c r="BN87">
        <v>13.763539154487612</v>
      </c>
      <c r="BO87">
        <v>13.356765098292515</v>
      </c>
      <c r="BP87">
        <v>12.962013032294571</v>
      </c>
      <c r="BQ87">
        <v>12.57892765298782</v>
      </c>
      <c r="BR87">
        <v>12.207164157671849</v>
      </c>
      <c r="BS87">
        <v>11.846387934106083</v>
      </c>
      <c r="BT87">
        <v>11.496274259336186</v>
      </c>
      <c r="BU87">
        <v>11.156508007421486</v>
      </c>
      <c r="BV87">
        <v>10.826783365800347</v>
      </c>
      <c r="BW87">
        <v>10.506803560038231</v>
      </c>
      <c r="BX87">
        <v>10.196280586710667</v>
      </c>
      <c r="BY87">
        <v>9.8949349541807283</v>
      </c>
      <c r="BZ87">
        <v>9.6024954310377009</v>
      </c>
      <c r="CA87">
        <v>9.3186988019704931</v>
      </c>
      <c r="CB87">
        <v>9.0432896308560977</v>
      </c>
      <c r="CC87">
        <v>8.7760200308498373</v>
      </c>
      <c r="CD87">
        <v>8.5166494412704665</v>
      </c>
      <c r="CE87">
        <v>8.2649444110793215</v>
      </c>
      <c r="CF87">
        <v>8.0206783887586326</v>
      </c>
      <c r="CG87">
        <v>7.7836315183998597</v>
      </c>
      <c r="CH87">
        <v>7.5535904418185362</v>
      </c>
      <c r="CI87">
        <v>7.3303481065175005</v>
      </c>
      <c r="CJ87">
        <v>7.1137035793256729</v>
      </c>
      <c r="CK87">
        <v>6.9034618655446343</v>
      </c>
      <c r="CL87">
        <v>6.6994337334402418</v>
      </c>
      <c r="CM87">
        <v>6.5014355439212901</v>
      </c>
      <c r="CN87">
        <v>6.3092890852519314</v>
      </c>
      <c r="CO87">
        <v>6.1228214126490901</v>
      </c>
      <c r="CP87">
        <v>5.9418646926204763</v>
      </c>
      <c r="CQ87">
        <v>5.7662560519031203</v>
      </c>
      <c r="CR87">
        <v>5.595837430866438</v>
      </c>
      <c r="CS87">
        <v>5.4304554412478936</v>
      </c>
      <c r="CT87">
        <v>5.2699612280932113</v>
      </c>
      <c r="CU87">
        <v>5.1142103357768676</v>
      </c>
      <c r="CV87">
        <v>4.963062577982277</v>
      </c>
    </row>
    <row r="88" spans="4:100">
      <c r="AI88">
        <v>32.852340990752843</v>
      </c>
      <c r="AJ88">
        <v>31.881407581088666</v>
      </c>
      <c r="AK88">
        <v>30.939169590307046</v>
      </c>
      <c r="AL88">
        <v>30.024778940613299</v>
      </c>
      <c r="AM88">
        <v>29.137412618699482</v>
      </c>
      <c r="AN88">
        <v>28.276271934976855</v>
      </c>
      <c r="AO88">
        <v>27.440581804701321</v>
      </c>
      <c r="AP88">
        <v>26.629590050344859</v>
      </c>
      <c r="AQ88">
        <v>25.842566724584959</v>
      </c>
      <c r="AR88">
        <v>25.078803453302775</v>
      </c>
      <c r="AS88">
        <v>24.337612797998581</v>
      </c>
      <c r="AT88">
        <v>23.618327637050729</v>
      </c>
      <c r="AU88">
        <v>22.920300565261176</v>
      </c>
      <c r="AV88">
        <v>22.242903311147053</v>
      </c>
      <c r="AW88">
        <v>21.585526171453981</v>
      </c>
      <c r="AX88">
        <v>20.947577462381947</v>
      </c>
      <c r="AY88">
        <v>20.32848298702995</v>
      </c>
      <c r="AZ88">
        <v>19.727685518580053</v>
      </c>
      <c r="BA88">
        <v>19.144644298755598</v>
      </c>
      <c r="BB88">
        <v>18.578834551102279</v>
      </c>
      <c r="BC88">
        <v>18.02974700865391</v>
      </c>
      <c r="BD88">
        <v>17.496887455557761</v>
      </c>
      <c r="BE88">
        <v>16.979776282246949</v>
      </c>
      <c r="BF88">
        <v>16.477948053759444</v>
      </c>
      <c r="BG88">
        <v>15.990951090815187</v>
      </c>
      <c r="BH88">
        <v>15.518347063274241</v>
      </c>
      <c r="BI88">
        <v>15.059710595610097</v>
      </c>
      <c r="BJ88">
        <v>14.614628884042963</v>
      </c>
      <c r="BK88">
        <v>14.182701324988512</v>
      </c>
      <c r="BL88">
        <v>13.76353915448761</v>
      </c>
      <c r="BM88">
        <v>13.356765098292511</v>
      </c>
      <c r="BN88">
        <v>12.962013032294568</v>
      </c>
      <c r="BO88">
        <v>12.578927652987817</v>
      </c>
      <c r="BP88">
        <v>12.207164157671846</v>
      </c>
      <c r="BQ88">
        <v>11.84638793410608</v>
      </c>
      <c r="BR88">
        <v>11.496274259336184</v>
      </c>
      <c r="BS88">
        <v>11.156508007421483</v>
      </c>
      <c r="BT88">
        <v>10.826783365800345</v>
      </c>
      <c r="BU88">
        <v>10.506803560038229</v>
      </c>
      <c r="BV88">
        <v>10.196280586710662</v>
      </c>
      <c r="BW88">
        <v>9.8949349541807265</v>
      </c>
      <c r="BX88">
        <v>9.6024954310376973</v>
      </c>
      <c r="BY88">
        <v>9.3186988019704895</v>
      </c>
      <c r="BZ88">
        <v>9.0432896308560959</v>
      </c>
      <c r="CA88">
        <v>8.7760200308498355</v>
      </c>
      <c r="CB88">
        <v>8.5166494412704647</v>
      </c>
      <c r="CC88">
        <v>8.264944411079318</v>
      </c>
      <c r="CD88">
        <v>8.0206783887586308</v>
      </c>
      <c r="CE88">
        <v>7.7836315183998579</v>
      </c>
      <c r="CF88">
        <v>7.5535904418185345</v>
      </c>
      <c r="CG88">
        <v>7.3303481065174987</v>
      </c>
      <c r="CH88">
        <v>7.1137035793256711</v>
      </c>
      <c r="CI88">
        <v>6.9034618655446325</v>
      </c>
      <c r="CJ88">
        <v>6.6994337334402401</v>
      </c>
      <c r="CK88">
        <v>6.5014355439212883</v>
      </c>
      <c r="CL88">
        <v>6.3092890852519297</v>
      </c>
      <c r="CM88">
        <v>6.1228214126490883</v>
      </c>
      <c r="CN88">
        <v>5.9418646926204746</v>
      </c>
      <c r="CO88">
        <v>5.7662560519031194</v>
      </c>
      <c r="CP88">
        <v>5.5958374308664363</v>
      </c>
      <c r="CQ88">
        <v>5.4304554412478918</v>
      </c>
      <c r="CR88">
        <v>5.2699612280932104</v>
      </c>
      <c r="CS88">
        <v>5.1142103357768658</v>
      </c>
      <c r="CT88">
        <v>4.9630625779822761</v>
      </c>
      <c r="CU88">
        <v>4.816381911524644</v>
      </c>
      <c r="CV88">
        <v>4.6740363139029171</v>
      </c>
    </row>
    <row r="89" spans="4:100">
      <c r="AG89">
        <v>32.85234099075285</v>
      </c>
      <c r="AH89">
        <v>31.881407581088677</v>
      </c>
      <c r="AI89">
        <v>30.939169590307049</v>
      </c>
      <c r="AJ89">
        <v>30.024778940613306</v>
      </c>
      <c r="AK89">
        <v>29.137412618699493</v>
      </c>
      <c r="AL89">
        <v>28.276271934976862</v>
      </c>
      <c r="AM89">
        <v>27.440581804701328</v>
      </c>
      <c r="AN89">
        <v>26.629590050344863</v>
      </c>
      <c r="AO89">
        <v>25.842566724584966</v>
      </c>
      <c r="AP89">
        <v>25.078803453302779</v>
      </c>
      <c r="AQ89">
        <v>24.337612797998588</v>
      </c>
      <c r="AR89">
        <v>23.618327637050736</v>
      </c>
      <c r="AS89">
        <v>22.920300565261176</v>
      </c>
      <c r="AT89">
        <v>22.24290331114706</v>
      </c>
      <c r="AU89">
        <v>21.585526171453985</v>
      </c>
      <c r="AV89">
        <v>20.94757746238195</v>
      </c>
      <c r="AW89">
        <v>20.328482987029957</v>
      </c>
      <c r="AX89">
        <v>19.727685518580053</v>
      </c>
      <c r="AY89">
        <v>19.144644298755601</v>
      </c>
      <c r="AZ89">
        <v>18.578834551102283</v>
      </c>
      <c r="BA89">
        <v>18.029747008653914</v>
      </c>
      <c r="BB89">
        <v>17.496887455557765</v>
      </c>
      <c r="BC89">
        <v>16.979776282246956</v>
      </c>
      <c r="BD89">
        <v>16.477948053759448</v>
      </c>
      <c r="BE89">
        <v>15.990951090815191</v>
      </c>
      <c r="BF89">
        <v>15.518347063274247</v>
      </c>
      <c r="BG89">
        <v>15.059710595610101</v>
      </c>
      <c r="BH89">
        <v>14.614628884042965</v>
      </c>
      <c r="BI89">
        <v>14.182701324988516</v>
      </c>
      <c r="BJ89">
        <v>13.763539154487614</v>
      </c>
      <c r="BK89">
        <v>13.356765098292515</v>
      </c>
      <c r="BL89">
        <v>12.962013032294571</v>
      </c>
      <c r="BM89">
        <v>12.578927652987822</v>
      </c>
      <c r="BN89">
        <v>12.207164157671849</v>
      </c>
      <c r="BO89">
        <v>11.846387934106083</v>
      </c>
      <c r="BP89">
        <v>11.496274259336186</v>
      </c>
      <c r="BQ89">
        <v>11.156508007421486</v>
      </c>
      <c r="BR89">
        <v>10.826783365800347</v>
      </c>
      <c r="BS89">
        <v>10.506803560038232</v>
      </c>
      <c r="BT89">
        <v>10.196280586710666</v>
      </c>
      <c r="BU89">
        <v>9.8949349541807265</v>
      </c>
      <c r="BV89">
        <v>9.6024954310377009</v>
      </c>
      <c r="BW89">
        <v>9.3186988019704931</v>
      </c>
      <c r="BX89">
        <v>9.0432896308560977</v>
      </c>
      <c r="BY89">
        <v>8.7760200308498373</v>
      </c>
      <c r="BZ89">
        <v>8.5166494412704647</v>
      </c>
      <c r="CA89">
        <v>8.2649444110793215</v>
      </c>
      <c r="CB89">
        <v>8.0206783887586326</v>
      </c>
      <c r="CC89">
        <v>7.7836315183998597</v>
      </c>
      <c r="CD89">
        <v>7.5535904418185362</v>
      </c>
      <c r="CE89">
        <v>7.3303481065175013</v>
      </c>
      <c r="CF89">
        <v>7.113703579325672</v>
      </c>
      <c r="CG89">
        <v>6.9034618655446343</v>
      </c>
      <c r="CH89">
        <v>6.6994337334402427</v>
      </c>
      <c r="CI89">
        <v>6.5014355439212901</v>
      </c>
      <c r="CJ89">
        <v>6.3092890852519314</v>
      </c>
      <c r="CK89">
        <v>6.1228214126490892</v>
      </c>
      <c r="CL89">
        <v>5.9418646926204763</v>
      </c>
      <c r="CM89">
        <v>5.7662560519031203</v>
      </c>
      <c r="CN89">
        <v>5.595837430866438</v>
      </c>
      <c r="CO89">
        <v>5.4304554412478936</v>
      </c>
      <c r="CP89">
        <v>5.2699612280932104</v>
      </c>
      <c r="CQ89">
        <v>5.1142103357768676</v>
      </c>
      <c r="CR89">
        <v>4.963062577982277</v>
      </c>
      <c r="CS89">
        <v>4.8163819115246458</v>
      </c>
      <c r="CT89">
        <v>4.674036313902918</v>
      </c>
      <c r="CU89">
        <v>4.5358976644706201</v>
      </c>
      <c r="CV89">
        <v>4.4018416291186231</v>
      </c>
    </row>
    <row r="90" spans="4:100">
      <c r="AE90">
        <v>32.852340990752836</v>
      </c>
      <c r="AF90">
        <v>31.881407581088663</v>
      </c>
      <c r="AG90">
        <v>30.939169590307042</v>
      </c>
      <c r="AH90">
        <v>30.024778940613295</v>
      </c>
      <c r="AI90">
        <v>29.137412618699482</v>
      </c>
      <c r="AJ90">
        <v>28.276271934976855</v>
      </c>
      <c r="AK90">
        <v>27.440581804701317</v>
      </c>
      <c r="AL90">
        <v>26.629590050344856</v>
      </c>
      <c r="AM90">
        <v>25.842566724584959</v>
      </c>
      <c r="AN90">
        <v>25.078803453302772</v>
      </c>
      <c r="AO90">
        <v>24.337612797998577</v>
      </c>
      <c r="AP90">
        <v>23.618327637050733</v>
      </c>
      <c r="AQ90">
        <v>22.920300565261172</v>
      </c>
      <c r="AR90">
        <v>22.24290331114705</v>
      </c>
      <c r="AS90">
        <v>21.585526171453978</v>
      </c>
      <c r="AT90">
        <v>20.947577462381943</v>
      </c>
      <c r="AU90">
        <v>20.32848298702995</v>
      </c>
      <c r="AV90">
        <v>19.727685518580049</v>
      </c>
      <c r="AW90">
        <v>19.144644298755594</v>
      </c>
      <c r="AX90">
        <v>18.578834551102279</v>
      </c>
      <c r="AY90">
        <v>18.029747008653906</v>
      </c>
      <c r="AZ90">
        <v>17.496887455557758</v>
      </c>
      <c r="BA90">
        <v>16.979776282246949</v>
      </c>
      <c r="BB90">
        <v>16.477948053759444</v>
      </c>
      <c r="BC90">
        <v>15.990951090815186</v>
      </c>
      <c r="BD90">
        <v>15.518347063274241</v>
      </c>
      <c r="BE90">
        <v>15.059710595610095</v>
      </c>
      <c r="BF90">
        <v>14.614628884042959</v>
      </c>
      <c r="BG90">
        <v>14.182701324988509</v>
      </c>
      <c r="BH90">
        <v>13.763539154487608</v>
      </c>
      <c r="BI90">
        <v>13.356765098292509</v>
      </c>
      <c r="BJ90">
        <v>12.962013032294566</v>
      </c>
      <c r="BK90">
        <v>12.578927652987817</v>
      </c>
      <c r="BL90">
        <v>12.207164157671846</v>
      </c>
      <c r="BM90">
        <v>11.846387934106078</v>
      </c>
      <c r="BN90">
        <v>11.496274259336182</v>
      </c>
      <c r="BO90">
        <v>11.156508007421483</v>
      </c>
      <c r="BP90">
        <v>10.826783365800344</v>
      </c>
      <c r="BQ90">
        <v>10.506803560038227</v>
      </c>
      <c r="BR90">
        <v>10.196280586710664</v>
      </c>
      <c r="BS90">
        <v>9.8949349541807248</v>
      </c>
      <c r="BT90">
        <v>9.6024954310376955</v>
      </c>
      <c r="BU90">
        <v>9.3186988019704895</v>
      </c>
      <c r="BV90">
        <v>9.0432896308560959</v>
      </c>
      <c r="BW90">
        <v>8.7760200308498355</v>
      </c>
      <c r="BX90">
        <v>8.516649441270463</v>
      </c>
      <c r="BY90">
        <v>8.264944411079318</v>
      </c>
      <c r="BZ90">
        <v>8.020678388758629</v>
      </c>
      <c r="CA90">
        <v>7.783631518399857</v>
      </c>
      <c r="CB90">
        <v>7.5535904418185336</v>
      </c>
      <c r="CC90">
        <v>7.3303481065174987</v>
      </c>
      <c r="CD90">
        <v>7.1137035793256702</v>
      </c>
      <c r="CE90">
        <v>6.9034618655446325</v>
      </c>
      <c r="CF90">
        <v>6.6994337334402401</v>
      </c>
      <c r="CG90">
        <v>6.5014355439212874</v>
      </c>
      <c r="CH90">
        <v>6.3092890852519297</v>
      </c>
      <c r="CI90">
        <v>6.1228214126490874</v>
      </c>
      <c r="CJ90">
        <v>5.9418646926204737</v>
      </c>
      <c r="CK90">
        <v>5.7662560519031185</v>
      </c>
      <c r="CL90">
        <v>5.5958374308664363</v>
      </c>
      <c r="CM90">
        <v>5.4304554412478918</v>
      </c>
      <c r="CN90">
        <v>5.2699612280932095</v>
      </c>
      <c r="CO90">
        <v>5.1142103357768658</v>
      </c>
      <c r="CP90">
        <v>4.9630625779822761</v>
      </c>
      <c r="CQ90">
        <v>4.816381911524644</v>
      </c>
      <c r="CR90">
        <v>4.6740363139029171</v>
      </c>
      <c r="CS90">
        <v>4.5358976644706184</v>
      </c>
      <c r="CT90">
        <v>4.4018416291186213</v>
      </c>
      <c r="CU90">
        <v>4.2717475483660552</v>
      </c>
      <c r="CV90">
        <v>4.1454983287586273</v>
      </c>
    </row>
    <row r="91" spans="4:100">
      <c r="AC91">
        <v>32.852340990752843</v>
      </c>
      <c r="AD91">
        <v>31.881407581088663</v>
      </c>
      <c r="AE91">
        <v>30.939169590307039</v>
      </c>
      <c r="AF91">
        <v>30.024778940613299</v>
      </c>
      <c r="AG91">
        <v>29.137412618699479</v>
      </c>
      <c r="AH91">
        <v>28.276271934976855</v>
      </c>
      <c r="AI91">
        <v>27.440581804701321</v>
      </c>
      <c r="AJ91">
        <v>26.629590050344856</v>
      </c>
      <c r="AK91">
        <v>25.842566724584959</v>
      </c>
      <c r="AL91">
        <v>25.078803453302772</v>
      </c>
      <c r="AM91">
        <v>24.337612797998577</v>
      </c>
      <c r="AN91">
        <v>23.618327637050729</v>
      </c>
      <c r="AO91">
        <v>22.920300565261172</v>
      </c>
      <c r="AP91">
        <v>22.24290331114705</v>
      </c>
      <c r="AQ91">
        <v>21.585526171453978</v>
      </c>
      <c r="AR91">
        <v>20.947577462381943</v>
      </c>
      <c r="AS91">
        <v>20.328482987029947</v>
      </c>
      <c r="AT91">
        <v>19.727685518580049</v>
      </c>
      <c r="AU91">
        <v>19.144644298755594</v>
      </c>
      <c r="AV91">
        <v>18.578834551102275</v>
      </c>
      <c r="AW91">
        <v>18.02974700865391</v>
      </c>
      <c r="AX91">
        <v>17.496887455557761</v>
      </c>
      <c r="AY91">
        <v>16.979776282246949</v>
      </c>
      <c r="AZ91">
        <v>16.477948053759444</v>
      </c>
      <c r="BA91">
        <v>15.990951090815186</v>
      </c>
      <c r="BB91">
        <v>15.518347063274241</v>
      </c>
      <c r="BC91">
        <v>15.059710595610095</v>
      </c>
      <c r="BD91">
        <v>14.614628884042961</v>
      </c>
      <c r="BE91">
        <v>14.182701324988509</v>
      </c>
      <c r="BF91">
        <v>13.763539154487608</v>
      </c>
      <c r="BG91">
        <v>13.356765098292509</v>
      </c>
      <c r="BH91">
        <v>12.962013032294568</v>
      </c>
      <c r="BI91">
        <v>12.578927652987817</v>
      </c>
      <c r="BJ91">
        <v>12.207164157671844</v>
      </c>
      <c r="BK91">
        <v>11.84638793410608</v>
      </c>
      <c r="BL91">
        <v>11.496274259336182</v>
      </c>
      <c r="BM91">
        <v>11.156508007421483</v>
      </c>
      <c r="BN91">
        <v>10.826783365800344</v>
      </c>
      <c r="BO91">
        <v>10.506803560038229</v>
      </c>
      <c r="BP91">
        <v>10.196280586710664</v>
      </c>
      <c r="BQ91">
        <v>9.8949349541807248</v>
      </c>
      <c r="BR91">
        <v>9.6024954310376973</v>
      </c>
      <c r="BS91">
        <v>9.3186988019704895</v>
      </c>
      <c r="BT91">
        <v>9.0432896308560959</v>
      </c>
      <c r="BU91">
        <v>8.7760200308498355</v>
      </c>
      <c r="BV91">
        <v>8.516649441270463</v>
      </c>
      <c r="BW91">
        <v>8.264944411079318</v>
      </c>
      <c r="BX91">
        <v>8.020678388758629</v>
      </c>
      <c r="BY91">
        <v>7.783631518399857</v>
      </c>
      <c r="BZ91">
        <v>7.5535904418185336</v>
      </c>
      <c r="CA91">
        <v>7.3303481065174987</v>
      </c>
      <c r="CB91">
        <v>7.1137035793256702</v>
      </c>
      <c r="CC91">
        <v>6.9034618655446325</v>
      </c>
      <c r="CD91">
        <v>6.6994337334402401</v>
      </c>
      <c r="CE91">
        <v>6.5014355439212874</v>
      </c>
      <c r="CF91">
        <v>6.3092890852519297</v>
      </c>
      <c r="CG91">
        <v>6.1228214126490874</v>
      </c>
      <c r="CH91">
        <v>5.9418646926204737</v>
      </c>
      <c r="CI91">
        <v>5.7662560519031185</v>
      </c>
      <c r="CJ91">
        <v>5.5958374308664363</v>
      </c>
      <c r="CK91">
        <v>5.4304554412478918</v>
      </c>
      <c r="CL91">
        <v>5.2699612280932095</v>
      </c>
      <c r="CM91">
        <v>5.1142103357768658</v>
      </c>
      <c r="CN91">
        <v>4.9630625779822752</v>
      </c>
      <c r="CO91">
        <v>4.816381911524644</v>
      </c>
      <c r="CP91">
        <v>4.6740363139029162</v>
      </c>
      <c r="CQ91">
        <v>4.5358976644706184</v>
      </c>
      <c r="CR91">
        <v>4.4018416291186213</v>
      </c>
      <c r="CS91">
        <v>4.2717475483660543</v>
      </c>
      <c r="CT91">
        <v>4.1454983287586282</v>
      </c>
      <c r="CU91">
        <v>4.0229803374766151</v>
      </c>
      <c r="CV91">
        <v>3.9040833000576516</v>
      </c>
    </row>
    <row r="92" spans="4:100">
      <c r="AA92">
        <v>32.852340990752843</v>
      </c>
      <c r="AB92">
        <v>31.881407581088666</v>
      </c>
      <c r="AC92">
        <v>30.939169590307042</v>
      </c>
      <c r="AD92">
        <v>30.024778940613295</v>
      </c>
      <c r="AE92">
        <v>29.137412618699482</v>
      </c>
      <c r="AF92">
        <v>28.276271934976851</v>
      </c>
      <c r="AG92">
        <v>27.440581804701321</v>
      </c>
      <c r="AH92">
        <v>26.629590050344859</v>
      </c>
      <c r="AI92">
        <v>25.842566724584959</v>
      </c>
      <c r="AJ92">
        <v>25.078803453302775</v>
      </c>
      <c r="AK92">
        <v>24.337612797998577</v>
      </c>
      <c r="AL92">
        <v>23.618327637050733</v>
      </c>
      <c r="AM92">
        <v>22.920300565261172</v>
      </c>
      <c r="AN92">
        <v>22.242903311147053</v>
      </c>
      <c r="AO92">
        <v>21.585526171453981</v>
      </c>
      <c r="AP92">
        <v>20.947577462381943</v>
      </c>
      <c r="AQ92">
        <v>20.32848298702995</v>
      </c>
      <c r="AR92">
        <v>19.727685518580049</v>
      </c>
      <c r="AS92">
        <v>19.144644298755594</v>
      </c>
      <c r="AT92">
        <v>18.578834551102279</v>
      </c>
      <c r="AU92">
        <v>18.029747008653906</v>
      </c>
      <c r="AV92">
        <v>17.496887455557761</v>
      </c>
      <c r="AW92">
        <v>16.979776282246952</v>
      </c>
      <c r="AX92">
        <v>16.477948053759444</v>
      </c>
      <c r="AY92">
        <v>15.990951090815187</v>
      </c>
      <c r="AZ92">
        <v>15.518347063274241</v>
      </c>
      <c r="BA92">
        <v>15.059710595610097</v>
      </c>
      <c r="BB92">
        <v>14.614628884042961</v>
      </c>
      <c r="BC92">
        <v>14.182701324988511</v>
      </c>
      <c r="BD92">
        <v>13.763539154487608</v>
      </c>
      <c r="BE92">
        <v>13.356765098292509</v>
      </c>
      <c r="BF92">
        <v>12.962013032294568</v>
      </c>
      <c r="BG92">
        <v>12.578927652987817</v>
      </c>
      <c r="BH92">
        <v>12.207164157671846</v>
      </c>
      <c r="BI92">
        <v>11.84638793410608</v>
      </c>
      <c r="BJ92">
        <v>11.496274259336184</v>
      </c>
      <c r="BK92">
        <v>11.156508007421483</v>
      </c>
      <c r="BL92">
        <v>10.826783365800345</v>
      </c>
      <c r="BM92">
        <v>10.506803560038229</v>
      </c>
      <c r="BN92">
        <v>10.196280586710664</v>
      </c>
      <c r="BO92">
        <v>9.8949349541807248</v>
      </c>
      <c r="BP92">
        <v>9.6024954310376973</v>
      </c>
      <c r="BQ92">
        <v>9.3186988019704895</v>
      </c>
      <c r="BR92">
        <v>9.0432896308560942</v>
      </c>
      <c r="BS92">
        <v>8.7760200308498355</v>
      </c>
      <c r="BT92">
        <v>8.5166494412704647</v>
      </c>
      <c r="BU92">
        <v>8.264944411079318</v>
      </c>
      <c r="BV92">
        <v>8.0206783887586308</v>
      </c>
      <c r="BW92">
        <v>7.783631518399857</v>
      </c>
      <c r="BX92">
        <v>7.5535904418185345</v>
      </c>
      <c r="BY92">
        <v>7.3303481065174987</v>
      </c>
      <c r="BZ92">
        <v>7.1137035793256702</v>
      </c>
      <c r="CA92">
        <v>6.9034618655446325</v>
      </c>
      <c r="CB92">
        <v>6.699433733440241</v>
      </c>
      <c r="CC92">
        <v>6.5014355439212883</v>
      </c>
      <c r="CD92">
        <v>6.3092890852519297</v>
      </c>
      <c r="CE92">
        <v>6.1228214126490883</v>
      </c>
      <c r="CF92">
        <v>5.9418646926204746</v>
      </c>
      <c r="CG92">
        <v>5.7662560519031185</v>
      </c>
      <c r="CH92">
        <v>5.5958374308664363</v>
      </c>
      <c r="CI92">
        <v>5.4304554412478918</v>
      </c>
      <c r="CJ92">
        <v>5.2699612280932095</v>
      </c>
      <c r="CK92">
        <v>5.1142103357768667</v>
      </c>
      <c r="CL92">
        <v>4.9630625779822761</v>
      </c>
      <c r="CM92">
        <v>4.816381911524644</v>
      </c>
      <c r="CN92">
        <v>4.6740363139029171</v>
      </c>
      <c r="CO92">
        <v>4.5358976644706184</v>
      </c>
      <c r="CP92">
        <v>4.4018416291186213</v>
      </c>
      <c r="CQ92">
        <v>4.2717475483660552</v>
      </c>
      <c r="CR92">
        <v>4.1454983287586273</v>
      </c>
      <c r="CS92">
        <v>4.022980337476616</v>
      </c>
      <c r="CT92">
        <v>3.9040833000576516</v>
      </c>
      <c r="CU92">
        <v>3.7887002011422686</v>
      </c>
      <c r="CV92">
        <v>3.6767271881528485</v>
      </c>
    </row>
    <row r="93" spans="4:100">
      <c r="Y93">
        <v>32.852340990752836</v>
      </c>
      <c r="Z93">
        <v>31.881407581088659</v>
      </c>
      <c r="AA93">
        <v>30.939169590307039</v>
      </c>
      <c r="AB93">
        <v>30.024778940613288</v>
      </c>
      <c r="AC93">
        <v>29.137412618699475</v>
      </c>
      <c r="AD93">
        <v>28.276271934976847</v>
      </c>
      <c r="AE93">
        <v>27.440581804701313</v>
      </c>
      <c r="AF93">
        <v>26.629590050344852</v>
      </c>
      <c r="AG93">
        <v>25.842566724584955</v>
      </c>
      <c r="AH93">
        <v>25.078803453302768</v>
      </c>
      <c r="AI93">
        <v>24.337612797998574</v>
      </c>
      <c r="AJ93">
        <v>23.618327637050726</v>
      </c>
      <c r="AK93">
        <v>22.920300565261169</v>
      </c>
      <c r="AL93">
        <v>22.242903311147046</v>
      </c>
      <c r="AM93">
        <v>21.585526171453978</v>
      </c>
      <c r="AN93">
        <v>20.94757746238194</v>
      </c>
      <c r="AO93">
        <v>20.328482987029943</v>
      </c>
      <c r="AP93">
        <v>19.727685518580046</v>
      </c>
      <c r="AQ93">
        <v>19.14464429875559</v>
      </c>
      <c r="AR93">
        <v>18.578834551102275</v>
      </c>
      <c r="AS93">
        <v>18.029747008653906</v>
      </c>
      <c r="AT93">
        <v>17.496887455557754</v>
      </c>
      <c r="AU93">
        <v>16.979776282246949</v>
      </c>
      <c r="AV93">
        <v>16.477948053759444</v>
      </c>
      <c r="AW93">
        <v>15.990951090815184</v>
      </c>
      <c r="AX93">
        <v>15.51834706327424</v>
      </c>
      <c r="AY93">
        <v>15.059710595610094</v>
      </c>
      <c r="AZ93">
        <v>14.614628884042958</v>
      </c>
      <c r="BA93">
        <v>14.182701324988507</v>
      </c>
      <c r="BB93">
        <v>13.763539154487605</v>
      </c>
      <c r="BC93">
        <v>13.356765098292506</v>
      </c>
      <c r="BD93">
        <v>12.962013032294564</v>
      </c>
      <c r="BE93">
        <v>12.578927652987815</v>
      </c>
      <c r="BF93">
        <v>12.207164157671844</v>
      </c>
      <c r="BG93">
        <v>11.846387934106078</v>
      </c>
      <c r="BH93">
        <v>11.496274259336181</v>
      </c>
      <c r="BI93">
        <v>11.156508007421481</v>
      </c>
      <c r="BJ93">
        <v>10.826783365800342</v>
      </c>
      <c r="BK93">
        <v>10.506803560038227</v>
      </c>
      <c r="BL93">
        <v>10.196280586710662</v>
      </c>
      <c r="BM93">
        <v>9.894934954180723</v>
      </c>
      <c r="BN93">
        <v>9.6024954310376955</v>
      </c>
      <c r="BO93">
        <v>9.3186988019704877</v>
      </c>
      <c r="BP93">
        <v>9.0432896308560942</v>
      </c>
      <c r="BQ93">
        <v>8.776020030849832</v>
      </c>
      <c r="BR93">
        <v>8.516649441270463</v>
      </c>
      <c r="BS93">
        <v>8.264944411079318</v>
      </c>
      <c r="BT93">
        <v>8.020678388758629</v>
      </c>
      <c r="BU93">
        <v>7.7836315183998561</v>
      </c>
      <c r="BV93">
        <v>7.5535904418185327</v>
      </c>
      <c r="BW93">
        <v>7.3303481065174978</v>
      </c>
      <c r="BX93">
        <v>7.1137035793256693</v>
      </c>
      <c r="BY93">
        <v>6.9034618655446316</v>
      </c>
      <c r="BZ93">
        <v>6.6994337334402392</v>
      </c>
      <c r="CA93">
        <v>6.5014355439212865</v>
      </c>
      <c r="CB93">
        <v>6.3092890852519279</v>
      </c>
      <c r="CC93">
        <v>6.1228214126490865</v>
      </c>
      <c r="CD93">
        <v>5.9418646926204737</v>
      </c>
      <c r="CE93">
        <v>5.7662560519031176</v>
      </c>
      <c r="CF93">
        <v>5.5958374308664345</v>
      </c>
      <c r="CG93">
        <v>5.4304554412478909</v>
      </c>
      <c r="CH93">
        <v>5.2699612280932087</v>
      </c>
      <c r="CI93">
        <v>5.1142103357768649</v>
      </c>
      <c r="CJ93">
        <v>4.9630625779822752</v>
      </c>
      <c r="CK93">
        <v>4.8163819115246431</v>
      </c>
      <c r="CL93">
        <v>4.6740363139029153</v>
      </c>
      <c r="CM93">
        <v>4.5358976644706175</v>
      </c>
      <c r="CN93">
        <v>4.4018416291186204</v>
      </c>
      <c r="CO93">
        <v>4.2717475483660543</v>
      </c>
      <c r="CP93">
        <v>4.1454983287586273</v>
      </c>
      <c r="CQ93">
        <v>4.0229803374766142</v>
      </c>
      <c r="CR93">
        <v>3.9040833000576511</v>
      </c>
      <c r="CS93">
        <v>3.7887002011422672</v>
      </c>
      <c r="CT93">
        <v>3.676727188152848</v>
      </c>
      <c r="CU93">
        <v>3.5680634778192961</v>
      </c>
      <c r="CV93">
        <v>3.4626112654672929</v>
      </c>
    </row>
    <row r="94" spans="4:100">
      <c r="X94">
        <v>31.881407581088659</v>
      </c>
      <c r="Y94">
        <v>30.939169590307035</v>
      </c>
      <c r="Z94">
        <v>30.024778940613292</v>
      </c>
      <c r="AA94">
        <v>29.137412618699475</v>
      </c>
      <c r="AB94">
        <v>28.276271934976844</v>
      </c>
      <c r="AC94">
        <v>27.440581804701313</v>
      </c>
      <c r="AD94">
        <v>26.629590050344849</v>
      </c>
      <c r="AE94">
        <v>25.842566724584952</v>
      </c>
      <c r="AF94">
        <v>25.078803453302768</v>
      </c>
      <c r="AG94">
        <v>24.33761279799857</v>
      </c>
      <c r="AH94">
        <v>23.618327637050726</v>
      </c>
      <c r="AI94">
        <v>22.920300565261165</v>
      </c>
      <c r="AJ94">
        <v>22.242903311147046</v>
      </c>
      <c r="AK94">
        <v>21.585526171453974</v>
      </c>
      <c r="AL94">
        <v>20.94757746238194</v>
      </c>
      <c r="AM94">
        <v>20.328482987029943</v>
      </c>
      <c r="AN94">
        <v>19.727685518580042</v>
      </c>
      <c r="AO94">
        <v>19.14464429875559</v>
      </c>
      <c r="AP94">
        <v>18.578834551102272</v>
      </c>
      <c r="AQ94">
        <v>18.029747008653903</v>
      </c>
      <c r="AR94">
        <v>17.496887455557758</v>
      </c>
      <c r="AS94">
        <v>16.979776282246945</v>
      </c>
      <c r="AT94">
        <v>16.477948053759441</v>
      </c>
      <c r="AU94">
        <v>15.990951090815184</v>
      </c>
      <c r="AV94">
        <v>15.518347063274238</v>
      </c>
      <c r="AW94">
        <v>15.059710595610094</v>
      </c>
      <c r="AX94">
        <v>14.614628884042958</v>
      </c>
      <c r="AY94">
        <v>14.182701324988507</v>
      </c>
      <c r="AZ94">
        <v>13.763539154487605</v>
      </c>
      <c r="BA94">
        <v>13.356765098292506</v>
      </c>
      <c r="BB94">
        <v>12.962013032294562</v>
      </c>
      <c r="BC94">
        <v>12.578927652987813</v>
      </c>
      <c r="BD94">
        <v>12.207164157671842</v>
      </c>
      <c r="BE94">
        <v>11.846387934106076</v>
      </c>
      <c r="BF94">
        <v>11.496274259336181</v>
      </c>
      <c r="BG94">
        <v>11.156508007421479</v>
      </c>
      <c r="BH94">
        <v>10.826783365800342</v>
      </c>
      <c r="BI94">
        <v>10.506803560038225</v>
      </c>
      <c r="BJ94">
        <v>10.19628058671066</v>
      </c>
      <c r="BK94">
        <v>9.894934954180723</v>
      </c>
      <c r="BL94">
        <v>9.6024954310376955</v>
      </c>
      <c r="BM94">
        <v>9.3186988019704877</v>
      </c>
      <c r="BN94">
        <v>9.0432896308560942</v>
      </c>
      <c r="BO94">
        <v>8.776020030849832</v>
      </c>
      <c r="BP94">
        <v>8.5166494412704612</v>
      </c>
      <c r="BQ94">
        <v>8.264944411079318</v>
      </c>
      <c r="BR94">
        <v>8.020678388758629</v>
      </c>
      <c r="BS94">
        <v>7.7836315183998552</v>
      </c>
      <c r="BT94">
        <v>7.5535904418185327</v>
      </c>
      <c r="BU94">
        <v>7.3303481065174969</v>
      </c>
      <c r="BV94">
        <v>7.1137035793256693</v>
      </c>
      <c r="BW94">
        <v>6.9034618655446307</v>
      </c>
      <c r="BX94">
        <v>6.6994337334402383</v>
      </c>
      <c r="BY94">
        <v>6.5014355439212865</v>
      </c>
      <c r="BZ94">
        <v>6.3092890852519279</v>
      </c>
      <c r="CA94">
        <v>6.1228214126490865</v>
      </c>
      <c r="CB94">
        <v>5.9418646926204728</v>
      </c>
      <c r="CC94">
        <v>5.7662560519031176</v>
      </c>
      <c r="CD94">
        <v>5.5958374308664345</v>
      </c>
      <c r="CE94">
        <v>5.43045544124789</v>
      </c>
      <c r="CF94">
        <v>5.2699612280932078</v>
      </c>
      <c r="CG94">
        <v>5.1142103357768649</v>
      </c>
      <c r="CH94">
        <v>4.9630625779822743</v>
      </c>
      <c r="CI94">
        <v>4.8163819115246431</v>
      </c>
      <c r="CJ94">
        <v>4.6740363139029153</v>
      </c>
      <c r="CK94">
        <v>4.5358976644706175</v>
      </c>
      <c r="CL94">
        <v>4.4018416291186204</v>
      </c>
      <c r="CM94">
        <v>4.2717475483660534</v>
      </c>
      <c r="CN94">
        <v>4.1454983287586273</v>
      </c>
      <c r="CO94">
        <v>4.0229803374766142</v>
      </c>
      <c r="CP94">
        <v>3.9040833000576503</v>
      </c>
      <c r="CQ94">
        <v>3.7887002011422672</v>
      </c>
      <c r="CR94">
        <v>3.6767271881528476</v>
      </c>
      <c r="CS94">
        <v>3.5680634778192966</v>
      </c>
      <c r="CT94">
        <v>3.4626112654672925</v>
      </c>
      <c r="CU94">
        <v>3.360275636987482</v>
      </c>
      <c r="CV94">
        <v>3.26096448340637</v>
      </c>
    </row>
    <row r="95" spans="4:100">
      <c r="V95">
        <v>31.881407581088659</v>
      </c>
      <c r="W95">
        <v>30.939169590307039</v>
      </c>
      <c r="X95">
        <v>30.024778940613292</v>
      </c>
      <c r="Y95">
        <v>29.137412618699479</v>
      </c>
      <c r="Z95">
        <v>28.276271934976847</v>
      </c>
      <c r="AA95">
        <v>27.440581804701313</v>
      </c>
      <c r="AB95">
        <v>26.629590050344852</v>
      </c>
      <c r="AC95">
        <v>25.842566724584952</v>
      </c>
      <c r="AD95">
        <v>25.078803453302768</v>
      </c>
      <c r="AE95">
        <v>24.337612797998574</v>
      </c>
      <c r="AF95">
        <v>23.618327637050726</v>
      </c>
      <c r="AG95">
        <v>22.920300565261169</v>
      </c>
      <c r="AH95">
        <v>22.242903311147046</v>
      </c>
      <c r="AI95">
        <v>21.585526171453974</v>
      </c>
      <c r="AJ95">
        <v>20.94757746238194</v>
      </c>
      <c r="AK95">
        <v>20.328482987029947</v>
      </c>
      <c r="AL95">
        <v>19.727685518580046</v>
      </c>
      <c r="AM95">
        <v>19.14464429875559</v>
      </c>
      <c r="AN95">
        <v>18.578834551102275</v>
      </c>
      <c r="AO95">
        <v>18.029747008653903</v>
      </c>
      <c r="AP95">
        <v>17.496887455557758</v>
      </c>
      <c r="AQ95">
        <v>16.979776282246949</v>
      </c>
      <c r="AR95">
        <v>16.477948053759441</v>
      </c>
      <c r="AS95">
        <v>15.990951090815186</v>
      </c>
      <c r="AT95">
        <v>15.518347063274241</v>
      </c>
      <c r="AU95">
        <v>15.059710595610094</v>
      </c>
      <c r="AV95">
        <v>14.614628884042959</v>
      </c>
      <c r="AW95">
        <v>14.182701324988507</v>
      </c>
      <c r="AX95">
        <v>13.763539154487606</v>
      </c>
      <c r="AY95">
        <v>13.356765098292508</v>
      </c>
      <c r="AZ95">
        <v>12.962013032294564</v>
      </c>
      <c r="BA95">
        <v>12.578927652987813</v>
      </c>
      <c r="BB95">
        <v>12.207164157671842</v>
      </c>
      <c r="BC95">
        <v>11.846387934106078</v>
      </c>
      <c r="BD95">
        <v>11.496274259336182</v>
      </c>
      <c r="BE95">
        <v>11.156508007421481</v>
      </c>
      <c r="BF95">
        <v>10.826783365800342</v>
      </c>
      <c r="BG95">
        <v>10.506803560038227</v>
      </c>
      <c r="BH95">
        <v>10.196280586710662</v>
      </c>
      <c r="BI95">
        <v>9.8949349541807248</v>
      </c>
      <c r="BJ95">
        <v>9.6024954310376955</v>
      </c>
      <c r="BK95">
        <v>9.3186988019704877</v>
      </c>
      <c r="BL95">
        <v>9.0432896308560942</v>
      </c>
      <c r="BM95">
        <v>8.7760200308498337</v>
      </c>
      <c r="BN95">
        <v>8.5166494412704612</v>
      </c>
      <c r="BO95">
        <v>8.2649444110793162</v>
      </c>
      <c r="BP95">
        <v>8.020678388758629</v>
      </c>
      <c r="BQ95">
        <v>7.7836315183998561</v>
      </c>
      <c r="BR95">
        <v>7.5535904418185327</v>
      </c>
      <c r="BS95">
        <v>7.3303481065174978</v>
      </c>
      <c r="BT95">
        <v>7.1137035793256693</v>
      </c>
      <c r="BU95">
        <v>6.9034618655446316</v>
      </c>
      <c r="BV95">
        <v>6.6994337334402392</v>
      </c>
      <c r="BW95">
        <v>6.5014355439212865</v>
      </c>
      <c r="BX95">
        <v>6.3092890852519288</v>
      </c>
      <c r="BY95">
        <v>6.1228214126490865</v>
      </c>
      <c r="BZ95">
        <v>5.9418646926204737</v>
      </c>
      <c r="CA95">
        <v>5.7662560519031176</v>
      </c>
      <c r="CB95">
        <v>5.5958374308664354</v>
      </c>
      <c r="CC95">
        <v>5.4304554412478909</v>
      </c>
      <c r="CD95">
        <v>5.2699612280932087</v>
      </c>
      <c r="CE95">
        <v>5.1142103357768649</v>
      </c>
      <c r="CF95">
        <v>4.9630625779822752</v>
      </c>
      <c r="CG95">
        <v>4.8163819115246431</v>
      </c>
      <c r="CH95">
        <v>4.6740363139029162</v>
      </c>
      <c r="CI95">
        <v>4.5358976644706175</v>
      </c>
      <c r="CJ95">
        <v>4.4018416291186204</v>
      </c>
      <c r="CK95">
        <v>4.2717475483660543</v>
      </c>
      <c r="CL95">
        <v>4.1454983287586273</v>
      </c>
      <c r="CM95">
        <v>4.0229803374766151</v>
      </c>
      <c r="CN95">
        <v>3.9040833000576507</v>
      </c>
      <c r="CO95">
        <v>3.7887002011422672</v>
      </c>
      <c r="CP95">
        <v>3.676727188152848</v>
      </c>
      <c r="CQ95">
        <v>3.5680634778192966</v>
      </c>
      <c r="CR95">
        <v>3.4626112654672929</v>
      </c>
      <c r="CS95">
        <v>3.360275636987482</v>
      </c>
      <c r="CT95">
        <v>3.26096448340637</v>
      </c>
      <c r="CU95">
        <v>3.1645884179820301</v>
      </c>
      <c r="CV95">
        <v>3.0710606957500008</v>
      </c>
    </row>
    <row r="96" spans="4:100">
      <c r="T96">
        <v>31.881407581088656</v>
      </c>
      <c r="U96">
        <v>30.939169590307035</v>
      </c>
      <c r="V96">
        <v>30.024778940613292</v>
      </c>
      <c r="W96">
        <v>29.137412618699475</v>
      </c>
      <c r="X96">
        <v>28.276271934976847</v>
      </c>
      <c r="Y96">
        <v>27.440581804701313</v>
      </c>
      <c r="Z96">
        <v>26.629590050344849</v>
      </c>
      <c r="AA96">
        <v>25.842566724584955</v>
      </c>
      <c r="AB96">
        <v>25.078803453302765</v>
      </c>
      <c r="AC96">
        <v>24.337612797998574</v>
      </c>
      <c r="AD96">
        <v>23.618327637050726</v>
      </c>
      <c r="AE96">
        <v>22.920300565261165</v>
      </c>
      <c r="AF96">
        <v>22.242903311147046</v>
      </c>
      <c r="AG96">
        <v>21.585526171453974</v>
      </c>
      <c r="AH96">
        <v>20.94757746238194</v>
      </c>
      <c r="AI96">
        <v>20.328482987029943</v>
      </c>
      <c r="AJ96">
        <v>19.727685518580046</v>
      </c>
      <c r="AK96">
        <v>19.14464429875559</v>
      </c>
      <c r="AL96">
        <v>18.578834551102272</v>
      </c>
      <c r="AM96">
        <v>18.029747008653906</v>
      </c>
      <c r="AN96">
        <v>17.496887455557758</v>
      </c>
      <c r="AO96">
        <v>16.979776282246945</v>
      </c>
      <c r="AP96">
        <v>16.477948053759444</v>
      </c>
      <c r="AQ96">
        <v>15.990951090815182</v>
      </c>
      <c r="AR96">
        <v>15.51834706327424</v>
      </c>
      <c r="AS96">
        <v>15.059710595610094</v>
      </c>
      <c r="AT96">
        <v>14.614628884042958</v>
      </c>
      <c r="AU96">
        <v>14.182701324988509</v>
      </c>
      <c r="AV96">
        <v>13.763539154487605</v>
      </c>
      <c r="AW96">
        <v>13.356765098292508</v>
      </c>
      <c r="AX96">
        <v>12.962013032294564</v>
      </c>
      <c r="AY96">
        <v>12.578927652987813</v>
      </c>
      <c r="AZ96">
        <v>12.207164157671842</v>
      </c>
      <c r="BA96">
        <v>11.846387934106076</v>
      </c>
      <c r="BB96">
        <v>11.496274259336182</v>
      </c>
      <c r="BC96">
        <v>11.156508007421481</v>
      </c>
      <c r="BD96">
        <v>10.826783365800342</v>
      </c>
      <c r="BE96">
        <v>10.506803560038225</v>
      </c>
      <c r="BF96">
        <v>10.196280586710662</v>
      </c>
      <c r="BG96">
        <v>9.894934954180723</v>
      </c>
      <c r="BH96">
        <v>9.6024954310376955</v>
      </c>
      <c r="BI96">
        <v>9.3186988019704877</v>
      </c>
      <c r="BJ96">
        <v>9.0432896308560942</v>
      </c>
      <c r="BK96">
        <v>8.7760200308498337</v>
      </c>
      <c r="BL96">
        <v>8.5166494412704612</v>
      </c>
      <c r="BM96">
        <v>8.2649444110793162</v>
      </c>
      <c r="BN96">
        <v>8.0206783887586273</v>
      </c>
      <c r="BO96">
        <v>7.7836315183998561</v>
      </c>
      <c r="BP96">
        <v>7.5535904418185327</v>
      </c>
      <c r="BQ96">
        <v>7.3303481065174969</v>
      </c>
      <c r="BR96">
        <v>7.1137035793256693</v>
      </c>
      <c r="BS96">
        <v>6.9034618655446316</v>
      </c>
      <c r="BT96">
        <v>6.6994337334402392</v>
      </c>
      <c r="BU96">
        <v>6.5014355439212865</v>
      </c>
      <c r="BV96">
        <v>6.3092890852519288</v>
      </c>
      <c r="BW96">
        <v>6.1228214126490865</v>
      </c>
      <c r="BX96">
        <v>5.9418646926204737</v>
      </c>
      <c r="BY96">
        <v>5.7662560519031176</v>
      </c>
      <c r="BZ96">
        <v>5.5958374308664354</v>
      </c>
      <c r="CA96">
        <v>5.4304554412478909</v>
      </c>
      <c r="CB96">
        <v>5.2699612280932087</v>
      </c>
      <c r="CC96">
        <v>5.1142103357768649</v>
      </c>
      <c r="CD96">
        <v>4.9630625779822743</v>
      </c>
      <c r="CE96">
        <v>4.8163819115246431</v>
      </c>
      <c r="CF96">
        <v>4.6740363139029162</v>
      </c>
      <c r="CG96">
        <v>4.5358976644706175</v>
      </c>
      <c r="CH96">
        <v>4.4018416291186204</v>
      </c>
      <c r="CI96">
        <v>4.2717475483660534</v>
      </c>
      <c r="CJ96">
        <v>4.1454983287586273</v>
      </c>
      <c r="CK96">
        <v>4.0229803374766142</v>
      </c>
      <c r="CL96">
        <v>3.9040833000576507</v>
      </c>
      <c r="CM96">
        <v>3.7887002011422672</v>
      </c>
      <c r="CN96">
        <v>3.6767271881528476</v>
      </c>
      <c r="CO96">
        <v>3.5680634778192966</v>
      </c>
      <c r="CP96">
        <v>3.4626112654672925</v>
      </c>
      <c r="CQ96">
        <v>3.360275636987482</v>
      </c>
      <c r="CR96">
        <v>3.26096448340637</v>
      </c>
      <c r="CS96">
        <v>3.1645884179820301</v>
      </c>
      <c r="CT96">
        <v>3.0710606957500004</v>
      </c>
      <c r="CU96">
        <v>2.9802971354469618</v>
      </c>
      <c r="CV96">
        <v>2.8922160437419171</v>
      </c>
    </row>
    <row r="97" spans="16:100">
      <c r="R97">
        <v>31.881407581088656</v>
      </c>
      <c r="S97">
        <v>30.939169590307031</v>
      </c>
      <c r="T97">
        <v>30.024778940613288</v>
      </c>
      <c r="U97">
        <v>29.137412618699475</v>
      </c>
      <c r="V97">
        <v>28.276271934976844</v>
      </c>
      <c r="W97">
        <v>27.440581804701313</v>
      </c>
      <c r="X97">
        <v>26.629590050344849</v>
      </c>
      <c r="Y97">
        <v>25.842566724584948</v>
      </c>
      <c r="Z97">
        <v>25.078803453302768</v>
      </c>
      <c r="AA97">
        <v>24.33761279799857</v>
      </c>
      <c r="AB97">
        <v>23.618327637050726</v>
      </c>
      <c r="AC97">
        <v>22.920300565261169</v>
      </c>
      <c r="AD97">
        <v>22.242903311147046</v>
      </c>
      <c r="AE97">
        <v>21.585526171453974</v>
      </c>
      <c r="AF97">
        <v>20.947577462381936</v>
      </c>
      <c r="AG97">
        <v>20.328482987029943</v>
      </c>
      <c r="AH97">
        <v>19.727685518580046</v>
      </c>
      <c r="AI97">
        <v>19.14464429875559</v>
      </c>
      <c r="AJ97">
        <v>18.578834551102272</v>
      </c>
      <c r="AK97">
        <v>18.029747008653903</v>
      </c>
      <c r="AL97">
        <v>17.496887455557758</v>
      </c>
      <c r="AM97">
        <v>16.979776282246945</v>
      </c>
      <c r="AN97">
        <v>16.477948053759441</v>
      </c>
      <c r="AO97">
        <v>15.990951090815184</v>
      </c>
      <c r="AP97">
        <v>15.518347063274238</v>
      </c>
      <c r="AQ97">
        <v>15.059710595610094</v>
      </c>
      <c r="AR97">
        <v>14.614628884042959</v>
      </c>
      <c r="AS97">
        <v>14.182701324988507</v>
      </c>
      <c r="AT97">
        <v>13.763539154487606</v>
      </c>
      <c r="AU97">
        <v>13.356765098292506</v>
      </c>
      <c r="AV97">
        <v>12.962013032294562</v>
      </c>
      <c r="AW97">
        <v>12.578927652987813</v>
      </c>
      <c r="AX97">
        <v>12.207164157671842</v>
      </c>
      <c r="AY97">
        <v>11.846387934106076</v>
      </c>
      <c r="AZ97">
        <v>11.496274259336181</v>
      </c>
      <c r="BA97">
        <v>11.156508007421481</v>
      </c>
      <c r="BB97">
        <v>10.826783365800342</v>
      </c>
      <c r="BC97">
        <v>10.506803560038225</v>
      </c>
      <c r="BD97">
        <v>10.19628058671066</v>
      </c>
      <c r="BE97">
        <v>9.894934954180723</v>
      </c>
      <c r="BF97">
        <v>9.6024954310376938</v>
      </c>
      <c r="BG97">
        <v>9.3186988019704877</v>
      </c>
      <c r="BH97">
        <v>9.0432896308560942</v>
      </c>
      <c r="BI97">
        <v>8.7760200308498337</v>
      </c>
      <c r="BJ97">
        <v>8.5166494412704612</v>
      </c>
      <c r="BK97">
        <v>8.2649444110793162</v>
      </c>
      <c r="BL97">
        <v>8.0206783887586273</v>
      </c>
      <c r="BM97">
        <v>7.7836315183998543</v>
      </c>
      <c r="BN97">
        <v>7.5535904418185327</v>
      </c>
      <c r="BO97">
        <v>7.3303481065174978</v>
      </c>
      <c r="BP97">
        <v>7.1137035793256684</v>
      </c>
      <c r="BQ97">
        <v>6.9034618655446307</v>
      </c>
      <c r="BR97">
        <v>6.6994337334402383</v>
      </c>
      <c r="BS97">
        <v>6.5014355439212865</v>
      </c>
      <c r="BT97">
        <v>6.3092890852519279</v>
      </c>
      <c r="BU97">
        <v>6.1228214126490865</v>
      </c>
      <c r="BV97">
        <v>5.9418646926204728</v>
      </c>
      <c r="BW97">
        <v>5.7662560519031176</v>
      </c>
      <c r="BX97">
        <v>5.5958374308664345</v>
      </c>
      <c r="BY97">
        <v>5.43045544124789</v>
      </c>
      <c r="BZ97">
        <v>5.2699612280932087</v>
      </c>
      <c r="CA97">
        <v>5.1142103357768649</v>
      </c>
      <c r="CB97">
        <v>4.9630625779822743</v>
      </c>
      <c r="CC97">
        <v>4.8163819115246431</v>
      </c>
      <c r="CD97">
        <v>4.6740363139029153</v>
      </c>
      <c r="CE97">
        <v>4.5358976644706175</v>
      </c>
      <c r="CF97">
        <v>4.4018416291186204</v>
      </c>
      <c r="CG97">
        <v>4.2717475483660534</v>
      </c>
      <c r="CH97">
        <v>4.1454983287586264</v>
      </c>
      <c r="CI97">
        <v>4.0229803374766142</v>
      </c>
      <c r="CJ97">
        <v>3.9040833000576503</v>
      </c>
      <c r="CK97">
        <v>3.7887002011422672</v>
      </c>
      <c r="CL97">
        <v>3.6767271881528476</v>
      </c>
      <c r="CM97">
        <v>3.5680634778192961</v>
      </c>
      <c r="CN97">
        <v>3.4626112654672929</v>
      </c>
      <c r="CO97">
        <v>3.3602756369874816</v>
      </c>
      <c r="CP97">
        <v>3.26096448340637</v>
      </c>
      <c r="CQ97">
        <v>3.1645884179820296</v>
      </c>
      <c r="CR97">
        <v>3.0710606957500004</v>
      </c>
      <c r="CS97">
        <v>2.9802971354469618</v>
      </c>
      <c r="CT97">
        <v>2.8922160437419171</v>
      </c>
      <c r="CU97">
        <v>2.8067381417066799</v>
      </c>
      <c r="CV97">
        <v>2.7237864934594875</v>
      </c>
    </row>
    <row r="98" spans="16:100">
      <c r="R98">
        <v>30.024778940613285</v>
      </c>
      <c r="S98">
        <v>29.137412618699472</v>
      </c>
      <c r="T98">
        <v>28.276271934976844</v>
      </c>
      <c r="U98">
        <v>27.44058180470131</v>
      </c>
      <c r="V98">
        <v>26.629590050344849</v>
      </c>
      <c r="W98">
        <v>25.842566724584948</v>
      </c>
      <c r="X98">
        <v>25.078803453302761</v>
      </c>
      <c r="Y98">
        <v>24.33761279799857</v>
      </c>
      <c r="Z98">
        <v>23.618327637050722</v>
      </c>
      <c r="AA98">
        <v>22.920300565261165</v>
      </c>
      <c r="AB98">
        <v>22.242903311147046</v>
      </c>
      <c r="AC98">
        <v>21.585526171453971</v>
      </c>
      <c r="AD98">
        <v>20.947577462381936</v>
      </c>
      <c r="AE98">
        <v>20.328482987029943</v>
      </c>
      <c r="AF98">
        <v>19.727685518580042</v>
      </c>
      <c r="AG98">
        <v>19.144644298755587</v>
      </c>
      <c r="AH98">
        <v>18.578834551102272</v>
      </c>
      <c r="AI98">
        <v>18.029747008653903</v>
      </c>
      <c r="AJ98">
        <v>17.496887455557754</v>
      </c>
      <c r="AK98">
        <v>16.979776282246945</v>
      </c>
      <c r="AL98">
        <v>16.477948053759441</v>
      </c>
      <c r="AM98">
        <v>15.99095109081518</v>
      </c>
      <c r="AN98">
        <v>15.518347063274238</v>
      </c>
      <c r="AO98">
        <v>15.05971059561009</v>
      </c>
      <c r="AP98">
        <v>14.614628884042958</v>
      </c>
      <c r="AQ98">
        <v>14.182701324988505</v>
      </c>
      <c r="AR98">
        <v>13.763539154487603</v>
      </c>
      <c r="AS98">
        <v>13.356765098292506</v>
      </c>
      <c r="AT98">
        <v>12.962013032294561</v>
      </c>
      <c r="AU98">
        <v>12.578927652987812</v>
      </c>
      <c r="AV98">
        <v>12.207164157671841</v>
      </c>
      <c r="AW98">
        <v>11.846387934106074</v>
      </c>
      <c r="AX98">
        <v>11.496274259336179</v>
      </c>
      <c r="AY98">
        <v>11.156508007421479</v>
      </c>
      <c r="AZ98">
        <v>10.826783365800342</v>
      </c>
      <c r="BA98">
        <v>10.506803560038225</v>
      </c>
      <c r="BB98">
        <v>10.19628058671066</v>
      </c>
      <c r="BC98">
        <v>9.8949349541807212</v>
      </c>
      <c r="BD98">
        <v>9.6024954310376938</v>
      </c>
      <c r="BE98">
        <v>9.3186988019704859</v>
      </c>
      <c r="BF98">
        <v>9.0432896308560924</v>
      </c>
      <c r="BG98">
        <v>8.776020030849832</v>
      </c>
      <c r="BH98">
        <v>8.5166494412704594</v>
      </c>
      <c r="BI98">
        <v>8.2649444110793162</v>
      </c>
      <c r="BJ98">
        <v>8.0206783887586273</v>
      </c>
      <c r="BK98">
        <v>7.7836315183998543</v>
      </c>
      <c r="BL98">
        <v>7.5535904418185309</v>
      </c>
      <c r="BM98">
        <v>7.3303481065174969</v>
      </c>
      <c r="BN98">
        <v>7.1137035793256684</v>
      </c>
      <c r="BO98">
        <v>6.9034618655446298</v>
      </c>
      <c r="BP98">
        <v>6.6994337334402383</v>
      </c>
      <c r="BQ98">
        <v>6.5014355439212856</v>
      </c>
      <c r="BR98">
        <v>6.3092890852519279</v>
      </c>
      <c r="BS98">
        <v>6.1228214126490856</v>
      </c>
      <c r="BT98">
        <v>5.9418646926204719</v>
      </c>
      <c r="BU98">
        <v>5.7662560519031167</v>
      </c>
      <c r="BV98">
        <v>5.5958374308664345</v>
      </c>
      <c r="BW98">
        <v>5.43045544124789</v>
      </c>
      <c r="BX98">
        <v>5.2699612280932078</v>
      </c>
      <c r="BY98">
        <v>5.114210335776864</v>
      </c>
      <c r="BZ98">
        <v>4.9630625779822735</v>
      </c>
      <c r="CA98">
        <v>4.8163819115246422</v>
      </c>
      <c r="CB98">
        <v>4.6740363139029153</v>
      </c>
      <c r="CC98">
        <v>4.5358976644706166</v>
      </c>
      <c r="CD98">
        <v>4.4018416291186195</v>
      </c>
      <c r="CE98">
        <v>4.2717475483660534</v>
      </c>
      <c r="CF98">
        <v>4.1454983287586264</v>
      </c>
      <c r="CG98">
        <v>4.0229803374766133</v>
      </c>
      <c r="CH98">
        <v>3.9040833000576503</v>
      </c>
      <c r="CI98">
        <v>3.7887002011422664</v>
      </c>
      <c r="CJ98">
        <v>3.6767271881528472</v>
      </c>
      <c r="CK98">
        <v>3.5680634778192957</v>
      </c>
      <c r="CL98">
        <v>3.462611265467292</v>
      </c>
      <c r="CM98">
        <v>3.3602756369874816</v>
      </c>
      <c r="CN98">
        <v>3.2609644834063691</v>
      </c>
      <c r="CO98">
        <v>3.1645884179820296</v>
      </c>
      <c r="CP98">
        <v>3.07106069575</v>
      </c>
      <c r="CQ98">
        <v>2.9802971354469614</v>
      </c>
      <c r="CR98">
        <v>2.8922160437419171</v>
      </c>
      <c r="CS98">
        <v>2.8067381417066799</v>
      </c>
      <c r="CT98">
        <v>2.7237864934594871</v>
      </c>
      <c r="CU98">
        <v>2.6432864369175122</v>
      </c>
      <c r="CV98">
        <v>2.5651655165959504</v>
      </c>
    </row>
    <row r="99" spans="16:100">
      <c r="P99">
        <v>31.881407581088656</v>
      </c>
      <c r="Q99">
        <v>30.939169590307031</v>
      </c>
    </row>
  </sheetData>
  <mergeCells count="1">
    <mergeCell ref="F1:L7"/>
  </mergeCells>
  <phoneticPr fontId="5" type="noConversion"/>
  <pageMargins left="0.75" right="0.75" top="1" bottom="1"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42"/>
  <sheetViews>
    <sheetView workbookViewId="0">
      <selection activeCell="D1" sqref="D1:F1"/>
    </sheetView>
  </sheetViews>
  <sheetFormatPr baseColWidth="10" defaultColWidth="8.83203125" defaultRowHeight="13"/>
  <sheetData>
    <row r="1" spans="1:6" ht="14">
      <c r="A1" s="5" t="s">
        <v>14</v>
      </c>
      <c r="B1" s="2"/>
      <c r="D1" s="5" t="s">
        <v>5</v>
      </c>
      <c r="E1" s="5" t="s">
        <v>15</v>
      </c>
      <c r="F1" s="5" t="s">
        <v>16</v>
      </c>
    </row>
    <row r="2" spans="1:6" ht="14">
      <c r="A2" s="2" t="s">
        <v>0</v>
      </c>
      <c r="B2" s="2">
        <v>50</v>
      </c>
      <c r="D2">
        <v>50</v>
      </c>
      <c r="E2">
        <v>8.7685048349398969</v>
      </c>
      <c r="F2">
        <v>5.9187132266735887E-4</v>
      </c>
    </row>
    <row r="3" spans="1:6" ht="14">
      <c r="A3" s="2" t="s">
        <v>9</v>
      </c>
      <c r="B3" s="2">
        <v>55</v>
      </c>
      <c r="D3">
        <v>100</v>
      </c>
      <c r="E3">
        <v>8.7821509990387447</v>
      </c>
      <c r="F3">
        <v>1.4238035421515249E-2</v>
      </c>
    </row>
    <row r="4" spans="1:6" ht="14">
      <c r="A4" s="2" t="s">
        <v>3</v>
      </c>
      <c r="B4" s="2">
        <v>0.3</v>
      </c>
      <c r="D4">
        <v>200</v>
      </c>
      <c r="E4">
        <v>8.7722059009494533</v>
      </c>
      <c r="F4">
        <v>4.2929373322238007E-3</v>
      </c>
    </row>
    <row r="5" spans="1:6" ht="14">
      <c r="A5" s="2" t="s">
        <v>4</v>
      </c>
      <c r="B5" s="2">
        <v>0.01</v>
      </c>
      <c r="D5">
        <v>300</v>
      </c>
      <c r="E5">
        <v>8.7705501255622789</v>
      </c>
      <c r="F5">
        <v>2.6371619450493711E-3</v>
      </c>
    </row>
    <row r="6" spans="1:6" ht="14">
      <c r="A6" s="2" t="s">
        <v>1</v>
      </c>
      <c r="B6" s="2">
        <v>1</v>
      </c>
      <c r="D6">
        <v>400</v>
      </c>
      <c r="E6">
        <v>8.7689505863706394</v>
      </c>
      <c r="F6">
        <v>1.0376227534099058E-3</v>
      </c>
    </row>
    <row r="7" spans="1:6" ht="14">
      <c r="A7" s="2" t="s">
        <v>2</v>
      </c>
      <c r="B7" s="2">
        <v>0</v>
      </c>
      <c r="D7">
        <v>500</v>
      </c>
      <c r="E7">
        <v>8.7708516219325308</v>
      </c>
      <c r="F7">
        <v>2.938658315301268E-3</v>
      </c>
    </row>
    <row r="8" spans="1:6" ht="14">
      <c r="A8" s="2"/>
      <c r="B8" s="2"/>
      <c r="D8">
        <v>600</v>
      </c>
      <c r="E8">
        <v>8.7675901706535253</v>
      </c>
      <c r="F8">
        <v>-3.227929637041882E-4</v>
      </c>
    </row>
    <row r="9" spans="1:6" ht="14">
      <c r="A9" s="2"/>
      <c r="B9" s="2"/>
      <c r="D9">
        <v>700</v>
      </c>
      <c r="E9">
        <v>8.7687247345377433</v>
      </c>
      <c r="F9">
        <v>8.1177092051376576E-4</v>
      </c>
    </row>
    <row r="10" spans="1:6" ht="14">
      <c r="A10" s="3" t="s">
        <v>29</v>
      </c>
      <c r="B10" s="2">
        <f>8.76791296361723</f>
        <v>8.7679129636172295</v>
      </c>
      <c r="D10">
        <v>800</v>
      </c>
      <c r="E10">
        <v>8.7697721449475754</v>
      </c>
      <c r="F10">
        <v>1.8591813303459048E-3</v>
      </c>
    </row>
    <row r="11" spans="1:6">
      <c r="D11">
        <v>900</v>
      </c>
      <c r="E11">
        <v>8.7686794485574158</v>
      </c>
      <c r="F11">
        <v>7.6648494018627389E-4</v>
      </c>
    </row>
    <row r="12" spans="1:6">
      <c r="D12">
        <v>1000</v>
      </c>
      <c r="E12">
        <v>8.7669666476757921</v>
      </c>
      <c r="F12">
        <v>-9.4631594143734787E-4</v>
      </c>
    </row>
    <row r="13" spans="1:6">
      <c r="D13">
        <v>1100</v>
      </c>
      <c r="E13">
        <v>8.768741777277274</v>
      </c>
      <c r="F13">
        <v>8.2881366004450285E-4</v>
      </c>
    </row>
    <row r="14" spans="1:6">
      <c r="D14">
        <v>1200</v>
      </c>
      <c r="E14">
        <v>8.7691312884600183</v>
      </c>
      <c r="F14">
        <v>1.2183248427888316E-3</v>
      </c>
    </row>
    <row r="15" spans="1:6">
      <c r="D15">
        <v>1300</v>
      </c>
      <c r="E15">
        <v>8.7685856734373857</v>
      </c>
      <c r="F15">
        <v>6.7270982015621428E-4</v>
      </c>
    </row>
    <row r="16" spans="1:6">
      <c r="D16">
        <v>1400</v>
      </c>
      <c r="E16">
        <v>8.7674152494729078</v>
      </c>
      <c r="F16">
        <v>-4.9771414432164818E-4</v>
      </c>
    </row>
    <row r="17" spans="4:6">
      <c r="D17">
        <v>1500</v>
      </c>
      <c r="E17">
        <v>8.7680240498630102</v>
      </c>
      <c r="F17">
        <v>1.1108624578071158E-4</v>
      </c>
    </row>
    <row r="18" spans="4:6">
      <c r="D18">
        <v>1600</v>
      </c>
      <c r="E18">
        <v>8.768676023300106</v>
      </c>
      <c r="F18">
        <v>7.6305968287648795E-4</v>
      </c>
    </row>
    <row r="19" spans="4:6">
      <c r="D19">
        <v>1700</v>
      </c>
      <c r="E19">
        <v>8.7687364259563019</v>
      </c>
      <c r="F19">
        <v>8.2346233907237831E-4</v>
      </c>
    </row>
    <row r="20" spans="4:6">
      <c r="D20">
        <v>1800</v>
      </c>
      <c r="E20">
        <v>8.7683486237056929</v>
      </c>
      <c r="F20">
        <v>4.3566008846340765E-4</v>
      </c>
    </row>
    <row r="21" spans="4:6">
      <c r="D21">
        <v>1900</v>
      </c>
      <c r="E21">
        <v>8.7676271447631695</v>
      </c>
      <c r="F21">
        <v>-2.8581885405998264E-4</v>
      </c>
    </row>
    <row r="22" spans="4:6">
      <c r="D22">
        <v>2000</v>
      </c>
      <c r="E22">
        <v>8.7677876499192955</v>
      </c>
      <c r="F22">
        <v>-1.2531369793400415E-4</v>
      </c>
    </row>
    <row r="23" spans="4:6">
      <c r="D23">
        <v>2100</v>
      </c>
      <c r="E23">
        <v>8.7683416229490252</v>
      </c>
      <c r="F23">
        <v>4.2865933179569993E-4</v>
      </c>
    </row>
    <row r="24" spans="4:6">
      <c r="D24">
        <v>2200</v>
      </c>
      <c r="E24">
        <v>8.7685392978933994</v>
      </c>
      <c r="F24">
        <v>6.2633427616987092E-4</v>
      </c>
    </row>
    <row r="25" spans="4:6">
      <c r="D25">
        <v>2300</v>
      </c>
      <c r="E25">
        <v>8.7684487800689226</v>
      </c>
      <c r="F25">
        <v>5.3581645169309411E-4</v>
      </c>
    </row>
    <row r="26" spans="4:6">
      <c r="D26">
        <v>2400</v>
      </c>
      <c r="E26">
        <v>8.7681245501352247</v>
      </c>
      <c r="F26">
        <v>2.1158651799524364E-4</v>
      </c>
    </row>
    <row r="27" spans="4:6">
      <c r="D27">
        <v>2500</v>
      </c>
      <c r="E27">
        <v>8.7676146234681838</v>
      </c>
      <c r="F27">
        <v>-2.9834014904572825E-4</v>
      </c>
    </row>
    <row r="28" spans="4:6">
      <c r="D28">
        <v>2600</v>
      </c>
      <c r="E28">
        <v>8.7677878559034248</v>
      </c>
      <c r="F28">
        <v>-1.2510771380469521E-4</v>
      </c>
    </row>
    <row r="29" spans="4:6">
      <c r="D29">
        <v>2700</v>
      </c>
      <c r="E29">
        <v>8.7681855525781618</v>
      </c>
      <c r="F29">
        <v>2.7258896093229623E-4</v>
      </c>
    </row>
    <row r="30" spans="4:6">
      <c r="D30">
        <v>2800</v>
      </c>
      <c r="E30">
        <v>8.7683679729031532</v>
      </c>
      <c r="F30">
        <v>4.5500928592367984E-4</v>
      </c>
    </row>
    <row r="31" spans="4:6">
      <c r="D31">
        <v>2900</v>
      </c>
      <c r="E31">
        <v>8.7683678001263932</v>
      </c>
      <c r="F31">
        <v>4.5483650916366969E-4</v>
      </c>
    </row>
    <row r="32" spans="4:6">
      <c r="D32">
        <v>3000</v>
      </c>
      <c r="E32">
        <v>8.7682131095101781</v>
      </c>
      <c r="F32">
        <v>3.0014589294857785E-4</v>
      </c>
    </row>
    <row r="33" spans="4:6">
      <c r="D33">
        <v>3100</v>
      </c>
      <c r="E33">
        <v>8.7679272039498741</v>
      </c>
      <c r="F33">
        <v>1.4240332644632758E-5</v>
      </c>
    </row>
    <row r="34" spans="4:6">
      <c r="D34">
        <v>3200</v>
      </c>
      <c r="E34">
        <v>8.7675354659533813</v>
      </c>
      <c r="F34">
        <v>-3.7749766384820305E-4</v>
      </c>
    </row>
    <row r="35" spans="4:6">
      <c r="D35">
        <v>3300</v>
      </c>
      <c r="E35">
        <v>8.7678651479164635</v>
      </c>
      <c r="F35">
        <v>-4.7815700765951874E-5</v>
      </c>
    </row>
    <row r="36" spans="4:6">
      <c r="D36">
        <v>3400</v>
      </c>
      <c r="E36">
        <v>8.7681288152430188</v>
      </c>
      <c r="F36">
        <v>2.158516257892984E-4</v>
      </c>
    </row>
    <row r="37" spans="4:6">
      <c r="D37">
        <v>3500</v>
      </c>
      <c r="E37">
        <v>8.7682597021399626</v>
      </c>
      <c r="F37">
        <v>3.4673852273314765E-4</v>
      </c>
    </row>
    <row r="38" spans="4:6">
      <c r="D38">
        <v>3600</v>
      </c>
      <c r="E38">
        <v>8.7682738321880862</v>
      </c>
      <c r="F38">
        <v>3.6086857085670943E-4</v>
      </c>
    </row>
    <row r="39" spans="4:6">
      <c r="D39">
        <v>3700</v>
      </c>
      <c r="E39">
        <v>8.7681855523219916</v>
      </c>
      <c r="F39">
        <v>2.7258870476210006E-4</v>
      </c>
    </row>
    <row r="40" spans="4:6">
      <c r="D40">
        <v>3800</v>
      </c>
      <c r="E40">
        <v>8.7680081578410665</v>
      </c>
      <c r="F40">
        <v>9.5194223836969627E-5</v>
      </c>
    </row>
    <row r="41" spans="4:6">
      <c r="D41">
        <v>3900</v>
      </c>
      <c r="E41">
        <v>8.7677529845575179</v>
      </c>
      <c r="F41">
        <v>-1.599790597115458E-4</v>
      </c>
    </row>
    <row r="42" spans="4:6">
      <c r="D42">
        <v>4000</v>
      </c>
      <c r="E42">
        <v>8.767687573337513</v>
      </c>
      <c r="F42">
        <v>-2.2539027971646419E-4</v>
      </c>
    </row>
  </sheetData>
  <phoneticPr fontId="5" type="noConversion"/>
  <pageMargins left="0.75" right="0.75" top="1" bottom="1"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G100"/>
  <sheetViews>
    <sheetView topLeftCell="A68" workbookViewId="0">
      <selection sqref="A1:G65536"/>
    </sheetView>
  </sheetViews>
  <sheetFormatPr baseColWidth="10" defaultRowHeight="13"/>
  <cols>
    <col min="1" max="1" width="11.83203125" bestFit="1" customWidth="1"/>
    <col min="5" max="5" width="15.33203125" bestFit="1" customWidth="1"/>
    <col min="6" max="6" width="39.1640625" bestFit="1" customWidth="1"/>
    <col min="7" max="7" width="21.6640625" bestFit="1" customWidth="1"/>
  </cols>
  <sheetData>
    <row r="1" spans="1:7" ht="14">
      <c r="A1" s="5" t="s">
        <v>14</v>
      </c>
      <c r="B1" s="2"/>
      <c r="D1" s="5" t="s">
        <v>5</v>
      </c>
      <c r="E1" s="5" t="s">
        <v>59</v>
      </c>
      <c r="F1" s="5" t="s">
        <v>61</v>
      </c>
      <c r="G1" s="5" t="s">
        <v>62</v>
      </c>
    </row>
    <row r="2" spans="1:7" ht="14">
      <c r="A2" s="2" t="s">
        <v>0</v>
      </c>
      <c r="B2" s="2">
        <v>40</v>
      </c>
      <c r="D2">
        <v>2</v>
      </c>
      <c r="E2">
        <v>7.3498463028627175</v>
      </c>
      <c r="F2">
        <v>-0.69428889713728204</v>
      </c>
    </row>
    <row r="3" spans="1:7" ht="14">
      <c r="A3" s="2" t="s">
        <v>9</v>
      </c>
      <c r="B3" s="2">
        <v>45</v>
      </c>
      <c r="D3">
        <v>3</v>
      </c>
      <c r="E3">
        <v>6.8931927224625493</v>
      </c>
      <c r="F3">
        <v>-1.1509424775374502</v>
      </c>
      <c r="G3">
        <f>E3-E2</f>
        <v>-0.45665358040016812</v>
      </c>
    </row>
    <row r="4" spans="1:7" ht="14">
      <c r="A4" s="2" t="s">
        <v>3</v>
      </c>
      <c r="B4" s="2">
        <v>0.35</v>
      </c>
      <c r="D4">
        <v>4</v>
      </c>
      <c r="E4">
        <v>7.248456602760335</v>
      </c>
      <c r="F4">
        <v>-0.7956785972396645</v>
      </c>
      <c r="G4">
        <f t="shared" ref="G4:G67" si="0">E4-E3</f>
        <v>0.35526388029778566</v>
      </c>
    </row>
    <row r="5" spans="1:7" ht="14">
      <c r="A5" s="2" t="s">
        <v>4</v>
      </c>
      <c r="B5" s="2">
        <v>0.01</v>
      </c>
      <c r="D5">
        <v>5</v>
      </c>
      <c r="E5">
        <v>6.8940456534998082</v>
      </c>
      <c r="F5">
        <v>-1.1500895465001912</v>
      </c>
      <c r="G5">
        <f t="shared" si="0"/>
        <v>-0.35441094926052674</v>
      </c>
    </row>
    <row r="6" spans="1:7" ht="14">
      <c r="A6" s="2" t="s">
        <v>1</v>
      </c>
      <c r="B6" s="2">
        <v>0.5</v>
      </c>
      <c r="D6">
        <v>6</v>
      </c>
      <c r="E6">
        <v>7.1666225056100172</v>
      </c>
      <c r="F6">
        <v>-0.87751269438998225</v>
      </c>
      <c r="G6">
        <f t="shared" si="0"/>
        <v>0.27257685211020899</v>
      </c>
    </row>
    <row r="7" spans="1:7" ht="14">
      <c r="A7" s="2" t="s">
        <v>2</v>
      </c>
      <c r="B7" s="2">
        <v>0</v>
      </c>
      <c r="D7">
        <v>7</v>
      </c>
      <c r="E7">
        <v>7.0065972514447825</v>
      </c>
      <c r="F7">
        <v>-1.037537948555217</v>
      </c>
      <c r="G7">
        <f t="shared" si="0"/>
        <v>-0.16002525416523472</v>
      </c>
    </row>
    <row r="8" spans="1:7" ht="14">
      <c r="A8" s="2"/>
      <c r="B8" s="2"/>
      <c r="D8">
        <v>8</v>
      </c>
      <c r="E8">
        <v>7.1064432181662838</v>
      </c>
      <c r="F8">
        <v>-0.93769198183371572</v>
      </c>
      <c r="G8">
        <f t="shared" si="0"/>
        <v>9.9845966721501256E-2</v>
      </c>
    </row>
    <row r="9" spans="1:7" ht="14">
      <c r="A9" s="2"/>
      <c r="B9" s="2"/>
      <c r="D9">
        <v>9</v>
      </c>
      <c r="E9">
        <v>7.051771675444944</v>
      </c>
      <c r="F9">
        <v>-0.9923635245550555</v>
      </c>
      <c r="G9">
        <f t="shared" si="0"/>
        <v>-5.4671542721339783E-2</v>
      </c>
    </row>
    <row r="10" spans="1:7" ht="14">
      <c r="A10" s="3" t="s">
        <v>60</v>
      </c>
      <c r="B10" s="2">
        <v>8.0441351999999995</v>
      </c>
      <c r="D10">
        <v>10</v>
      </c>
      <c r="E10">
        <v>7.0619313975834439</v>
      </c>
      <c r="F10">
        <v>-0.98220380241655558</v>
      </c>
      <c r="G10">
        <f t="shared" si="0"/>
        <v>1.0159722138499916E-2</v>
      </c>
    </row>
    <row r="11" spans="1:7">
      <c r="D11">
        <v>11</v>
      </c>
      <c r="E11">
        <v>7.0699441628371336</v>
      </c>
      <c r="F11">
        <v>-0.97419103716286592</v>
      </c>
      <c r="G11">
        <f t="shared" si="0"/>
        <v>8.0127652536896576E-3</v>
      </c>
    </row>
    <row r="12" spans="1:7">
      <c r="A12" s="13" t="s">
        <v>63</v>
      </c>
      <c r="B12" s="13"/>
      <c r="C12" s="13"/>
      <c r="D12">
        <v>12</v>
      </c>
      <c r="E12">
        <v>7.0275502900483939</v>
      </c>
      <c r="F12">
        <v>-1.0165849099516056</v>
      </c>
      <c r="G12">
        <f t="shared" si="0"/>
        <v>-4.2393872788739628E-2</v>
      </c>
    </row>
    <row r="13" spans="1:7">
      <c r="A13" s="13"/>
      <c r="B13" s="13"/>
      <c r="C13" s="13"/>
      <c r="D13">
        <v>13</v>
      </c>
      <c r="E13">
        <v>7.0754555983464558</v>
      </c>
      <c r="F13">
        <v>-0.96867960165354372</v>
      </c>
      <c r="G13">
        <f t="shared" si="0"/>
        <v>4.7905308298061833E-2</v>
      </c>
    </row>
    <row r="14" spans="1:7">
      <c r="A14" s="13"/>
      <c r="B14" s="13"/>
      <c r="C14" s="13"/>
      <c r="D14">
        <v>14</v>
      </c>
      <c r="E14">
        <v>7.0004533618407949</v>
      </c>
      <c r="F14">
        <v>-1.0436818381592046</v>
      </c>
      <c r="G14">
        <f t="shared" si="0"/>
        <v>-7.5002236505660846E-2</v>
      </c>
    </row>
    <row r="15" spans="1:7">
      <c r="A15" s="13"/>
      <c r="B15" s="13"/>
      <c r="C15" s="13"/>
      <c r="D15">
        <v>15</v>
      </c>
      <c r="E15">
        <v>7.0745301039186872</v>
      </c>
      <c r="F15">
        <v>-0.96960509608131229</v>
      </c>
      <c r="G15">
        <f t="shared" si="0"/>
        <v>7.4076742077892277E-2</v>
      </c>
    </row>
    <row r="16" spans="1:7">
      <c r="A16" s="13"/>
      <c r="B16" s="13"/>
      <c r="C16" s="13"/>
      <c r="D16">
        <v>16</v>
      </c>
      <c r="E16">
        <v>6.9794471647600291</v>
      </c>
      <c r="F16">
        <v>-1.0646880352399704</v>
      </c>
      <c r="G16">
        <f t="shared" si="0"/>
        <v>-9.5082939158658064E-2</v>
      </c>
    </row>
    <row r="17" spans="4:7">
      <c r="D17">
        <v>17</v>
      </c>
      <c r="E17">
        <v>7.0701884413742127</v>
      </c>
      <c r="F17">
        <v>-0.97394675862578683</v>
      </c>
      <c r="G17">
        <f t="shared" si="0"/>
        <v>9.0741276614183519E-2</v>
      </c>
    </row>
    <row r="18" spans="4:7">
      <c r="D18">
        <v>18</v>
      </c>
      <c r="E18">
        <v>6.9743606404003051</v>
      </c>
      <c r="F18">
        <v>-1.0697745595996944</v>
      </c>
      <c r="G18">
        <f t="shared" si="0"/>
        <v>-9.5827800973907529E-2</v>
      </c>
    </row>
    <row r="19" spans="4:7">
      <c r="D19">
        <v>19</v>
      </c>
      <c r="E19">
        <v>7.0640667552871381</v>
      </c>
      <c r="F19">
        <v>-0.98006844471286136</v>
      </c>
      <c r="G19">
        <f t="shared" si="0"/>
        <v>8.9706114886832999E-2</v>
      </c>
    </row>
    <row r="20" spans="4:7">
      <c r="D20">
        <v>20</v>
      </c>
      <c r="E20">
        <v>6.995331802856227</v>
      </c>
      <c r="F20">
        <v>-1.0488033971437725</v>
      </c>
      <c r="G20">
        <f t="shared" si="0"/>
        <v>-6.87349524309111E-2</v>
      </c>
    </row>
    <row r="21" spans="4:7">
      <c r="D21">
        <v>21</v>
      </c>
      <c r="E21">
        <v>7.0569717857494911</v>
      </c>
      <c r="F21">
        <v>-0.98716341425050835</v>
      </c>
      <c r="G21">
        <f t="shared" si="0"/>
        <v>6.1639982893264111E-2</v>
      </c>
    </row>
    <row r="22" spans="4:7">
      <c r="D22">
        <v>22</v>
      </c>
      <c r="E22">
        <v>7.010296556711892</v>
      </c>
      <c r="F22">
        <v>-1.0338386432881075</v>
      </c>
      <c r="G22">
        <f t="shared" si="0"/>
        <v>-4.6675229037599131E-2</v>
      </c>
    </row>
    <row r="23" spans="4:7">
      <c r="D23">
        <v>23</v>
      </c>
      <c r="E23">
        <v>7.0494639230458267</v>
      </c>
      <c r="F23">
        <v>-0.99467127695417279</v>
      </c>
      <c r="G23">
        <f t="shared" si="0"/>
        <v>3.9167366333934694E-2</v>
      </c>
    </row>
    <row r="24" spans="4:7">
      <c r="D24">
        <v>24</v>
      </c>
      <c r="E24">
        <v>7.020966070150882</v>
      </c>
      <c r="F24">
        <v>-1.0231691298491175</v>
      </c>
      <c r="G24">
        <f t="shared" si="0"/>
        <v>-2.8497852894944664E-2</v>
      </c>
    </row>
    <row r="25" spans="4:7">
      <c r="D25">
        <v>25</v>
      </c>
      <c r="E25">
        <v>7.0418494209417046</v>
      </c>
      <c r="F25">
        <v>-1.0022857790582949</v>
      </c>
      <c r="G25">
        <f t="shared" si="0"/>
        <v>2.0883350790822597E-2</v>
      </c>
    </row>
    <row r="26" spans="4:7">
      <c r="D26">
        <v>26</v>
      </c>
      <c r="E26">
        <v>7.0284744929599148</v>
      </c>
      <c r="F26">
        <v>-1.0156607070400847</v>
      </c>
      <c r="G26">
        <f t="shared" si="0"/>
        <v>-1.3374927981789853E-2</v>
      </c>
    </row>
    <row r="27" spans="4:7">
      <c r="D27">
        <v>27</v>
      </c>
      <c r="E27">
        <v>7.0342908726836146</v>
      </c>
      <c r="F27">
        <v>-1.0098443273163848</v>
      </c>
      <c r="G27">
        <f t="shared" si="0"/>
        <v>5.8163797236998604E-3</v>
      </c>
    </row>
    <row r="28" spans="4:7">
      <c r="D28">
        <v>28</v>
      </c>
      <c r="E28">
        <v>7.0336096382003381</v>
      </c>
      <c r="F28">
        <v>-1.0105255617996614</v>
      </c>
      <c r="G28">
        <f t="shared" si="0"/>
        <v>-6.8123448327650493E-4</v>
      </c>
    </row>
    <row r="29" spans="4:7">
      <c r="D29">
        <v>29</v>
      </c>
      <c r="E29">
        <v>7.0270064696463894</v>
      </c>
      <c r="F29">
        <v>-1.0171287303536101</v>
      </c>
      <c r="G29">
        <f t="shared" si="0"/>
        <v>-6.6031685539487128E-3</v>
      </c>
    </row>
    <row r="30" spans="4:7">
      <c r="D30">
        <v>30</v>
      </c>
      <c r="E30">
        <v>7.0369549753537743</v>
      </c>
      <c r="F30">
        <v>-1.0071802246462251</v>
      </c>
      <c r="G30">
        <f t="shared" si="0"/>
        <v>9.9485057073849248E-3</v>
      </c>
    </row>
    <row r="31" spans="4:7">
      <c r="D31">
        <v>31</v>
      </c>
      <c r="E31">
        <v>7.019978000335974</v>
      </c>
      <c r="F31">
        <v>-1.0241571996640255</v>
      </c>
      <c r="G31">
        <f t="shared" si="0"/>
        <v>-1.6976975017800378E-2</v>
      </c>
    </row>
    <row r="32" spans="4:7">
      <c r="D32">
        <v>32</v>
      </c>
      <c r="E32">
        <v>7.0389301962003161</v>
      </c>
      <c r="F32">
        <v>-1.0052050037996834</v>
      </c>
      <c r="G32">
        <f t="shared" si="0"/>
        <v>1.8952195864342158E-2</v>
      </c>
    </row>
    <row r="33" spans="4:7">
      <c r="D33">
        <v>33</v>
      </c>
      <c r="E33">
        <v>7.0132401123662298</v>
      </c>
      <c r="F33">
        <v>-1.0308950876337697</v>
      </c>
      <c r="G33">
        <f t="shared" si="0"/>
        <v>-2.569008383408633E-2</v>
      </c>
    </row>
    <row r="34" spans="4:7">
      <c r="D34">
        <v>34</v>
      </c>
      <c r="E34">
        <v>7.0398419869525624</v>
      </c>
      <c r="F34">
        <v>-1.0042932130474371</v>
      </c>
      <c r="G34">
        <f t="shared" si="0"/>
        <v>2.6601874586332563E-2</v>
      </c>
    </row>
    <row r="35" spans="4:7">
      <c r="D35">
        <v>35</v>
      </c>
      <c r="E35">
        <v>7.0068619295650532</v>
      </c>
      <c r="F35">
        <v>-1.0372732704349463</v>
      </c>
      <c r="G35">
        <f t="shared" si="0"/>
        <v>-3.2980057387509198E-2</v>
      </c>
    </row>
    <row r="36" spans="4:7">
      <c r="D36">
        <v>36</v>
      </c>
      <c r="E36">
        <v>7.0399287777499406</v>
      </c>
      <c r="F36">
        <v>-1.0042064222500588</v>
      </c>
      <c r="G36">
        <f t="shared" si="0"/>
        <v>3.3066848184887476E-2</v>
      </c>
    </row>
    <row r="37" spans="4:7">
      <c r="D37">
        <v>37</v>
      </c>
      <c r="E37">
        <v>7.0007879942035096</v>
      </c>
      <c r="F37">
        <v>-1.0433472057964899</v>
      </c>
      <c r="G37">
        <f t="shared" si="0"/>
        <v>-3.9140783546431024E-2</v>
      </c>
    </row>
    <row r="38" spans="4:7">
      <c r="D38">
        <v>38</v>
      </c>
      <c r="E38">
        <v>7.0393782900864483</v>
      </c>
      <c r="F38">
        <v>-1.0047569099135512</v>
      </c>
      <c r="G38">
        <f t="shared" si="0"/>
        <v>3.8590295882938719E-2</v>
      </c>
    </row>
    <row r="39" spans="4:7">
      <c r="D39">
        <v>39</v>
      </c>
      <c r="E39">
        <v>6.9956510326823418</v>
      </c>
      <c r="F39">
        <v>-1.0484841673176577</v>
      </c>
      <c r="G39">
        <f t="shared" si="0"/>
        <v>-4.3727257404106545E-2</v>
      </c>
    </row>
    <row r="40" spans="4:7">
      <c r="D40">
        <v>40</v>
      </c>
      <c r="E40">
        <v>7.0383296179240755</v>
      </c>
      <c r="F40">
        <v>-1.005805582075924</v>
      </c>
      <c r="G40">
        <f t="shared" si="0"/>
        <v>4.2678585241733735E-2</v>
      </c>
    </row>
    <row r="41" spans="4:7">
      <c r="D41">
        <v>41</v>
      </c>
      <c r="E41">
        <v>6.9992831061569616</v>
      </c>
      <c r="F41">
        <v>-1.0448520938430379</v>
      </c>
      <c r="G41">
        <f t="shared" si="0"/>
        <v>-3.9046511767113934E-2</v>
      </c>
    </row>
    <row r="42" spans="4:7">
      <c r="D42">
        <v>42</v>
      </c>
      <c r="E42">
        <v>7.0368824289372451</v>
      </c>
      <c r="F42">
        <v>-1.0072527710627543</v>
      </c>
      <c r="G42">
        <f t="shared" si="0"/>
        <v>3.7599322780283551E-2</v>
      </c>
    </row>
    <row r="43" spans="4:7">
      <c r="D43">
        <v>43</v>
      </c>
      <c r="E43">
        <v>7.0053388775474792</v>
      </c>
      <c r="F43">
        <v>-1.0387963224525203</v>
      </c>
      <c r="G43">
        <f t="shared" si="0"/>
        <v>-3.1543551389765945E-2</v>
      </c>
    </row>
    <row r="44" spans="4:7">
      <c r="D44">
        <v>44</v>
      </c>
      <c r="E44">
        <v>7.0351227883326164</v>
      </c>
      <c r="F44">
        <v>-1.0090124116673831</v>
      </c>
      <c r="G44">
        <f t="shared" si="0"/>
        <v>2.9783910785137202E-2</v>
      </c>
    </row>
    <row r="45" spans="4:7">
      <c r="D45">
        <v>45</v>
      </c>
      <c r="E45">
        <v>7.0103776098700727</v>
      </c>
      <c r="F45">
        <v>-1.0337575901299267</v>
      </c>
      <c r="G45">
        <f t="shared" si="0"/>
        <v>-2.4745178462543649E-2</v>
      </c>
    </row>
    <row r="46" spans="4:7">
      <c r="D46">
        <v>46</v>
      </c>
      <c r="E46">
        <v>7.0331527213117937</v>
      </c>
      <c r="F46">
        <v>-1.0109824786882058</v>
      </c>
      <c r="G46">
        <f t="shared" si="0"/>
        <v>2.2775111441720952E-2</v>
      </c>
    </row>
    <row r="47" spans="4:7">
      <c r="D47">
        <v>47</v>
      </c>
      <c r="E47">
        <v>7.0145514032920691</v>
      </c>
      <c r="F47">
        <v>-1.0295837967079304</v>
      </c>
      <c r="G47">
        <f t="shared" si="0"/>
        <v>-1.8601318019724644E-2</v>
      </c>
    </row>
    <row r="48" spans="4:7">
      <c r="D48">
        <v>48</v>
      </c>
      <c r="E48">
        <v>7.0310060841266644</v>
      </c>
      <c r="F48">
        <v>-1.0131291158733351</v>
      </c>
      <c r="G48">
        <f t="shared" si="0"/>
        <v>1.6454680834595337E-2</v>
      </c>
    </row>
    <row r="49" spans="4:7">
      <c r="D49">
        <v>49</v>
      </c>
      <c r="E49">
        <v>7.017985022044523</v>
      </c>
      <c r="F49">
        <v>-1.0261501779554765</v>
      </c>
      <c r="G49">
        <f t="shared" si="0"/>
        <v>-1.3021062082141377E-2</v>
      </c>
    </row>
    <row r="50" spans="4:7" s="11" customFormat="1">
      <c r="D50" s="11">
        <v>50</v>
      </c>
      <c r="E50" s="11">
        <v>7.0287247817116656</v>
      </c>
      <c r="F50" s="11">
        <v>-1.0154104182883339</v>
      </c>
      <c r="G50" s="11">
        <f t="shared" si="0"/>
        <v>1.0739759667142579E-2</v>
      </c>
    </row>
    <row r="51" spans="4:7" s="11" customFormat="1">
      <c r="D51" s="11">
        <v>51</v>
      </c>
      <c r="E51" s="11">
        <v>7.0207831319949241</v>
      </c>
      <c r="F51" s="11">
        <v>-1.0233520680050754</v>
      </c>
      <c r="G51" s="11">
        <f t="shared" si="0"/>
        <v>-7.9416497167414946E-3</v>
      </c>
    </row>
    <row r="52" spans="4:7">
      <c r="D52">
        <v>52</v>
      </c>
      <c r="E52">
        <v>7.0263442445531057</v>
      </c>
      <c r="F52">
        <v>-1.0177909554468938</v>
      </c>
      <c r="G52">
        <f t="shared" si="0"/>
        <v>5.5611125581815912E-3</v>
      </c>
    </row>
    <row r="53" spans="4:7">
      <c r="D53">
        <v>53</v>
      </c>
      <c r="E53">
        <v>7.0230341961830147</v>
      </c>
      <c r="F53">
        <v>-1.0211010038169848</v>
      </c>
      <c r="G53">
        <f t="shared" si="0"/>
        <v>-3.3100483700909678E-3</v>
      </c>
    </row>
    <row r="54" spans="4:7">
      <c r="D54">
        <v>54</v>
      </c>
      <c r="E54">
        <v>7.0238726740172899</v>
      </c>
      <c r="F54">
        <v>-1.0202625259827096</v>
      </c>
      <c r="G54">
        <f t="shared" si="0"/>
        <v>8.384778342751531E-4</v>
      </c>
    </row>
    <row r="55" spans="4:7">
      <c r="D55">
        <v>55</v>
      </c>
      <c r="E55">
        <v>7.0248195003817786</v>
      </c>
      <c r="F55">
        <v>-1.0193156996182209</v>
      </c>
      <c r="G55">
        <f t="shared" si="0"/>
        <v>9.468263644887287E-4</v>
      </c>
    </row>
    <row r="56" spans="4:7">
      <c r="D56">
        <v>56</v>
      </c>
      <c r="E56">
        <v>7.0213335106952925</v>
      </c>
      <c r="F56">
        <v>-1.0228016893047069</v>
      </c>
      <c r="G56">
        <f t="shared" si="0"/>
        <v>-3.4859896864860573E-3</v>
      </c>
    </row>
    <row r="57" spans="4:7">
      <c r="D57">
        <v>57</v>
      </c>
      <c r="E57">
        <v>7.026197402898628</v>
      </c>
      <c r="F57">
        <v>-1.0179377971013714</v>
      </c>
      <c r="G57">
        <f t="shared" si="0"/>
        <v>4.8638922033354959E-3</v>
      </c>
    </row>
    <row r="58" spans="4:7">
      <c r="D58">
        <v>58</v>
      </c>
      <c r="E58">
        <v>7.0187455605441125</v>
      </c>
      <c r="F58">
        <v>-1.025389639455887</v>
      </c>
      <c r="G58">
        <f t="shared" si="0"/>
        <v>-7.4518423545155699E-3</v>
      </c>
    </row>
    <row r="59" spans="4:7">
      <c r="D59">
        <v>59</v>
      </c>
      <c r="E59">
        <v>7.0272231047166311</v>
      </c>
      <c r="F59">
        <v>-1.0169120952833683</v>
      </c>
      <c r="G59">
        <f t="shared" si="0"/>
        <v>8.4775441725186695E-3</v>
      </c>
    </row>
    <row r="60" spans="4:7">
      <c r="D60">
        <v>60</v>
      </c>
      <c r="E60">
        <v>7.0161619680170011</v>
      </c>
      <c r="F60">
        <v>-1.0279732319829984</v>
      </c>
      <c r="G60">
        <f t="shared" si="0"/>
        <v>-1.1061136699630048E-2</v>
      </c>
    </row>
    <row r="61" spans="4:7">
      <c r="D61">
        <v>61</v>
      </c>
      <c r="E61">
        <v>7.0279425523292662</v>
      </c>
      <c r="F61">
        <v>-1.0161926476707333</v>
      </c>
      <c r="G61">
        <f t="shared" si="0"/>
        <v>1.1780584312265141E-2</v>
      </c>
    </row>
    <row r="62" spans="4:7">
      <c r="D62">
        <v>62</v>
      </c>
      <c r="E62">
        <v>7.0135866128618654</v>
      </c>
      <c r="F62">
        <v>-1.0305485871381341</v>
      </c>
      <c r="G62">
        <f t="shared" si="0"/>
        <v>-1.435593946740088E-2</v>
      </c>
    </row>
    <row r="63" spans="4:7">
      <c r="D63">
        <v>63</v>
      </c>
      <c r="E63">
        <v>7.0283936790147239</v>
      </c>
      <c r="F63">
        <v>-1.0157415209852756</v>
      </c>
      <c r="G63">
        <f t="shared" si="0"/>
        <v>1.4807066152858539E-2</v>
      </c>
    </row>
    <row r="64" spans="4:7">
      <c r="D64">
        <v>64</v>
      </c>
      <c r="E64">
        <v>7.0109983912920564</v>
      </c>
      <c r="F64">
        <v>-1.0331368087079431</v>
      </c>
      <c r="G64">
        <f t="shared" si="0"/>
        <v>-1.7395287722667518E-2</v>
      </c>
    </row>
    <row r="65" spans="4:7">
      <c r="D65">
        <v>65</v>
      </c>
      <c r="E65">
        <v>7.0286072338245562</v>
      </c>
      <c r="F65">
        <v>-1.0155279661754433</v>
      </c>
      <c r="G65">
        <f t="shared" si="0"/>
        <v>1.7608842532499835E-2</v>
      </c>
    </row>
    <row r="66" spans="4:7">
      <c r="D66">
        <v>66</v>
      </c>
      <c r="E66">
        <v>7.0084744597845763</v>
      </c>
      <c r="F66">
        <v>-1.0356607402154232</v>
      </c>
      <c r="G66">
        <f t="shared" si="0"/>
        <v>-2.0132774039979928E-2</v>
      </c>
    </row>
    <row r="67" spans="4:7">
      <c r="D67">
        <v>67</v>
      </c>
      <c r="E67">
        <v>7.0286191546754013</v>
      </c>
      <c r="F67">
        <v>-1.0155160453245982</v>
      </c>
      <c r="G67">
        <f t="shared" si="0"/>
        <v>2.0144694890825043E-2</v>
      </c>
    </row>
    <row r="68" spans="4:7">
      <c r="D68">
        <v>68</v>
      </c>
      <c r="E68">
        <v>7.0060431602916733</v>
      </c>
      <c r="F68">
        <v>-1.0380920397083262</v>
      </c>
      <c r="G68">
        <f t="shared" ref="G68:G100" si="1">E68-E67</f>
        <v>-2.2575994383728037E-2</v>
      </c>
    </row>
    <row r="69" spans="4:7">
      <c r="D69">
        <v>69</v>
      </c>
      <c r="E69">
        <v>7.0284476849995103</v>
      </c>
      <c r="F69">
        <v>-1.0156875150004891</v>
      </c>
      <c r="G69">
        <f t="shared" si="1"/>
        <v>2.2404524707837048E-2</v>
      </c>
    </row>
    <row r="70" spans="4:7">
      <c r="D70">
        <v>70</v>
      </c>
      <c r="E70">
        <v>7.0039220317139534</v>
      </c>
      <c r="F70">
        <v>-1.040213168286046</v>
      </c>
      <c r="G70">
        <f t="shared" si="1"/>
        <v>-2.4525653285556892E-2</v>
      </c>
    </row>
    <row r="71" spans="4:7">
      <c r="D71">
        <v>71</v>
      </c>
      <c r="E71">
        <v>7.0281151414938083</v>
      </c>
      <c r="F71">
        <v>-1.0160200585061911</v>
      </c>
      <c r="G71">
        <f t="shared" si="1"/>
        <v>2.4193109779854893E-2</v>
      </c>
    </row>
    <row r="72" spans="4:7">
      <c r="D72">
        <v>72</v>
      </c>
      <c r="E72">
        <v>7.0056404773326868</v>
      </c>
      <c r="F72">
        <v>-1.0384947226673127</v>
      </c>
      <c r="G72">
        <f t="shared" si="1"/>
        <v>-2.2474664161121538E-2</v>
      </c>
    </row>
    <row r="73" spans="4:7">
      <c r="D73">
        <v>73</v>
      </c>
      <c r="E73">
        <v>7.027641147745511</v>
      </c>
      <c r="F73">
        <v>-1.0164940522544885</v>
      </c>
      <c r="G73">
        <f t="shared" si="1"/>
        <v>2.2000670412824164E-2</v>
      </c>
    </row>
    <row r="74" spans="4:7">
      <c r="D74">
        <v>74</v>
      </c>
      <c r="E74">
        <v>7.0083051454552008</v>
      </c>
      <c r="F74">
        <v>-1.0358300545447987</v>
      </c>
      <c r="G74">
        <f t="shared" si="1"/>
        <v>-1.9336002290310184E-2</v>
      </c>
    </row>
    <row r="75" spans="4:7">
      <c r="D75">
        <v>75</v>
      </c>
      <c r="E75">
        <v>7.02704285024911</v>
      </c>
      <c r="F75">
        <v>-1.0170923497508895</v>
      </c>
      <c r="G75">
        <f t="shared" si="1"/>
        <v>1.8737704793909238E-2</v>
      </c>
    </row>
    <row r="76" spans="4:7">
      <c r="D76">
        <v>76</v>
      </c>
      <c r="E76">
        <v>7.0106681143335292</v>
      </c>
      <c r="F76">
        <v>-1.0334670856664703</v>
      </c>
      <c r="G76">
        <f t="shared" si="1"/>
        <v>-1.6374735915580807E-2</v>
      </c>
    </row>
    <row r="77" spans="4:7">
      <c r="D77">
        <v>77</v>
      </c>
      <c r="E77">
        <v>7.0263351579738833</v>
      </c>
      <c r="F77">
        <v>-1.0178000420261162</v>
      </c>
      <c r="G77">
        <f t="shared" si="1"/>
        <v>1.5667043640354095E-2</v>
      </c>
    </row>
    <row r="78" spans="4:7">
      <c r="D78">
        <v>78</v>
      </c>
      <c r="E78">
        <v>7.0127571703055596</v>
      </c>
      <c r="F78">
        <v>-1.0313780296944399</v>
      </c>
      <c r="G78">
        <f t="shared" si="1"/>
        <v>-1.3577987668323743E-2</v>
      </c>
    </row>
    <row r="79" spans="4:7">
      <c r="D79">
        <v>79</v>
      </c>
      <c r="E79">
        <v>7.0255312142991988</v>
      </c>
      <c r="F79">
        <v>-1.0186039857008007</v>
      </c>
      <c r="G79">
        <f t="shared" si="1"/>
        <v>1.2774043993639239E-2</v>
      </c>
    </row>
    <row r="80" spans="4:7">
      <c r="D80">
        <v>80</v>
      </c>
      <c r="E80">
        <v>7.0145971566858583</v>
      </c>
      <c r="F80">
        <v>-1.0295380433141412</v>
      </c>
      <c r="G80">
        <f t="shared" si="1"/>
        <v>-1.0934057613340542E-2</v>
      </c>
    </row>
    <row r="81" spans="4:7">
      <c r="D81">
        <v>81</v>
      </c>
      <c r="E81">
        <v>7.0246450608994326</v>
      </c>
      <c r="F81">
        <v>-1.0194901391005669</v>
      </c>
      <c r="G81">
        <f t="shared" si="1"/>
        <v>1.0047904213574377E-2</v>
      </c>
    </row>
    <row r="82" spans="4:7">
      <c r="D82">
        <v>82</v>
      </c>
      <c r="E82">
        <v>7.0162103753765495</v>
      </c>
      <c r="F82">
        <v>-1.02792482462345</v>
      </c>
      <c r="G82">
        <f t="shared" si="1"/>
        <v>-8.4346855228831785E-3</v>
      </c>
    </row>
    <row r="83" spans="4:7">
      <c r="D83">
        <v>83</v>
      </c>
      <c r="E83">
        <v>7.023690418240168</v>
      </c>
      <c r="F83">
        <v>-1.0204447817598314</v>
      </c>
      <c r="G83">
        <f t="shared" si="1"/>
        <v>7.4800428636185856E-3</v>
      </c>
    </row>
    <row r="84" spans="4:7">
      <c r="D84">
        <v>84</v>
      </c>
      <c r="E84">
        <v>7.01761688063654</v>
      </c>
      <c r="F84">
        <v>-1.0265183193634595</v>
      </c>
      <c r="G84">
        <f t="shared" si="1"/>
        <v>-6.0735376036280542E-3</v>
      </c>
    </row>
    <row r="85" spans="4:7">
      <c r="D85">
        <v>85</v>
      </c>
      <c r="E85">
        <v>7.0226702227095386</v>
      </c>
      <c r="F85">
        <v>-1.0214649772904609</v>
      </c>
      <c r="G85">
        <f t="shared" si="1"/>
        <v>5.0533420729985679E-3</v>
      </c>
    </row>
    <row r="86" spans="4:7">
      <c r="D86">
        <v>86</v>
      </c>
      <c r="E86">
        <v>7.0188348044277413</v>
      </c>
      <c r="F86">
        <v>-1.0253003955722582</v>
      </c>
      <c r="G86">
        <f t="shared" si="1"/>
        <v>-3.8354182817972315E-3</v>
      </c>
    </row>
    <row r="87" spans="4:7">
      <c r="D87">
        <v>87</v>
      </c>
      <c r="E87">
        <v>7.0216000558300982</v>
      </c>
      <c r="F87">
        <v>-1.0225351441699013</v>
      </c>
      <c r="G87">
        <f t="shared" si="1"/>
        <v>2.7652514023568386E-3</v>
      </c>
    </row>
    <row r="88" spans="4:7">
      <c r="D88">
        <v>88</v>
      </c>
      <c r="E88">
        <v>7.0198804080008745</v>
      </c>
      <c r="F88">
        <v>-1.0242547919991249</v>
      </c>
      <c r="G88">
        <f t="shared" si="1"/>
        <v>-1.719647829223625E-3</v>
      </c>
    </row>
    <row r="89" spans="4:7">
      <c r="D89">
        <v>89</v>
      </c>
      <c r="E89">
        <v>7.0204940926601038</v>
      </c>
      <c r="F89">
        <v>-1.0236411073398957</v>
      </c>
      <c r="G89">
        <f t="shared" si="1"/>
        <v>6.136846592292855E-4</v>
      </c>
    </row>
    <row r="90" spans="4:7">
      <c r="D90">
        <v>90</v>
      </c>
      <c r="E90">
        <v>7.0207682608709181</v>
      </c>
      <c r="F90">
        <v>-1.0233669391290814</v>
      </c>
      <c r="G90">
        <f t="shared" si="1"/>
        <v>2.74168210814274E-4</v>
      </c>
    </row>
    <row r="91" spans="4:7">
      <c r="D91">
        <v>91</v>
      </c>
      <c r="E91">
        <v>7.0193448593924312</v>
      </c>
      <c r="F91">
        <v>-1.0247903406075682</v>
      </c>
      <c r="G91">
        <f t="shared" si="1"/>
        <v>-1.4234014784868521E-3</v>
      </c>
    </row>
    <row r="92" spans="4:7">
      <c r="D92">
        <v>92</v>
      </c>
      <c r="E92">
        <v>7.0215125552302684</v>
      </c>
      <c r="F92">
        <v>-1.0226226447697311</v>
      </c>
      <c r="G92">
        <f t="shared" si="1"/>
        <v>2.167695837837158E-3</v>
      </c>
    </row>
    <row r="93" spans="4:7">
      <c r="D93">
        <v>93</v>
      </c>
      <c r="E93">
        <v>7.0181627223137601</v>
      </c>
      <c r="F93">
        <v>-1.0259724776862393</v>
      </c>
      <c r="G93">
        <f t="shared" si="1"/>
        <v>-3.3498329165082552E-3</v>
      </c>
    </row>
    <row r="94" spans="4:7">
      <c r="D94">
        <v>94</v>
      </c>
      <c r="E94">
        <v>7.022125899736289</v>
      </c>
      <c r="F94">
        <v>-1.0220093002637105</v>
      </c>
      <c r="G94">
        <f t="shared" si="1"/>
        <v>3.9631774225288297E-3</v>
      </c>
    </row>
    <row r="95" spans="4:7">
      <c r="D95">
        <v>95</v>
      </c>
      <c r="E95">
        <v>7.0169515355622272</v>
      </c>
      <c r="F95">
        <v>-1.0271836644377723</v>
      </c>
      <c r="G95">
        <f t="shared" si="1"/>
        <v>-5.1743641740618074E-3</v>
      </c>
    </row>
    <row r="96" spans="4:7">
      <c r="D96">
        <v>96</v>
      </c>
      <c r="E96">
        <v>7.0226188532254907</v>
      </c>
      <c r="F96">
        <v>-1.0215163467745088</v>
      </c>
      <c r="G96">
        <f t="shared" si="1"/>
        <v>5.6673176632635602E-3</v>
      </c>
    </row>
    <row r="97" spans="4:7">
      <c r="D97">
        <v>97</v>
      </c>
      <c r="E97">
        <v>7.015722112150109</v>
      </c>
      <c r="F97">
        <v>-1.0284130878498905</v>
      </c>
      <c r="G97">
        <f t="shared" si="1"/>
        <v>-6.8967410753817404E-3</v>
      </c>
    </row>
    <row r="98" spans="4:7">
      <c r="D98">
        <v>98</v>
      </c>
      <c r="E98">
        <v>7.0230001124325643</v>
      </c>
      <c r="F98">
        <v>-1.0211350875674352</v>
      </c>
      <c r="G98">
        <f t="shared" si="1"/>
        <v>7.2780002824552881E-3</v>
      </c>
    </row>
    <row r="99" spans="4:7">
      <c r="D99">
        <v>99</v>
      </c>
      <c r="E99">
        <v>7.0144683791281697</v>
      </c>
      <c r="F99">
        <v>-1.0296668208718298</v>
      </c>
      <c r="G99">
        <f t="shared" si="1"/>
        <v>-8.5317333043946064E-3</v>
      </c>
    </row>
    <row r="100" spans="4:7">
      <c r="D100">
        <v>100</v>
      </c>
      <c r="E100">
        <v>7.0232787162859891</v>
      </c>
      <c r="F100">
        <v>-1.0208564837140104</v>
      </c>
      <c r="G100">
        <f t="shared" si="1"/>
        <v>8.8103371578194256E-3</v>
      </c>
    </row>
  </sheetData>
  <mergeCells count="1">
    <mergeCell ref="A12:C16"/>
  </mergeCells>
  <pageMargins left="0.75" right="0.75" top="1" bottom="1" header="0.3" footer="0.3"/>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100"/>
  <sheetViews>
    <sheetView workbookViewId="0">
      <selection activeCell="A12" sqref="A12:C16"/>
    </sheetView>
  </sheetViews>
  <sheetFormatPr baseColWidth="10" defaultRowHeight="13"/>
  <cols>
    <col min="1" max="1" width="11.83203125" bestFit="1" customWidth="1"/>
    <col min="5" max="5" width="15.33203125" bestFit="1" customWidth="1"/>
    <col min="6" max="6" width="39.1640625" bestFit="1" customWidth="1"/>
    <col min="7" max="7" width="21.6640625" bestFit="1" customWidth="1"/>
  </cols>
  <sheetData>
    <row r="1" spans="1:7" ht="14">
      <c r="A1" s="5" t="s">
        <v>14</v>
      </c>
      <c r="B1" s="2"/>
      <c r="D1" s="5" t="s">
        <v>5</v>
      </c>
      <c r="E1" s="5" t="s">
        <v>59</v>
      </c>
      <c r="F1" s="5" t="s">
        <v>61</v>
      </c>
      <c r="G1" s="5" t="s">
        <v>62</v>
      </c>
    </row>
    <row r="2" spans="1:7" ht="14">
      <c r="A2" s="2" t="s">
        <v>0</v>
      </c>
      <c r="B2" s="2">
        <v>40</v>
      </c>
      <c r="D2">
        <v>2</v>
      </c>
      <c r="E2">
        <v>7.3498463028627175</v>
      </c>
      <c r="F2">
        <v>-0.69428889713728204</v>
      </c>
    </row>
    <row r="3" spans="1:7" ht="14">
      <c r="A3" s="2" t="s">
        <v>9</v>
      </c>
      <c r="B3" s="2">
        <v>45</v>
      </c>
      <c r="D3">
        <v>3</v>
      </c>
      <c r="E3">
        <v>6.8931927224625493</v>
      </c>
      <c r="F3">
        <v>-1.1509424775374502</v>
      </c>
      <c r="G3">
        <f>E3-E2</f>
        <v>-0.45665358040016812</v>
      </c>
    </row>
    <row r="4" spans="1:7" ht="14">
      <c r="A4" s="2" t="s">
        <v>3</v>
      </c>
      <c r="B4" s="2">
        <v>0.35</v>
      </c>
      <c r="D4">
        <v>4</v>
      </c>
      <c r="E4">
        <v>7.248456602760335</v>
      </c>
      <c r="F4">
        <v>-0.7956785972396645</v>
      </c>
      <c r="G4">
        <f t="shared" ref="G4:G67" si="0">E4-E3</f>
        <v>0.35526388029778566</v>
      </c>
    </row>
    <row r="5" spans="1:7" ht="14">
      <c r="A5" s="2" t="s">
        <v>4</v>
      </c>
      <c r="B5" s="2">
        <v>0.01</v>
      </c>
      <c r="D5">
        <v>5</v>
      </c>
      <c r="E5">
        <v>6.8940456534998082</v>
      </c>
      <c r="F5">
        <v>-1.1500895465001912</v>
      </c>
      <c r="G5">
        <f t="shared" si="0"/>
        <v>-0.35441094926052674</v>
      </c>
    </row>
    <row r="6" spans="1:7" ht="14">
      <c r="A6" s="2" t="s">
        <v>1</v>
      </c>
      <c r="B6" s="2">
        <v>0.5</v>
      </c>
      <c r="D6">
        <v>6</v>
      </c>
      <c r="E6">
        <v>7.1666225056100172</v>
      </c>
      <c r="F6">
        <v>-0.87751269438998225</v>
      </c>
      <c r="G6">
        <f t="shared" si="0"/>
        <v>0.27257685211020899</v>
      </c>
    </row>
    <row r="7" spans="1:7" ht="14">
      <c r="A7" s="2" t="s">
        <v>2</v>
      </c>
      <c r="B7" s="2">
        <v>0</v>
      </c>
      <c r="D7">
        <v>7</v>
      </c>
      <c r="E7">
        <v>7.0065972514447825</v>
      </c>
      <c r="F7">
        <v>-1.037537948555217</v>
      </c>
      <c r="G7">
        <f t="shared" si="0"/>
        <v>-0.16002525416523472</v>
      </c>
    </row>
    <row r="8" spans="1:7" ht="14">
      <c r="A8" s="2"/>
      <c r="B8" s="2"/>
      <c r="D8">
        <v>8</v>
      </c>
      <c r="E8">
        <v>7.1064432181662838</v>
      </c>
      <c r="F8">
        <v>-0.93769198183371572</v>
      </c>
      <c r="G8">
        <f t="shared" si="0"/>
        <v>9.9845966721501256E-2</v>
      </c>
    </row>
    <row r="9" spans="1:7" ht="14">
      <c r="A9" s="2"/>
      <c r="B9" s="2"/>
      <c r="D9">
        <v>9</v>
      </c>
      <c r="E9">
        <v>7.051771675444944</v>
      </c>
      <c r="F9">
        <v>-0.9923635245550555</v>
      </c>
      <c r="G9">
        <f t="shared" si="0"/>
        <v>-5.4671542721339783E-2</v>
      </c>
    </row>
    <row r="10" spans="1:7" ht="14">
      <c r="A10" s="3" t="s">
        <v>60</v>
      </c>
      <c r="B10" s="2">
        <v>8.0441351999999995</v>
      </c>
      <c r="D10">
        <v>10</v>
      </c>
      <c r="E10">
        <v>7.0619313975834439</v>
      </c>
      <c r="F10">
        <v>-0.98220380241655558</v>
      </c>
      <c r="G10">
        <f t="shared" si="0"/>
        <v>1.0159722138499916E-2</v>
      </c>
    </row>
    <row r="11" spans="1:7">
      <c r="D11">
        <v>11</v>
      </c>
      <c r="E11">
        <v>7.0699441628371336</v>
      </c>
      <c r="F11">
        <v>-0.97419103716286592</v>
      </c>
      <c r="G11">
        <f t="shared" si="0"/>
        <v>8.0127652536896576E-3</v>
      </c>
    </row>
    <row r="12" spans="1:7">
      <c r="A12" s="13" t="s">
        <v>63</v>
      </c>
      <c r="B12" s="13"/>
      <c r="C12" s="13"/>
      <c r="D12">
        <v>12</v>
      </c>
      <c r="E12">
        <v>7.0275502900483939</v>
      </c>
      <c r="F12">
        <v>-1.0165849099516056</v>
      </c>
      <c r="G12">
        <f t="shared" si="0"/>
        <v>-4.2393872788739628E-2</v>
      </c>
    </row>
    <row r="13" spans="1:7">
      <c r="A13" s="13"/>
      <c r="B13" s="13"/>
      <c r="C13" s="13"/>
      <c r="D13">
        <v>13</v>
      </c>
      <c r="E13">
        <v>7.0754555983464558</v>
      </c>
      <c r="F13">
        <v>-0.96867960165354372</v>
      </c>
      <c r="G13">
        <f t="shared" si="0"/>
        <v>4.7905308298061833E-2</v>
      </c>
    </row>
    <row r="14" spans="1:7">
      <c r="A14" s="13"/>
      <c r="B14" s="13"/>
      <c r="C14" s="13"/>
      <c r="D14">
        <v>14</v>
      </c>
      <c r="E14">
        <v>7.0004533618407949</v>
      </c>
      <c r="F14">
        <v>-1.0436818381592046</v>
      </c>
      <c r="G14">
        <f t="shared" si="0"/>
        <v>-7.5002236505660846E-2</v>
      </c>
    </row>
    <row r="15" spans="1:7">
      <c r="A15" s="13"/>
      <c r="B15" s="13"/>
      <c r="C15" s="13"/>
      <c r="D15">
        <v>15</v>
      </c>
      <c r="E15">
        <v>7.0745301039186872</v>
      </c>
      <c r="F15">
        <v>-0.96960509608131229</v>
      </c>
      <c r="G15">
        <f t="shared" si="0"/>
        <v>7.4076742077892277E-2</v>
      </c>
    </row>
    <row r="16" spans="1:7">
      <c r="A16" s="13"/>
      <c r="B16" s="13"/>
      <c r="C16" s="13"/>
      <c r="D16">
        <v>16</v>
      </c>
      <c r="E16">
        <v>6.9794471647600291</v>
      </c>
      <c r="F16">
        <v>-1.0646880352399704</v>
      </c>
      <c r="G16">
        <f t="shared" si="0"/>
        <v>-9.5082939158658064E-2</v>
      </c>
    </row>
    <row r="17" spans="4:7">
      <c r="D17">
        <v>17</v>
      </c>
      <c r="E17">
        <v>7.0701884413742127</v>
      </c>
      <c r="F17">
        <v>-0.97394675862578683</v>
      </c>
      <c r="G17">
        <f t="shared" si="0"/>
        <v>9.0741276614183519E-2</v>
      </c>
    </row>
    <row r="18" spans="4:7">
      <c r="D18">
        <v>18</v>
      </c>
      <c r="E18">
        <v>6.9743606404003051</v>
      </c>
      <c r="F18">
        <v>-1.0697745595996944</v>
      </c>
      <c r="G18">
        <f t="shared" si="0"/>
        <v>-9.5827800973907529E-2</v>
      </c>
    </row>
    <row r="19" spans="4:7">
      <c r="D19">
        <v>19</v>
      </c>
      <c r="E19">
        <v>7.0640667552871381</v>
      </c>
      <c r="F19">
        <v>-0.98006844471286136</v>
      </c>
      <c r="G19">
        <f t="shared" si="0"/>
        <v>8.9706114886832999E-2</v>
      </c>
    </row>
    <row r="20" spans="4:7">
      <c r="D20">
        <v>20</v>
      </c>
      <c r="E20">
        <v>6.995331802856227</v>
      </c>
      <c r="F20">
        <v>-1.0488033971437725</v>
      </c>
      <c r="G20">
        <f t="shared" si="0"/>
        <v>-6.87349524309111E-2</v>
      </c>
    </row>
    <row r="21" spans="4:7">
      <c r="D21">
        <v>21</v>
      </c>
      <c r="E21">
        <v>7.0569717857494911</v>
      </c>
      <c r="F21">
        <v>-0.98716341425050835</v>
      </c>
      <c r="G21">
        <f t="shared" si="0"/>
        <v>6.1639982893264111E-2</v>
      </c>
    </row>
    <row r="22" spans="4:7">
      <c r="D22">
        <v>22</v>
      </c>
      <c r="E22">
        <v>7.010296556711892</v>
      </c>
      <c r="F22">
        <v>-1.0338386432881075</v>
      </c>
      <c r="G22">
        <f t="shared" si="0"/>
        <v>-4.6675229037599131E-2</v>
      </c>
    </row>
    <row r="23" spans="4:7">
      <c r="D23">
        <v>23</v>
      </c>
      <c r="E23">
        <v>7.0494639230458267</v>
      </c>
      <c r="F23">
        <v>-0.99467127695417279</v>
      </c>
      <c r="G23">
        <f t="shared" si="0"/>
        <v>3.9167366333934694E-2</v>
      </c>
    </row>
    <row r="24" spans="4:7">
      <c r="D24">
        <v>24</v>
      </c>
      <c r="E24">
        <v>7.020966070150882</v>
      </c>
      <c r="F24">
        <v>-1.0231691298491175</v>
      </c>
      <c r="G24">
        <f t="shared" si="0"/>
        <v>-2.8497852894944664E-2</v>
      </c>
    </row>
    <row r="25" spans="4:7">
      <c r="D25">
        <v>25</v>
      </c>
      <c r="E25">
        <v>7.0418494209417046</v>
      </c>
      <c r="F25">
        <v>-1.0022857790582949</v>
      </c>
      <c r="G25">
        <f t="shared" si="0"/>
        <v>2.0883350790822597E-2</v>
      </c>
    </row>
    <row r="26" spans="4:7">
      <c r="D26">
        <v>26</v>
      </c>
      <c r="E26">
        <v>7.0284744929599148</v>
      </c>
      <c r="F26">
        <v>-1.0156607070400847</v>
      </c>
      <c r="G26">
        <f t="shared" si="0"/>
        <v>-1.3374927981789853E-2</v>
      </c>
    </row>
    <row r="27" spans="4:7">
      <c r="D27">
        <v>27</v>
      </c>
      <c r="E27">
        <v>7.0342908726836146</v>
      </c>
      <c r="F27">
        <v>-1.0098443273163848</v>
      </c>
      <c r="G27">
        <f t="shared" si="0"/>
        <v>5.8163797236998604E-3</v>
      </c>
    </row>
    <row r="28" spans="4:7">
      <c r="D28">
        <v>28</v>
      </c>
      <c r="E28">
        <v>7.0336096382003381</v>
      </c>
      <c r="F28">
        <v>-1.0105255617996614</v>
      </c>
      <c r="G28">
        <f t="shared" si="0"/>
        <v>-6.8123448327650493E-4</v>
      </c>
    </row>
    <row r="29" spans="4:7">
      <c r="D29">
        <v>29</v>
      </c>
      <c r="E29">
        <v>7.0270064696463894</v>
      </c>
      <c r="F29">
        <v>-1.0171287303536101</v>
      </c>
      <c r="G29">
        <f t="shared" si="0"/>
        <v>-6.6031685539487128E-3</v>
      </c>
    </row>
    <row r="30" spans="4:7">
      <c r="D30">
        <v>30</v>
      </c>
      <c r="E30">
        <v>7.0369549753537743</v>
      </c>
      <c r="F30">
        <v>-1.0071802246462251</v>
      </c>
      <c r="G30">
        <f t="shared" si="0"/>
        <v>9.9485057073849248E-3</v>
      </c>
    </row>
    <row r="31" spans="4:7">
      <c r="D31">
        <v>31</v>
      </c>
      <c r="E31">
        <v>7.019978000335974</v>
      </c>
      <c r="F31">
        <v>-1.0241571996640255</v>
      </c>
      <c r="G31">
        <f t="shared" si="0"/>
        <v>-1.6976975017800378E-2</v>
      </c>
    </row>
    <row r="32" spans="4:7">
      <c r="D32">
        <v>32</v>
      </c>
      <c r="E32">
        <v>7.0389301962003161</v>
      </c>
      <c r="F32">
        <v>-1.0052050037996834</v>
      </c>
      <c r="G32">
        <f t="shared" si="0"/>
        <v>1.8952195864342158E-2</v>
      </c>
    </row>
    <row r="33" spans="4:7">
      <c r="D33">
        <v>33</v>
      </c>
      <c r="E33">
        <v>7.0132401123662298</v>
      </c>
      <c r="F33">
        <v>-1.0308950876337697</v>
      </c>
      <c r="G33">
        <f t="shared" si="0"/>
        <v>-2.569008383408633E-2</v>
      </c>
    </row>
    <row r="34" spans="4:7">
      <c r="D34">
        <v>34</v>
      </c>
      <c r="E34">
        <v>7.0398419869525624</v>
      </c>
      <c r="F34">
        <v>-1.0042932130474371</v>
      </c>
      <c r="G34">
        <f t="shared" si="0"/>
        <v>2.6601874586332563E-2</v>
      </c>
    </row>
    <row r="35" spans="4:7">
      <c r="D35">
        <v>35</v>
      </c>
      <c r="E35">
        <v>7.0068619295650532</v>
      </c>
      <c r="F35">
        <v>-1.0372732704349463</v>
      </c>
      <c r="G35">
        <f t="shared" si="0"/>
        <v>-3.2980057387509198E-2</v>
      </c>
    </row>
    <row r="36" spans="4:7">
      <c r="D36">
        <v>36</v>
      </c>
      <c r="E36">
        <v>7.0399287777499406</v>
      </c>
      <c r="F36">
        <v>-1.0042064222500588</v>
      </c>
      <c r="G36">
        <f t="shared" si="0"/>
        <v>3.3066848184887476E-2</v>
      </c>
    </row>
    <row r="37" spans="4:7">
      <c r="D37">
        <v>37</v>
      </c>
      <c r="E37">
        <v>7.0007879942035096</v>
      </c>
      <c r="F37">
        <v>-1.0433472057964899</v>
      </c>
      <c r="G37">
        <f t="shared" si="0"/>
        <v>-3.9140783546431024E-2</v>
      </c>
    </row>
    <row r="38" spans="4:7">
      <c r="D38">
        <v>38</v>
      </c>
      <c r="E38">
        <v>7.0393782900864483</v>
      </c>
      <c r="F38">
        <v>-1.0047569099135512</v>
      </c>
      <c r="G38">
        <f t="shared" si="0"/>
        <v>3.8590295882938719E-2</v>
      </c>
    </row>
    <row r="39" spans="4:7">
      <c r="D39">
        <v>39</v>
      </c>
      <c r="E39">
        <v>6.9956510326823418</v>
      </c>
      <c r="F39">
        <v>-1.0484841673176577</v>
      </c>
      <c r="G39">
        <f t="shared" si="0"/>
        <v>-4.3727257404106545E-2</v>
      </c>
    </row>
    <row r="40" spans="4:7">
      <c r="D40">
        <v>40</v>
      </c>
      <c r="E40">
        <v>7.0383296179240755</v>
      </c>
      <c r="F40">
        <v>-1.005805582075924</v>
      </c>
      <c r="G40">
        <f t="shared" si="0"/>
        <v>4.2678585241733735E-2</v>
      </c>
    </row>
    <row r="41" spans="4:7">
      <c r="D41">
        <v>41</v>
      </c>
      <c r="E41">
        <v>6.9992831061569616</v>
      </c>
      <c r="F41">
        <v>-1.0448520938430379</v>
      </c>
      <c r="G41">
        <f t="shared" si="0"/>
        <v>-3.9046511767113934E-2</v>
      </c>
    </row>
    <row r="42" spans="4:7">
      <c r="D42">
        <v>42</v>
      </c>
      <c r="E42">
        <v>7.0368824289372451</v>
      </c>
      <c r="F42">
        <v>-1.0072527710627543</v>
      </c>
      <c r="G42">
        <f t="shared" si="0"/>
        <v>3.7599322780283551E-2</v>
      </c>
    </row>
    <row r="43" spans="4:7">
      <c r="D43">
        <v>43</v>
      </c>
      <c r="E43">
        <v>7.0053388775474792</v>
      </c>
      <c r="F43">
        <v>-1.0387963224525203</v>
      </c>
      <c r="G43">
        <f t="shared" si="0"/>
        <v>-3.1543551389765945E-2</v>
      </c>
    </row>
    <row r="44" spans="4:7">
      <c r="D44">
        <v>44</v>
      </c>
      <c r="E44">
        <v>7.0351227883326164</v>
      </c>
      <c r="F44">
        <v>-1.0090124116673831</v>
      </c>
      <c r="G44">
        <f t="shared" si="0"/>
        <v>2.9783910785137202E-2</v>
      </c>
    </row>
    <row r="45" spans="4:7">
      <c r="D45">
        <v>45</v>
      </c>
      <c r="E45">
        <v>7.0103776098700727</v>
      </c>
      <c r="F45">
        <v>-1.0337575901299267</v>
      </c>
      <c r="G45">
        <f t="shared" si="0"/>
        <v>-2.4745178462543649E-2</v>
      </c>
    </row>
    <row r="46" spans="4:7">
      <c r="D46">
        <v>46</v>
      </c>
      <c r="E46">
        <v>7.0331527213117937</v>
      </c>
      <c r="F46">
        <v>-1.0109824786882058</v>
      </c>
      <c r="G46">
        <f t="shared" si="0"/>
        <v>2.2775111441720952E-2</v>
      </c>
    </row>
    <row r="47" spans="4:7">
      <c r="D47">
        <v>47</v>
      </c>
      <c r="E47">
        <v>7.0145514032920691</v>
      </c>
      <c r="F47">
        <v>-1.0295837967079304</v>
      </c>
      <c r="G47">
        <f t="shared" si="0"/>
        <v>-1.8601318019724644E-2</v>
      </c>
    </row>
    <row r="48" spans="4:7">
      <c r="D48">
        <v>48</v>
      </c>
      <c r="E48">
        <v>7.0310060841266644</v>
      </c>
      <c r="F48">
        <v>-1.0131291158733351</v>
      </c>
      <c r="G48">
        <f t="shared" si="0"/>
        <v>1.6454680834595337E-2</v>
      </c>
    </row>
    <row r="49" spans="4:7">
      <c r="D49">
        <v>49</v>
      </c>
      <c r="E49">
        <v>7.017985022044523</v>
      </c>
      <c r="F49">
        <v>-1.0261501779554765</v>
      </c>
      <c r="G49">
        <f t="shared" si="0"/>
        <v>-1.3021062082141377E-2</v>
      </c>
    </row>
    <row r="50" spans="4:7" s="11" customFormat="1">
      <c r="D50" s="11">
        <v>50</v>
      </c>
      <c r="E50" s="11">
        <v>7.0287247817116656</v>
      </c>
      <c r="F50" s="11">
        <v>-1.0154104182883339</v>
      </c>
      <c r="G50" s="11">
        <f t="shared" si="0"/>
        <v>1.0739759667142579E-2</v>
      </c>
    </row>
    <row r="51" spans="4:7" s="11" customFormat="1">
      <c r="D51" s="11">
        <v>51</v>
      </c>
      <c r="E51" s="11">
        <v>7.0207831319949241</v>
      </c>
      <c r="F51" s="11">
        <v>-1.0233520680050754</v>
      </c>
      <c r="G51" s="11">
        <f t="shared" si="0"/>
        <v>-7.9416497167414946E-3</v>
      </c>
    </row>
    <row r="52" spans="4:7">
      <c r="D52">
        <v>52</v>
      </c>
      <c r="E52">
        <v>7.0263442445531057</v>
      </c>
      <c r="F52">
        <v>-1.0177909554468938</v>
      </c>
      <c r="G52">
        <f t="shared" si="0"/>
        <v>5.5611125581815912E-3</v>
      </c>
    </row>
    <row r="53" spans="4:7">
      <c r="D53">
        <v>53</v>
      </c>
      <c r="E53">
        <v>7.0230341961830147</v>
      </c>
      <c r="F53">
        <v>-1.0211010038169848</v>
      </c>
      <c r="G53">
        <f t="shared" si="0"/>
        <v>-3.3100483700909678E-3</v>
      </c>
    </row>
    <row r="54" spans="4:7">
      <c r="D54">
        <v>54</v>
      </c>
      <c r="E54">
        <v>7.0238726740172899</v>
      </c>
      <c r="F54">
        <v>-1.0202625259827096</v>
      </c>
      <c r="G54">
        <f t="shared" si="0"/>
        <v>8.384778342751531E-4</v>
      </c>
    </row>
    <row r="55" spans="4:7">
      <c r="D55">
        <v>55</v>
      </c>
      <c r="E55">
        <v>7.0248195003817786</v>
      </c>
      <c r="F55">
        <v>-1.0193156996182209</v>
      </c>
      <c r="G55">
        <f t="shared" si="0"/>
        <v>9.468263644887287E-4</v>
      </c>
    </row>
    <row r="56" spans="4:7">
      <c r="D56">
        <v>56</v>
      </c>
      <c r="E56">
        <v>7.0213335106952925</v>
      </c>
      <c r="F56">
        <v>-1.0228016893047069</v>
      </c>
      <c r="G56">
        <f t="shared" si="0"/>
        <v>-3.4859896864860573E-3</v>
      </c>
    </row>
    <row r="57" spans="4:7">
      <c r="D57">
        <v>57</v>
      </c>
      <c r="E57">
        <v>7.026197402898628</v>
      </c>
      <c r="F57">
        <v>-1.0179377971013714</v>
      </c>
      <c r="G57">
        <f t="shared" si="0"/>
        <v>4.8638922033354959E-3</v>
      </c>
    </row>
    <row r="58" spans="4:7">
      <c r="D58">
        <v>58</v>
      </c>
      <c r="E58">
        <v>7.0187455605441125</v>
      </c>
      <c r="F58">
        <v>-1.025389639455887</v>
      </c>
      <c r="G58">
        <f t="shared" si="0"/>
        <v>-7.4518423545155699E-3</v>
      </c>
    </row>
    <row r="59" spans="4:7">
      <c r="D59">
        <v>59</v>
      </c>
      <c r="E59">
        <v>7.0272231047166311</v>
      </c>
      <c r="F59">
        <v>-1.0169120952833683</v>
      </c>
      <c r="G59">
        <f t="shared" si="0"/>
        <v>8.4775441725186695E-3</v>
      </c>
    </row>
    <row r="60" spans="4:7">
      <c r="D60">
        <v>60</v>
      </c>
      <c r="E60">
        <v>7.0161619680170011</v>
      </c>
      <c r="F60">
        <v>-1.0279732319829984</v>
      </c>
      <c r="G60">
        <f t="shared" si="0"/>
        <v>-1.1061136699630048E-2</v>
      </c>
    </row>
    <row r="61" spans="4:7">
      <c r="D61">
        <v>61</v>
      </c>
      <c r="E61">
        <v>7.0279425523292662</v>
      </c>
      <c r="F61">
        <v>-1.0161926476707333</v>
      </c>
      <c r="G61">
        <f t="shared" si="0"/>
        <v>1.1780584312265141E-2</v>
      </c>
    </row>
    <row r="62" spans="4:7">
      <c r="D62">
        <v>62</v>
      </c>
      <c r="E62">
        <v>7.0135866128618654</v>
      </c>
      <c r="F62">
        <v>-1.0305485871381341</v>
      </c>
      <c r="G62">
        <f t="shared" si="0"/>
        <v>-1.435593946740088E-2</v>
      </c>
    </row>
    <row r="63" spans="4:7">
      <c r="D63">
        <v>63</v>
      </c>
      <c r="E63">
        <v>7.0283936790147239</v>
      </c>
      <c r="F63">
        <v>-1.0157415209852756</v>
      </c>
      <c r="G63">
        <f t="shared" si="0"/>
        <v>1.4807066152858539E-2</v>
      </c>
    </row>
    <row r="64" spans="4:7">
      <c r="D64">
        <v>64</v>
      </c>
      <c r="E64">
        <v>7.0109983912920564</v>
      </c>
      <c r="F64">
        <v>-1.0331368087079431</v>
      </c>
      <c r="G64">
        <f t="shared" si="0"/>
        <v>-1.7395287722667518E-2</v>
      </c>
    </row>
    <row r="65" spans="4:7">
      <c r="D65">
        <v>65</v>
      </c>
      <c r="E65">
        <v>7.0286072338245562</v>
      </c>
      <c r="F65">
        <v>-1.0155279661754433</v>
      </c>
      <c r="G65">
        <f t="shared" si="0"/>
        <v>1.7608842532499835E-2</v>
      </c>
    </row>
    <row r="66" spans="4:7">
      <c r="D66">
        <v>66</v>
      </c>
      <c r="E66">
        <v>7.0084744597845763</v>
      </c>
      <c r="F66">
        <v>-1.0356607402154232</v>
      </c>
      <c r="G66">
        <f t="shared" si="0"/>
        <v>-2.0132774039979928E-2</v>
      </c>
    </row>
    <row r="67" spans="4:7">
      <c r="D67">
        <v>67</v>
      </c>
      <c r="E67">
        <v>7.0286191546754013</v>
      </c>
      <c r="F67">
        <v>-1.0155160453245982</v>
      </c>
      <c r="G67">
        <f t="shared" si="0"/>
        <v>2.0144694890825043E-2</v>
      </c>
    </row>
    <row r="68" spans="4:7">
      <c r="D68">
        <v>68</v>
      </c>
      <c r="E68">
        <v>7.0060431602916733</v>
      </c>
      <c r="F68">
        <v>-1.0380920397083262</v>
      </c>
      <c r="G68">
        <f t="shared" ref="G68:G100" si="1">E68-E67</f>
        <v>-2.2575994383728037E-2</v>
      </c>
    </row>
    <row r="69" spans="4:7">
      <c r="D69">
        <v>69</v>
      </c>
      <c r="E69">
        <v>7.0284476849995103</v>
      </c>
      <c r="F69">
        <v>-1.0156875150004891</v>
      </c>
      <c r="G69">
        <f t="shared" si="1"/>
        <v>2.2404524707837048E-2</v>
      </c>
    </row>
    <row r="70" spans="4:7">
      <c r="D70">
        <v>70</v>
      </c>
      <c r="E70">
        <v>7.0039220317139534</v>
      </c>
      <c r="F70">
        <v>-1.040213168286046</v>
      </c>
      <c r="G70">
        <f t="shared" si="1"/>
        <v>-2.4525653285556892E-2</v>
      </c>
    </row>
    <row r="71" spans="4:7">
      <c r="D71">
        <v>71</v>
      </c>
      <c r="E71">
        <v>7.0281151414938083</v>
      </c>
      <c r="F71">
        <v>-1.0160200585061911</v>
      </c>
      <c r="G71">
        <f t="shared" si="1"/>
        <v>2.4193109779854893E-2</v>
      </c>
    </row>
    <row r="72" spans="4:7">
      <c r="D72">
        <v>72</v>
      </c>
      <c r="E72">
        <v>7.0056404773326868</v>
      </c>
      <c r="F72">
        <v>-1.0384947226673127</v>
      </c>
      <c r="G72">
        <f t="shared" si="1"/>
        <v>-2.2474664161121538E-2</v>
      </c>
    </row>
    <row r="73" spans="4:7">
      <c r="D73">
        <v>73</v>
      </c>
      <c r="E73">
        <v>7.027641147745511</v>
      </c>
      <c r="F73">
        <v>-1.0164940522544885</v>
      </c>
      <c r="G73">
        <f t="shared" si="1"/>
        <v>2.2000670412824164E-2</v>
      </c>
    </row>
    <row r="74" spans="4:7">
      <c r="D74">
        <v>74</v>
      </c>
      <c r="E74">
        <v>7.0083051454552008</v>
      </c>
      <c r="F74">
        <v>-1.0358300545447987</v>
      </c>
      <c r="G74">
        <f t="shared" si="1"/>
        <v>-1.9336002290310184E-2</v>
      </c>
    </row>
    <row r="75" spans="4:7">
      <c r="D75">
        <v>75</v>
      </c>
      <c r="E75">
        <v>7.02704285024911</v>
      </c>
      <c r="F75">
        <v>-1.0170923497508895</v>
      </c>
      <c r="G75">
        <f t="shared" si="1"/>
        <v>1.8737704793909238E-2</v>
      </c>
    </row>
    <row r="76" spans="4:7">
      <c r="D76">
        <v>76</v>
      </c>
      <c r="E76">
        <v>7.0106681143335292</v>
      </c>
      <c r="F76">
        <v>-1.0334670856664703</v>
      </c>
      <c r="G76">
        <f t="shared" si="1"/>
        <v>-1.6374735915580807E-2</v>
      </c>
    </row>
    <row r="77" spans="4:7">
      <c r="D77">
        <v>77</v>
      </c>
      <c r="E77">
        <v>7.0263351579738833</v>
      </c>
      <c r="F77">
        <v>-1.0178000420261162</v>
      </c>
      <c r="G77">
        <f t="shared" si="1"/>
        <v>1.5667043640354095E-2</v>
      </c>
    </row>
    <row r="78" spans="4:7">
      <c r="D78">
        <v>78</v>
      </c>
      <c r="E78">
        <v>7.0127571703055596</v>
      </c>
      <c r="F78">
        <v>-1.0313780296944399</v>
      </c>
      <c r="G78">
        <f t="shared" si="1"/>
        <v>-1.3577987668323743E-2</v>
      </c>
    </row>
    <row r="79" spans="4:7">
      <c r="D79">
        <v>79</v>
      </c>
      <c r="E79">
        <v>7.0255312142991988</v>
      </c>
      <c r="F79">
        <v>-1.0186039857008007</v>
      </c>
      <c r="G79">
        <f t="shared" si="1"/>
        <v>1.2774043993639239E-2</v>
      </c>
    </row>
    <row r="80" spans="4:7">
      <c r="D80">
        <v>80</v>
      </c>
      <c r="E80">
        <v>7.0145971566858583</v>
      </c>
      <c r="F80">
        <v>-1.0295380433141412</v>
      </c>
      <c r="G80">
        <f t="shared" si="1"/>
        <v>-1.0934057613340542E-2</v>
      </c>
    </row>
    <row r="81" spans="4:7">
      <c r="D81">
        <v>81</v>
      </c>
      <c r="E81">
        <v>7.0246450608994326</v>
      </c>
      <c r="F81">
        <v>-1.0194901391005669</v>
      </c>
      <c r="G81">
        <f t="shared" si="1"/>
        <v>1.0047904213574377E-2</v>
      </c>
    </row>
    <row r="82" spans="4:7">
      <c r="D82">
        <v>82</v>
      </c>
      <c r="E82">
        <v>7.0162103753765495</v>
      </c>
      <c r="F82">
        <v>-1.02792482462345</v>
      </c>
      <c r="G82">
        <f t="shared" si="1"/>
        <v>-8.4346855228831785E-3</v>
      </c>
    </row>
    <row r="83" spans="4:7">
      <c r="D83">
        <v>83</v>
      </c>
      <c r="E83">
        <v>7.023690418240168</v>
      </c>
      <c r="F83">
        <v>-1.0204447817598314</v>
      </c>
      <c r="G83">
        <f t="shared" si="1"/>
        <v>7.4800428636185856E-3</v>
      </c>
    </row>
    <row r="84" spans="4:7">
      <c r="D84">
        <v>84</v>
      </c>
      <c r="E84">
        <v>7.01761688063654</v>
      </c>
      <c r="F84">
        <v>-1.0265183193634595</v>
      </c>
      <c r="G84">
        <f t="shared" si="1"/>
        <v>-6.0735376036280542E-3</v>
      </c>
    </row>
    <row r="85" spans="4:7">
      <c r="D85">
        <v>85</v>
      </c>
      <c r="E85">
        <v>7.0226702227095386</v>
      </c>
      <c r="F85">
        <v>-1.0214649772904609</v>
      </c>
      <c r="G85">
        <f t="shared" si="1"/>
        <v>5.0533420729985679E-3</v>
      </c>
    </row>
    <row r="86" spans="4:7">
      <c r="D86">
        <v>86</v>
      </c>
      <c r="E86">
        <v>7.0188348044277413</v>
      </c>
      <c r="F86">
        <v>-1.0253003955722582</v>
      </c>
      <c r="G86">
        <f t="shared" si="1"/>
        <v>-3.8354182817972315E-3</v>
      </c>
    </row>
    <row r="87" spans="4:7">
      <c r="D87">
        <v>87</v>
      </c>
      <c r="E87">
        <v>7.0216000558300982</v>
      </c>
      <c r="F87">
        <v>-1.0225351441699013</v>
      </c>
      <c r="G87">
        <f t="shared" si="1"/>
        <v>2.7652514023568386E-3</v>
      </c>
    </row>
    <row r="88" spans="4:7">
      <c r="D88">
        <v>88</v>
      </c>
      <c r="E88">
        <v>7.0198804080008745</v>
      </c>
      <c r="F88">
        <v>-1.0242547919991249</v>
      </c>
      <c r="G88">
        <f t="shared" si="1"/>
        <v>-1.719647829223625E-3</v>
      </c>
    </row>
    <row r="89" spans="4:7">
      <c r="D89">
        <v>89</v>
      </c>
      <c r="E89">
        <v>7.0204940926601038</v>
      </c>
      <c r="F89">
        <v>-1.0236411073398957</v>
      </c>
      <c r="G89">
        <f t="shared" si="1"/>
        <v>6.136846592292855E-4</v>
      </c>
    </row>
    <row r="90" spans="4:7">
      <c r="D90">
        <v>90</v>
      </c>
      <c r="E90">
        <v>7.0207682608709181</v>
      </c>
      <c r="F90">
        <v>-1.0233669391290814</v>
      </c>
      <c r="G90">
        <f t="shared" si="1"/>
        <v>2.74168210814274E-4</v>
      </c>
    </row>
    <row r="91" spans="4:7">
      <c r="D91">
        <v>91</v>
      </c>
      <c r="E91">
        <v>7.0193448593924312</v>
      </c>
      <c r="F91">
        <v>-1.0247903406075682</v>
      </c>
      <c r="G91">
        <f t="shared" si="1"/>
        <v>-1.4234014784868521E-3</v>
      </c>
    </row>
    <row r="92" spans="4:7">
      <c r="D92">
        <v>92</v>
      </c>
      <c r="E92">
        <v>7.0215125552302684</v>
      </c>
      <c r="F92">
        <v>-1.0226226447697311</v>
      </c>
      <c r="G92">
        <f t="shared" si="1"/>
        <v>2.167695837837158E-3</v>
      </c>
    </row>
    <row r="93" spans="4:7">
      <c r="D93">
        <v>93</v>
      </c>
      <c r="E93">
        <v>7.0181627223137601</v>
      </c>
      <c r="F93">
        <v>-1.0259724776862393</v>
      </c>
      <c r="G93">
        <f t="shared" si="1"/>
        <v>-3.3498329165082552E-3</v>
      </c>
    </row>
    <row r="94" spans="4:7">
      <c r="D94">
        <v>94</v>
      </c>
      <c r="E94">
        <v>7.022125899736289</v>
      </c>
      <c r="F94">
        <v>-1.0220093002637105</v>
      </c>
      <c r="G94">
        <f t="shared" si="1"/>
        <v>3.9631774225288297E-3</v>
      </c>
    </row>
    <row r="95" spans="4:7">
      <c r="D95">
        <v>95</v>
      </c>
      <c r="E95">
        <v>7.0169515355622272</v>
      </c>
      <c r="F95">
        <v>-1.0271836644377723</v>
      </c>
      <c r="G95">
        <f t="shared" si="1"/>
        <v>-5.1743641740618074E-3</v>
      </c>
    </row>
    <row r="96" spans="4:7">
      <c r="D96">
        <v>96</v>
      </c>
      <c r="E96">
        <v>7.0226188532254907</v>
      </c>
      <c r="F96">
        <v>-1.0215163467745088</v>
      </c>
      <c r="G96">
        <f t="shared" si="1"/>
        <v>5.6673176632635602E-3</v>
      </c>
    </row>
    <row r="97" spans="4:7">
      <c r="D97">
        <v>97</v>
      </c>
      <c r="E97">
        <v>7.015722112150109</v>
      </c>
      <c r="F97">
        <v>-1.0284130878498905</v>
      </c>
      <c r="G97">
        <f t="shared" si="1"/>
        <v>-6.8967410753817404E-3</v>
      </c>
    </row>
    <row r="98" spans="4:7">
      <c r="D98">
        <v>98</v>
      </c>
      <c r="E98">
        <v>7.0230001124325643</v>
      </c>
      <c r="F98">
        <v>-1.0211350875674352</v>
      </c>
      <c r="G98">
        <f t="shared" si="1"/>
        <v>7.2780002824552881E-3</v>
      </c>
    </row>
    <row r="99" spans="4:7">
      <c r="D99">
        <v>99</v>
      </c>
      <c r="E99">
        <v>7.0144683791281697</v>
      </c>
      <c r="F99">
        <v>-1.0296668208718298</v>
      </c>
      <c r="G99">
        <f t="shared" si="1"/>
        <v>-8.5317333043946064E-3</v>
      </c>
    </row>
    <row r="100" spans="4:7">
      <c r="D100">
        <v>100</v>
      </c>
      <c r="E100">
        <v>7.0232787162859891</v>
      </c>
      <c r="F100">
        <v>-1.0208564837140104</v>
      </c>
      <c r="G100">
        <f t="shared" si="1"/>
        <v>8.8103371578194256E-3</v>
      </c>
    </row>
  </sheetData>
  <mergeCells count="1">
    <mergeCell ref="A12:C16"/>
  </mergeCells>
  <pageMargins left="0.75" right="0.75" top="1" bottom="1" header="0.3" footer="0.3"/>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42"/>
  <sheetViews>
    <sheetView workbookViewId="0">
      <selection activeCell="F1" activeCellId="1" sqref="D1:D65536 F1:F65536"/>
    </sheetView>
  </sheetViews>
  <sheetFormatPr baseColWidth="10" defaultColWidth="8.83203125" defaultRowHeight="13"/>
  <cols>
    <col min="4" max="4" width="16.6640625" style="10" customWidth="1"/>
    <col min="5" max="6" width="9.1640625" style="10" customWidth="1"/>
  </cols>
  <sheetData>
    <row r="1" spans="1:6" ht="14">
      <c r="A1" s="5" t="s">
        <v>14</v>
      </c>
      <c r="B1" s="2"/>
      <c r="D1" s="9" t="s">
        <v>5</v>
      </c>
      <c r="E1" s="9" t="s">
        <v>12</v>
      </c>
      <c r="F1" s="9" t="s">
        <v>13</v>
      </c>
    </row>
    <row r="2" spans="1:6" ht="14">
      <c r="A2" s="2" t="s">
        <v>0</v>
      </c>
      <c r="B2" s="2">
        <v>50</v>
      </c>
      <c r="D2" s="10">
        <v>51</v>
      </c>
      <c r="E2" s="10">
        <v>8.7691344021942363</v>
      </c>
      <c r="F2" s="10">
        <v>1.2214385770068503E-3</v>
      </c>
    </row>
    <row r="3" spans="1:6" ht="14">
      <c r="A3" s="2" t="s">
        <v>9</v>
      </c>
      <c r="B3" s="2">
        <v>55</v>
      </c>
      <c r="D3" s="10">
        <v>101</v>
      </c>
      <c r="E3" s="10">
        <v>8.7685024170592172</v>
      </c>
      <c r="F3" s="10">
        <v>5.8945344198768623E-4</v>
      </c>
    </row>
    <row r="4" spans="1:6" ht="14">
      <c r="A4" s="2" t="s">
        <v>3</v>
      </c>
      <c r="B4" s="2">
        <v>0.3</v>
      </c>
      <c r="D4" s="10">
        <v>201</v>
      </c>
      <c r="E4" s="10">
        <v>8.7681903957093734</v>
      </c>
      <c r="F4" s="10">
        <v>2.774320921439255E-4</v>
      </c>
    </row>
    <row r="5" spans="1:6" ht="14">
      <c r="A5" s="2" t="s">
        <v>4</v>
      </c>
      <c r="B5" s="2">
        <v>0.01</v>
      </c>
      <c r="D5" s="10">
        <v>301</v>
      </c>
      <c r="E5" s="10">
        <v>8.7680707638739293</v>
      </c>
      <c r="F5" s="10">
        <v>1.5780025669975828E-4</v>
      </c>
    </row>
    <row r="6" spans="1:6" ht="14">
      <c r="A6" s="2" t="s">
        <v>1</v>
      </c>
      <c r="B6" s="2">
        <v>1</v>
      </c>
      <c r="D6" s="10">
        <v>401</v>
      </c>
      <c r="E6" s="10">
        <v>8.768015441567675</v>
      </c>
      <c r="F6" s="10">
        <v>1.024779504454898E-4</v>
      </c>
    </row>
    <row r="7" spans="1:6" ht="14">
      <c r="A7" s="2" t="s">
        <v>2</v>
      </c>
      <c r="B7" s="2">
        <v>0</v>
      </c>
      <c r="D7" s="10">
        <v>501</v>
      </c>
      <c r="E7" s="10">
        <v>8.7679851743420691</v>
      </c>
      <c r="F7" s="10">
        <v>7.2210724839649743E-5</v>
      </c>
    </row>
    <row r="8" spans="1:6" ht="14">
      <c r="A8" s="2" t="s">
        <v>19</v>
      </c>
      <c r="B8" s="2">
        <f>(LN('American BD Extrapolation'!B2/'American BD Extrapolation'!B3)+('American BD Extrapolation'!B5+'American BD Extrapolation'!B4^2/2)*'American BD Extrapolation'!B6)/('American BD Extrapolation'!B4*SQRT('American BD Extrapolation'!B6))</f>
        <v>-0.13436726601441631</v>
      </c>
      <c r="D8" s="10">
        <v>601</v>
      </c>
      <c r="E8" s="10">
        <v>8.7679646206146575</v>
      </c>
      <c r="F8" s="10">
        <v>5.1656997428040086E-5</v>
      </c>
    </row>
    <row r="9" spans="1:6" ht="14">
      <c r="A9" s="2" t="s">
        <v>20</v>
      </c>
      <c r="B9" s="2">
        <f>(LN('American BD Extrapolation'!B2/'American BD Extrapolation'!B3)+('American BD Extrapolation'!B5-'American BD Extrapolation'!B4^2/2)*'American BD Extrapolation'!B6)/('American BD Extrapolation'!B4*SQRT('American BD Extrapolation'!B6))</f>
        <v>-0.43436726601441628</v>
      </c>
      <c r="D9" s="10">
        <v>701</v>
      </c>
      <c r="E9" s="10">
        <v>8.7679475946681702</v>
      </c>
      <c r="F9" s="10">
        <v>3.463105094070329E-5</v>
      </c>
    </row>
    <row r="10" spans="1:6">
      <c r="D10" s="10">
        <v>801</v>
      </c>
      <c r="E10" s="10">
        <v>8.7679350629255666</v>
      </c>
      <c r="F10" s="10">
        <v>2.209930833707574E-5</v>
      </c>
    </row>
    <row r="11" spans="1:6">
      <c r="D11" s="10">
        <v>901</v>
      </c>
      <c r="E11" s="10">
        <v>8.767925218393275</v>
      </c>
      <c r="F11" s="10">
        <v>1.2254776045494964E-5</v>
      </c>
    </row>
    <row r="12" spans="1:6" ht="14">
      <c r="A12" s="3" t="s">
        <v>29</v>
      </c>
      <c r="B12" s="2">
        <f>8.76791296361723</f>
        <v>8.7679129636172295</v>
      </c>
      <c r="D12" s="10">
        <v>1001</v>
      </c>
      <c r="E12" s="10">
        <v>8.7679180067714046</v>
      </c>
      <c r="F12" s="10">
        <v>5.0431541751549958E-6</v>
      </c>
    </row>
    <row r="13" spans="1:6">
      <c r="D13" s="10">
        <v>1101</v>
      </c>
      <c r="E13" s="10">
        <v>8.7679122393786137</v>
      </c>
      <c r="F13" s="10">
        <v>-7.2423861574577586E-7</v>
      </c>
    </row>
    <row r="14" spans="1:6">
      <c r="D14" s="10">
        <v>1201</v>
      </c>
      <c r="E14" s="10">
        <v>8.7679070807455233</v>
      </c>
      <c r="F14" s="10">
        <v>-5.8828717062198166E-6</v>
      </c>
    </row>
    <row r="15" spans="1:6">
      <c r="D15" s="10">
        <v>1301</v>
      </c>
      <c r="E15" s="10">
        <v>8.7679025725214252</v>
      </c>
      <c r="F15" s="10">
        <v>-1.0391095804251904E-5</v>
      </c>
    </row>
    <row r="16" spans="1:6">
      <c r="D16" s="10">
        <v>1401</v>
      </c>
      <c r="E16" s="10">
        <v>8.7678989699694281</v>
      </c>
      <c r="F16" s="10">
        <v>-1.3993647801413545E-5</v>
      </c>
    </row>
    <row r="17" spans="4:6">
      <c r="D17" s="10">
        <v>1501</v>
      </c>
      <c r="E17" s="10">
        <v>8.7678960107070498</v>
      </c>
      <c r="F17" s="10">
        <v>-1.6952910179668379E-5</v>
      </c>
    </row>
    <row r="18" spans="4:6">
      <c r="D18" s="10">
        <v>1601</v>
      </c>
      <c r="E18" s="10">
        <v>8.7678930991136426</v>
      </c>
      <c r="F18" s="10">
        <v>-1.9864503586930482E-5</v>
      </c>
    </row>
    <row r="19" spans="4:6">
      <c r="D19" s="10">
        <v>1701</v>
      </c>
      <c r="E19" s="10">
        <v>8.7678906918687733</v>
      </c>
      <c r="F19" s="10">
        <v>-2.2271748456148543E-5</v>
      </c>
    </row>
    <row r="20" spans="4:6">
      <c r="D20" s="10">
        <v>1801</v>
      </c>
      <c r="E20" s="10">
        <v>8.7678883518675512</v>
      </c>
      <c r="F20" s="10">
        <v>-2.4611749678271622E-5</v>
      </c>
    </row>
    <row r="21" spans="4:6">
      <c r="D21" s="10">
        <v>1901</v>
      </c>
      <c r="E21" s="10">
        <v>8.7678862676148093</v>
      </c>
      <c r="F21" s="10">
        <v>-2.6696002420223408E-5</v>
      </c>
    </row>
    <row r="22" spans="4:6">
      <c r="D22" s="10">
        <v>2001</v>
      </c>
      <c r="E22" s="10">
        <v>8.7678845313670237</v>
      </c>
      <c r="F22" s="10">
        <v>-2.8432250205767673E-5</v>
      </c>
    </row>
    <row r="23" spans="4:6">
      <c r="D23" s="10">
        <v>2101</v>
      </c>
      <c r="E23" s="10">
        <v>8.7678828792941044</v>
      </c>
      <c r="F23" s="10">
        <v>-3.0084323125123547E-5</v>
      </c>
    </row>
    <row r="24" spans="4:6">
      <c r="D24" s="10">
        <v>2201</v>
      </c>
      <c r="E24" s="10">
        <v>8.767881327087844</v>
      </c>
      <c r="F24" s="10">
        <v>-3.163652938553696E-5</v>
      </c>
    </row>
    <row r="25" spans="4:6">
      <c r="D25" s="10">
        <v>2301</v>
      </c>
      <c r="E25" s="10">
        <v>8.7678799440230186</v>
      </c>
      <c r="F25" s="10">
        <v>-3.3019594210870196E-5</v>
      </c>
    </row>
    <row r="26" spans="4:6">
      <c r="D26" s="10">
        <v>2401</v>
      </c>
      <c r="E26" s="10">
        <v>8.7678786339952985</v>
      </c>
      <c r="F26" s="10">
        <v>-3.4329621930950793E-5</v>
      </c>
    </row>
    <row r="27" spans="4:6">
      <c r="D27" s="10">
        <v>2501</v>
      </c>
      <c r="E27" s="10">
        <v>8.7678774810993634</v>
      </c>
      <c r="F27" s="10">
        <v>-3.5482517866114449E-5</v>
      </c>
    </row>
    <row r="28" spans="4:6">
      <c r="D28" s="10">
        <v>2601</v>
      </c>
      <c r="E28" s="10">
        <v>8.7678764007682197</v>
      </c>
      <c r="F28" s="10">
        <v>-3.6562849009769138E-5</v>
      </c>
    </row>
    <row r="29" spans="4:6">
      <c r="D29" s="10">
        <v>2701</v>
      </c>
      <c r="E29" s="10">
        <v>8.7678753718226048</v>
      </c>
      <c r="F29" s="10">
        <v>-3.7591794624702857E-5</v>
      </c>
    </row>
    <row r="30" spans="4:6">
      <c r="D30" s="10">
        <v>2801</v>
      </c>
      <c r="E30" s="10">
        <v>8.7678745403684424</v>
      </c>
      <c r="F30" s="10">
        <v>-3.8423248787111675E-5</v>
      </c>
    </row>
    <row r="31" spans="4:6">
      <c r="D31" s="10">
        <v>2901</v>
      </c>
      <c r="E31" s="10">
        <v>8.7678737620866176</v>
      </c>
      <c r="F31" s="10">
        <v>-3.9201530611876478E-5</v>
      </c>
    </row>
    <row r="32" spans="4:6">
      <c r="D32" s="10">
        <v>3001</v>
      </c>
      <c r="E32" s="10">
        <v>8.767873023993241</v>
      </c>
      <c r="F32" s="10">
        <v>-3.993962398851636E-5</v>
      </c>
    </row>
    <row r="33" spans="4:6">
      <c r="D33" s="10">
        <v>3101</v>
      </c>
      <c r="E33" s="10">
        <v>8.76787232426061</v>
      </c>
      <c r="F33" s="10">
        <v>-4.0639356619465161E-5</v>
      </c>
    </row>
    <row r="34" spans="4:6">
      <c r="D34" s="10">
        <v>3201</v>
      </c>
      <c r="E34" s="10">
        <v>8.7678716541675907</v>
      </c>
      <c r="F34" s="10">
        <v>-4.1309449638760043E-5</v>
      </c>
    </row>
    <row r="35" spans="4:6">
      <c r="D35" s="10">
        <v>3301</v>
      </c>
      <c r="E35" s="10">
        <v>8.7678709843118803</v>
      </c>
      <c r="F35" s="10">
        <v>-4.1979305349215679E-5</v>
      </c>
    </row>
    <row r="36" spans="4:6">
      <c r="D36" s="10">
        <v>3401</v>
      </c>
      <c r="E36" s="10">
        <v>8.7678704097643827</v>
      </c>
      <c r="F36" s="10">
        <v>-4.2553852846793916E-5</v>
      </c>
    </row>
    <row r="37" spans="4:6">
      <c r="D37" s="10">
        <v>3501</v>
      </c>
      <c r="E37" s="10">
        <v>8.7678698388629162</v>
      </c>
      <c r="F37" s="10">
        <v>-4.3124754313339508E-5</v>
      </c>
    </row>
    <row r="38" spans="4:6">
      <c r="D38" s="10">
        <v>3601</v>
      </c>
      <c r="E38" s="10">
        <v>8.7678692484529535</v>
      </c>
      <c r="F38" s="10">
        <v>-4.3715164276036944E-5</v>
      </c>
    </row>
    <row r="39" spans="4:6">
      <c r="D39" s="10">
        <v>3701</v>
      </c>
      <c r="E39" s="10">
        <v>8.7678687220780578</v>
      </c>
      <c r="F39" s="10">
        <v>-4.42415391717077E-5</v>
      </c>
    </row>
    <row r="40" spans="4:6">
      <c r="D40" s="10">
        <v>3801</v>
      </c>
      <c r="E40" s="10">
        <v>8.7678682280031026</v>
      </c>
      <c r="F40" s="10">
        <v>-4.4735614126878431E-5</v>
      </c>
    </row>
    <row r="41" spans="4:6">
      <c r="D41" s="10">
        <v>3901</v>
      </c>
      <c r="E41" s="10">
        <v>8.7678677699697687</v>
      </c>
      <c r="F41" s="10">
        <v>-4.5193647460806119E-5</v>
      </c>
    </row>
    <row r="42" spans="4:6">
      <c r="D42" s="10">
        <v>4001</v>
      </c>
      <c r="E42" s="10">
        <v>8.7678673440089732</v>
      </c>
      <c r="F42" s="10">
        <v>-4.5619608256330935E-5</v>
      </c>
    </row>
  </sheetData>
  <phoneticPr fontId="5" type="noConversion"/>
  <pageMargins left="0.75" right="0.75" top="1" bottom="1"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42"/>
  <sheetViews>
    <sheetView workbookViewId="0">
      <selection activeCell="J3" sqref="J3"/>
    </sheetView>
  </sheetViews>
  <sheetFormatPr baseColWidth="10" defaultColWidth="8.83203125" defaultRowHeight="13"/>
  <sheetData>
    <row r="1" spans="1:6" ht="14">
      <c r="A1" s="5" t="s">
        <v>14</v>
      </c>
      <c r="B1" s="2"/>
      <c r="D1" s="5" t="s">
        <v>5</v>
      </c>
      <c r="E1" s="5" t="s">
        <v>17</v>
      </c>
      <c r="F1" s="5" t="s">
        <v>18</v>
      </c>
    </row>
    <row r="2" spans="1:6" ht="14">
      <c r="A2" s="2" t="s">
        <v>0</v>
      </c>
      <c r="B2" s="2">
        <v>50</v>
      </c>
      <c r="D2">
        <v>50</v>
      </c>
      <c r="E2">
        <v>8.7781327844926924</v>
      </c>
      <c r="F2">
        <v>1.0219820875462915E-2</v>
      </c>
    </row>
    <row r="3" spans="1:6" ht="14">
      <c r="A3" s="2" t="s">
        <v>9</v>
      </c>
      <c r="B3" s="2">
        <v>55</v>
      </c>
      <c r="D3">
        <v>100</v>
      </c>
      <c r="E3">
        <v>8.7732000775166625</v>
      </c>
      <c r="F3">
        <v>5.287113899433038E-3</v>
      </c>
    </row>
    <row r="4" spans="1:6" ht="14">
      <c r="A4" s="2" t="s">
        <v>3</v>
      </c>
      <c r="B4" s="2">
        <v>0.3</v>
      </c>
      <c r="D4">
        <v>200</v>
      </c>
      <c r="E4">
        <v>8.7706495603485557</v>
      </c>
      <c r="F4">
        <v>2.7365967313262018E-3</v>
      </c>
    </row>
    <row r="5" spans="1:6" ht="14">
      <c r="A5" s="2" t="s">
        <v>4</v>
      </c>
      <c r="B5" s="2">
        <v>0.01</v>
      </c>
      <c r="D5">
        <v>300</v>
      </c>
      <c r="E5">
        <v>8.7697680890928353</v>
      </c>
      <c r="F5">
        <v>1.8551254756058455E-3</v>
      </c>
    </row>
    <row r="6" spans="1:6" ht="14">
      <c r="A6" s="2" t="s">
        <v>1</v>
      </c>
      <c r="B6" s="2">
        <v>1</v>
      </c>
      <c r="D6">
        <v>400</v>
      </c>
      <c r="E6">
        <v>8.7693073945744118</v>
      </c>
      <c r="F6">
        <v>1.3944309571822799E-3</v>
      </c>
    </row>
    <row r="7" spans="1:6" ht="14">
      <c r="A7" s="2" t="s">
        <v>2</v>
      </c>
      <c r="B7" s="2">
        <v>0</v>
      </c>
      <c r="D7">
        <v>500</v>
      </c>
      <c r="E7">
        <v>8.7690046342219574</v>
      </c>
      <c r="F7">
        <v>1.0916706047279234E-3</v>
      </c>
    </row>
    <row r="8" spans="1:6">
      <c r="D8">
        <v>600</v>
      </c>
      <c r="E8">
        <v>8.7688505452300003</v>
      </c>
      <c r="F8">
        <v>9.3758161277079921E-4</v>
      </c>
    </row>
    <row r="9" spans="1:6">
      <c r="D9">
        <v>700</v>
      </c>
      <c r="E9">
        <v>8.7687000928673555</v>
      </c>
      <c r="F9">
        <v>7.8712925012602852E-4</v>
      </c>
    </row>
    <row r="10" spans="1:6" ht="14">
      <c r="A10" s="3" t="s">
        <v>29</v>
      </c>
      <c r="B10" s="2">
        <f>8.76791296361723</f>
        <v>8.7679129636172295</v>
      </c>
      <c r="D10">
        <v>800</v>
      </c>
      <c r="E10">
        <v>8.7685805281605749</v>
      </c>
      <c r="F10">
        <v>6.6756454334537807E-4</v>
      </c>
    </row>
    <row r="11" spans="1:6" ht="14">
      <c r="A11" s="2"/>
      <c r="B11" s="2"/>
      <c r="D11">
        <v>900</v>
      </c>
      <c r="E11">
        <v>8.7685167371345667</v>
      </c>
      <c r="F11">
        <v>6.0377351733720275E-4</v>
      </c>
    </row>
    <row r="12" spans="1:6">
      <c r="D12">
        <v>1000</v>
      </c>
      <c r="E12">
        <v>8.7684600253600156</v>
      </c>
      <c r="F12">
        <v>5.4706174278607023E-4</v>
      </c>
    </row>
    <row r="13" spans="1:6">
      <c r="D13">
        <v>1100</v>
      </c>
      <c r="E13">
        <v>8.768394391903227</v>
      </c>
      <c r="F13">
        <v>4.8142828599750942E-4</v>
      </c>
    </row>
    <row r="14" spans="1:6">
      <c r="D14">
        <v>1200</v>
      </c>
      <c r="E14">
        <v>8.768344308108599</v>
      </c>
      <c r="F14">
        <v>4.3134449136950082E-4</v>
      </c>
    </row>
    <row r="15" spans="1:6">
      <c r="D15">
        <v>1300</v>
      </c>
      <c r="E15">
        <v>8.7683146636138094</v>
      </c>
      <c r="F15">
        <v>4.0169999657990729E-4</v>
      </c>
    </row>
    <row r="16" spans="1:6">
      <c r="D16">
        <v>1400</v>
      </c>
      <c r="E16">
        <v>8.7682889092997325</v>
      </c>
      <c r="F16">
        <v>3.7594568250298721E-4</v>
      </c>
    </row>
    <row r="17" spans="4:6">
      <c r="D17">
        <v>1500</v>
      </c>
      <c r="E17">
        <v>8.7682580297467538</v>
      </c>
      <c r="F17">
        <v>3.4506612952434068E-4</v>
      </c>
    </row>
    <row r="18" spans="4:6">
      <c r="D18">
        <v>1600</v>
      </c>
      <c r="E18">
        <v>8.7682254905443937</v>
      </c>
      <c r="F18">
        <v>3.1252692716421393E-4</v>
      </c>
    </row>
    <row r="19" spans="4:6">
      <c r="D19">
        <v>1700</v>
      </c>
      <c r="E19">
        <v>8.768202592090347</v>
      </c>
      <c r="F19">
        <v>2.8962847311753137E-4</v>
      </c>
    </row>
    <row r="20" spans="4:6">
      <c r="D20">
        <v>1800</v>
      </c>
      <c r="E20">
        <v>8.7681877379174882</v>
      </c>
      <c r="F20">
        <v>2.7477430025868443E-4</v>
      </c>
    </row>
    <row r="21" spans="4:6">
      <c r="D21">
        <v>1900</v>
      </c>
      <c r="E21">
        <v>8.7681756256552319</v>
      </c>
      <c r="F21">
        <v>2.6266203800240362E-4</v>
      </c>
    </row>
    <row r="22" spans="4:6">
      <c r="D22">
        <v>2000</v>
      </c>
      <c r="E22">
        <v>8.7681588766097818</v>
      </c>
      <c r="F22">
        <v>2.4591299255227739E-4</v>
      </c>
    </row>
    <row r="23" spans="4:6">
      <c r="D23">
        <v>2100</v>
      </c>
      <c r="E23">
        <v>8.7681399676427851</v>
      </c>
      <c r="F23">
        <v>2.2700402555564381E-4</v>
      </c>
    </row>
    <row r="24" spans="4:6">
      <c r="D24">
        <v>2200</v>
      </c>
      <c r="E24">
        <v>8.7681236558092941</v>
      </c>
      <c r="F24">
        <v>2.1069219206459877E-4</v>
      </c>
    </row>
    <row r="25" spans="4:6">
      <c r="D25">
        <v>2300</v>
      </c>
      <c r="E25">
        <v>8.768113579403682</v>
      </c>
      <c r="F25">
        <v>2.006157864524738E-4</v>
      </c>
    </row>
    <row r="26" spans="4:6">
      <c r="D26">
        <v>2400</v>
      </c>
      <c r="E26">
        <v>8.7681061464215535</v>
      </c>
      <c r="F26">
        <v>1.9318280432401025E-4</v>
      </c>
    </row>
    <row r="27" spans="4:6">
      <c r="D27">
        <v>2500</v>
      </c>
      <c r="E27">
        <v>8.7680990384298116</v>
      </c>
      <c r="F27">
        <v>1.8607481258214875E-4</v>
      </c>
    </row>
    <row r="28" spans="4:6">
      <c r="D28">
        <v>2600</v>
      </c>
      <c r="E28">
        <v>8.7680890928800235</v>
      </c>
      <c r="F28">
        <v>1.7612926279397811E-4</v>
      </c>
    </row>
    <row r="29" spans="4:6">
      <c r="D29">
        <v>2700</v>
      </c>
      <c r="E29">
        <v>8.7680775289714497</v>
      </c>
      <c r="F29">
        <v>1.6456535422015861E-4</v>
      </c>
    </row>
    <row r="30" spans="4:6">
      <c r="D30">
        <v>2800</v>
      </c>
      <c r="E30">
        <v>8.7680668776731086</v>
      </c>
      <c r="F30">
        <v>1.5391405587905638E-4</v>
      </c>
    </row>
    <row r="31" spans="4:6">
      <c r="D31">
        <v>2900</v>
      </c>
      <c r="E31">
        <v>8.7680591189072619</v>
      </c>
      <c r="F31">
        <v>1.4615529003236816E-4</v>
      </c>
    </row>
    <row r="32" spans="4:6">
      <c r="D32">
        <v>3000</v>
      </c>
      <c r="E32">
        <v>8.7680546279327736</v>
      </c>
      <c r="F32">
        <v>1.4166431554407666E-4</v>
      </c>
    </row>
    <row r="33" spans="4:6">
      <c r="D33">
        <v>3100</v>
      </c>
      <c r="E33">
        <v>8.7680504105283052</v>
      </c>
      <c r="F33">
        <v>1.3744691107575591E-4</v>
      </c>
    </row>
    <row r="34" spans="4:6">
      <c r="D34">
        <v>3200</v>
      </c>
      <c r="E34">
        <v>8.7680456954375359</v>
      </c>
      <c r="F34">
        <v>1.3273182030637543E-4</v>
      </c>
    </row>
    <row r="35" spans="4:6">
      <c r="D35">
        <v>3300</v>
      </c>
      <c r="E35">
        <v>8.7680389675694101</v>
      </c>
      <c r="F35">
        <v>1.260039521806533E-4</v>
      </c>
    </row>
    <row r="36" spans="4:6">
      <c r="D36">
        <v>3400</v>
      </c>
      <c r="E36">
        <v>8.7680312181818891</v>
      </c>
      <c r="F36">
        <v>1.1825456465963669E-4</v>
      </c>
    </row>
    <row r="37" spans="4:6">
      <c r="D37">
        <v>3500</v>
      </c>
      <c r="E37">
        <v>8.7680244334668558</v>
      </c>
      <c r="F37">
        <v>1.1146984962628892E-4</v>
      </c>
    </row>
    <row r="38" spans="4:6">
      <c r="D38">
        <v>3600</v>
      </c>
      <c r="E38">
        <v>8.7680191129397844</v>
      </c>
      <c r="F38">
        <v>1.0614932255492704E-4</v>
      </c>
    </row>
    <row r="39" spans="4:6">
      <c r="D39">
        <v>3700</v>
      </c>
      <c r="E39">
        <v>8.7680158259841736</v>
      </c>
      <c r="F39">
        <v>1.028623669441231E-4</v>
      </c>
    </row>
    <row r="40" spans="4:6">
      <c r="D40">
        <v>3800</v>
      </c>
      <c r="E40">
        <v>8.7680134050002856</v>
      </c>
      <c r="F40">
        <v>1.0044138305609351E-4</v>
      </c>
    </row>
    <row r="41" spans="4:6">
      <c r="D41">
        <v>3900</v>
      </c>
      <c r="E41">
        <v>8.7680106608267732</v>
      </c>
      <c r="F41">
        <v>9.7697209543667896E-5</v>
      </c>
    </row>
    <row r="42" spans="4:6">
      <c r="D42">
        <v>4000</v>
      </c>
      <c r="E42">
        <v>8.7680070019306005</v>
      </c>
      <c r="F42">
        <v>9.4038313370958804E-5</v>
      </c>
    </row>
  </sheetData>
  <phoneticPr fontId="5" type="noConversion"/>
  <pageMargins left="0.75" right="0.75" top="1" bottom="1"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G7"/>
  <sheetViews>
    <sheetView workbookViewId="0">
      <selection sqref="A1:G7"/>
    </sheetView>
  </sheetViews>
  <sheetFormatPr baseColWidth="10" defaultColWidth="8.83203125" defaultRowHeight="13"/>
  <sheetData>
    <row r="1" spans="1:7">
      <c r="A1" s="12" t="s">
        <v>55</v>
      </c>
      <c r="B1" s="12"/>
      <c r="C1" s="12"/>
      <c r="D1" s="12"/>
      <c r="E1" s="12"/>
      <c r="F1" s="12"/>
      <c r="G1" s="12"/>
    </row>
    <row r="2" spans="1:7">
      <c r="A2" s="12"/>
      <c r="B2" s="12"/>
      <c r="C2" s="12"/>
      <c r="D2" s="12"/>
      <c r="E2" s="12"/>
      <c r="F2" s="12"/>
      <c r="G2" s="12"/>
    </row>
    <row r="3" spans="1:7">
      <c r="A3" s="12"/>
      <c r="B3" s="12"/>
      <c r="C3" s="12"/>
      <c r="D3" s="12"/>
      <c r="E3" s="12"/>
      <c r="F3" s="12"/>
      <c r="G3" s="12"/>
    </row>
    <row r="4" spans="1:7">
      <c r="A4" s="12"/>
      <c r="B4" s="12"/>
      <c r="C4" s="12"/>
      <c r="D4" s="12"/>
      <c r="E4" s="12"/>
      <c r="F4" s="12"/>
      <c r="G4" s="12"/>
    </row>
    <row r="5" spans="1:7">
      <c r="A5" s="12"/>
      <c r="B5" s="12"/>
      <c r="C5" s="12"/>
      <c r="D5" s="12"/>
      <c r="E5" s="12"/>
      <c r="F5" s="12"/>
      <c r="G5" s="12"/>
    </row>
    <row r="6" spans="1:7">
      <c r="A6" s="12"/>
      <c r="B6" s="12"/>
      <c r="C6" s="12"/>
      <c r="D6" s="12"/>
      <c r="E6" s="12"/>
      <c r="F6" s="12"/>
      <c r="G6" s="12"/>
    </row>
    <row r="7" spans="1:7">
      <c r="A7" s="12"/>
      <c r="B7" s="12"/>
      <c r="C7" s="12"/>
      <c r="D7" s="12"/>
      <c r="E7" s="12"/>
      <c r="F7" s="12"/>
      <c r="G7" s="12"/>
    </row>
  </sheetData>
  <mergeCells count="1">
    <mergeCell ref="A1:G7"/>
  </mergeCells>
  <phoneticPr fontId="5" type="noConversion"/>
  <pageMargins left="0.75" right="0.75" top="1" bottom="1"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452"/>
  <sheetViews>
    <sheetView workbookViewId="0">
      <selection activeCell="N8" sqref="N8"/>
    </sheetView>
  </sheetViews>
  <sheetFormatPr baseColWidth="10" defaultColWidth="8.83203125" defaultRowHeight="13"/>
  <cols>
    <col min="1" max="1" width="16" customWidth="1"/>
    <col min="4" max="4" width="13.5" customWidth="1"/>
    <col min="5" max="5" width="10.1640625" customWidth="1"/>
    <col min="6" max="6" width="11.5" customWidth="1"/>
  </cols>
  <sheetData>
    <row r="1" spans="1:17" ht="12.75" customHeight="1">
      <c r="A1" s="5" t="s">
        <v>28</v>
      </c>
      <c r="B1" s="2"/>
      <c r="D1" s="5" t="s">
        <v>5</v>
      </c>
      <c r="E1" s="5" t="s">
        <v>15</v>
      </c>
      <c r="F1" s="5" t="s">
        <v>16</v>
      </c>
      <c r="G1" s="5" t="s">
        <v>27</v>
      </c>
      <c r="H1" s="5" t="s">
        <v>41</v>
      </c>
      <c r="I1" s="5" t="s">
        <v>26</v>
      </c>
    </row>
    <row r="2" spans="1:17" ht="14">
      <c r="A2" s="2" t="s">
        <v>0</v>
      </c>
      <c r="B2" s="2">
        <v>100</v>
      </c>
      <c r="D2">
        <v>50</v>
      </c>
      <c r="E2">
        <v>6.2933149564269657</v>
      </c>
      <c r="F2">
        <v>0.67575762171695164</v>
      </c>
      <c r="G2">
        <v>103.0454533953517</v>
      </c>
      <c r="H2">
        <v>97.044553354850947</v>
      </c>
      <c r="I2">
        <f>(G2-100)/(G2-H2)</f>
        <v>0.50749943755063254</v>
      </c>
    </row>
    <row r="3" spans="1:17" ht="14">
      <c r="A3" s="2" t="s">
        <v>9</v>
      </c>
      <c r="B3" s="2">
        <v>100</v>
      </c>
      <c r="D3">
        <v>51</v>
      </c>
      <c r="E3">
        <v>6.2609199645141143</v>
      </c>
      <c r="F3">
        <v>0.64336262980410019</v>
      </c>
      <c r="G3">
        <v>103.01500036909958</v>
      </c>
      <c r="H3">
        <v>97.073241413098344</v>
      </c>
      <c r="I3">
        <f t="shared" ref="I3:I66" si="0">(G3-100)/(G3-H3)</f>
        <v>0.50742556058326815</v>
      </c>
    </row>
    <row r="4" spans="1:17" ht="14">
      <c r="A4" s="2" t="s">
        <v>23</v>
      </c>
      <c r="B4" s="2">
        <v>95</v>
      </c>
      <c r="D4">
        <v>52</v>
      </c>
      <c r="E4">
        <v>6.2071253542461546</v>
      </c>
      <c r="F4">
        <v>0.58956801953614058</v>
      </c>
      <c r="G4">
        <v>102.98543868638343</v>
      </c>
      <c r="H4">
        <v>97.10110601608919</v>
      </c>
      <c r="I4">
        <f t="shared" si="0"/>
        <v>0.507353824751405</v>
      </c>
    </row>
    <row r="5" spans="1:17" ht="14">
      <c r="A5" s="2" t="s">
        <v>3</v>
      </c>
      <c r="B5" s="2">
        <v>0.3</v>
      </c>
      <c r="D5">
        <v>53</v>
      </c>
      <c r="E5">
        <v>6.1758113814165752</v>
      </c>
      <c r="F5">
        <v>0.55825404670656109</v>
      </c>
      <c r="G5">
        <v>102.95672577692633</v>
      </c>
      <c r="H5">
        <v>97.128185891096805</v>
      </c>
      <c r="I5">
        <f t="shared" si="0"/>
        <v>0.50728412858849758</v>
      </c>
    </row>
    <row r="6" spans="1:17" ht="14">
      <c r="A6" s="2" t="s">
        <v>4</v>
      </c>
      <c r="B6" s="2">
        <v>0.1</v>
      </c>
      <c r="D6">
        <v>54</v>
      </c>
      <c r="E6">
        <v>6.124616739905651</v>
      </c>
      <c r="F6">
        <v>0.50705940519563697</v>
      </c>
      <c r="G6">
        <v>102.92882186060666</v>
      </c>
      <c r="H6">
        <v>97.154517259924432</v>
      </c>
      <c r="I6">
        <f t="shared" si="0"/>
        <v>0.50721637723451984</v>
      </c>
    </row>
    <row r="7" spans="1:17" ht="14">
      <c r="A7" s="2" t="s">
        <v>1</v>
      </c>
      <c r="B7" s="2">
        <v>0.5</v>
      </c>
      <c r="D7">
        <v>55</v>
      </c>
      <c r="E7">
        <v>6.094332603607242</v>
      </c>
      <c r="F7">
        <v>0.47677526889722799</v>
      </c>
      <c r="G7">
        <v>102.90168971681233</v>
      </c>
      <c r="H7">
        <v>97.180134043670137</v>
      </c>
      <c r="I7">
        <f t="shared" si="0"/>
        <v>0.5071504818931114</v>
      </c>
    </row>
    <row r="8" spans="1:17" ht="14">
      <c r="A8" s="2" t="s">
        <v>2</v>
      </c>
      <c r="B8" s="2">
        <v>0</v>
      </c>
      <c r="D8">
        <v>56</v>
      </c>
      <c r="E8">
        <v>6.045530078487908</v>
      </c>
      <c r="F8">
        <v>0.42797274377789396</v>
      </c>
      <c r="G8">
        <v>102.87529447666766</v>
      </c>
      <c r="H8">
        <v>97.205068047392217</v>
      </c>
      <c r="I8">
        <f t="shared" si="0"/>
        <v>0.50708635934228008</v>
      </c>
    </row>
    <row r="9" spans="1:17" ht="14">
      <c r="A9" s="2" t="s">
        <v>19</v>
      </c>
      <c r="B9" s="2">
        <f>(LN(B2/B3)+(B6+B5^2/2)*B7)/(B5*SQRT(B7))</f>
        <v>0.34176827757349804</v>
      </c>
      <c r="D9">
        <v>57</v>
      </c>
      <c r="E9">
        <v>6.016226581642437</v>
      </c>
      <c r="F9">
        <v>0.39866924693242289</v>
      </c>
      <c r="G9">
        <v>102.84960343549639</v>
      </c>
      <c r="H9">
        <v>97.229349126967435</v>
      </c>
      <c r="I9">
        <f t="shared" si="0"/>
        <v>0.50702393149221137</v>
      </c>
    </row>
    <row r="10" spans="1:17" ht="14">
      <c r="A10" s="2" t="s">
        <v>20</v>
      </c>
      <c r="B10" s="2">
        <f>B9-B5*SQRT(B7)</f>
        <v>0.12963624321753378</v>
      </c>
      <c r="D10">
        <v>58</v>
      </c>
      <c r="E10">
        <v>5.9696311726801614</v>
      </c>
      <c r="F10">
        <v>0.35207383797014735</v>
      </c>
      <c r="G10">
        <v>102.82458588323986</v>
      </c>
      <c r="H10">
        <v>97.253005340136369</v>
      </c>
      <c r="I10">
        <f t="shared" si="0"/>
        <v>0.50696312498544727</v>
      </c>
      <c r="K10" s="12" t="s">
        <v>52</v>
      </c>
      <c r="L10" s="12"/>
      <c r="M10" s="12"/>
      <c r="N10" s="12"/>
      <c r="O10" s="12"/>
      <c r="P10" s="12"/>
      <c r="Q10" s="12"/>
    </row>
    <row r="11" spans="1:17" ht="14">
      <c r="A11" s="2" t="s">
        <v>24</v>
      </c>
      <c r="B11" s="2">
        <f>(LN(B4^2/(B3*B2))+(B6+B5^2/2)*B7)/(B5*SQRT(B7))</f>
        <v>-0.14182953963763364</v>
      </c>
      <c r="D11">
        <v>59</v>
      </c>
      <c r="E11">
        <v>5.9412613092756201</v>
      </c>
      <c r="F11">
        <v>0.32370397456560607</v>
      </c>
      <c r="G11">
        <v>102.80021295082933</v>
      </c>
      <c r="H11">
        <v>97.276063083479599</v>
      </c>
      <c r="I11">
        <f t="shared" si="0"/>
        <v>0.5069038708344753</v>
      </c>
      <c r="K11" s="12"/>
      <c r="L11" s="12"/>
      <c r="M11" s="12"/>
      <c r="N11" s="12"/>
      <c r="O11" s="12"/>
      <c r="P11" s="12"/>
      <c r="Q11" s="12"/>
    </row>
    <row r="12" spans="1:17" ht="14">
      <c r="A12" s="2" t="s">
        <v>25</v>
      </c>
      <c r="B12" s="2">
        <f>B11-B5*SQRT(B7)</f>
        <v>-0.3539615739935979</v>
      </c>
      <c r="D12">
        <v>60</v>
      </c>
      <c r="E12">
        <v>5.8967077081010277</v>
      </c>
      <c r="F12">
        <v>0.27915037339101367</v>
      </c>
      <c r="G12">
        <v>102.7764574707699</v>
      </c>
      <c r="H12">
        <v>97.298547216846842</v>
      </c>
      <c r="I12">
        <f t="shared" si="0"/>
        <v>0.50684610409261677</v>
      </c>
      <c r="K12" s="12"/>
      <c r="L12" s="12"/>
      <c r="M12" s="12"/>
      <c r="N12" s="12"/>
      <c r="O12" s="12"/>
      <c r="P12" s="12"/>
      <c r="Q12" s="12"/>
    </row>
    <row r="13" spans="1:17" ht="14">
      <c r="A13" s="3" t="s">
        <v>29</v>
      </c>
      <c r="B13" s="2">
        <f>B2*NORMSDIST(B9)-B3*EXP(-B6*B7)*NORMSDIST(B10)-((B4/B2)^(1+2*B6*(B5^-2)))*B2*NORMSDIST(B11)+((B4/B2)^(-1+2*B6*(B5^-2)))*B3*EXP(-B6*B7)*NORMSDIST(B12)</f>
        <v>5.6175573347100141</v>
      </c>
      <c r="D13">
        <v>61</v>
      </c>
      <c r="E13">
        <v>5.8692267587550226</v>
      </c>
      <c r="F13">
        <v>0.25166942404500858</v>
      </c>
      <c r="G13">
        <v>102.75329385041179</v>
      </c>
      <c r="H13">
        <v>97.320481176574091</v>
      </c>
      <c r="I13">
        <f t="shared" si="0"/>
        <v>0.50678976355481176</v>
      </c>
      <c r="K13" s="12"/>
      <c r="L13" s="12"/>
      <c r="M13" s="12"/>
      <c r="N13" s="12"/>
      <c r="O13" s="12"/>
      <c r="P13" s="12"/>
      <c r="Q13" s="12"/>
    </row>
    <row r="14" spans="1:17">
      <c r="D14">
        <v>62</v>
      </c>
      <c r="E14">
        <v>5.8265667102103809</v>
      </c>
      <c r="F14">
        <v>0.2090093755003668</v>
      </c>
      <c r="G14">
        <v>102.73069795655881</v>
      </c>
      <c r="H14">
        <v>97.341887078666815</v>
      </c>
      <c r="I14">
        <f t="shared" si="0"/>
        <v>0.50673479148464962</v>
      </c>
      <c r="K14" s="12"/>
      <c r="L14" s="12"/>
      <c r="M14" s="12"/>
      <c r="N14" s="12"/>
      <c r="O14" s="12"/>
      <c r="P14" s="12"/>
      <c r="Q14" s="12"/>
    </row>
    <row r="15" spans="1:17">
      <c r="D15">
        <v>63</v>
      </c>
      <c r="E15">
        <v>5.799932262607884</v>
      </c>
      <c r="F15">
        <v>0.18237492789786991</v>
      </c>
      <c r="G15">
        <v>102.70864701024774</v>
      </c>
      <c r="H15">
        <v>97.362785812982523</v>
      </c>
      <c r="I15">
        <f t="shared" si="0"/>
        <v>0.50668113336601506</v>
      </c>
      <c r="K15" s="12"/>
      <c r="L15" s="12"/>
      <c r="M15" s="12"/>
      <c r="N15" s="12"/>
      <c r="O15" s="12"/>
      <c r="P15" s="12"/>
      <c r="Q15" s="12"/>
    </row>
    <row r="16" spans="1:17">
      <c r="D16">
        <v>64</v>
      </c>
      <c r="E16">
        <v>5.7590323484336707</v>
      </c>
      <c r="F16">
        <v>0.14147501372365667</v>
      </c>
      <c r="G16">
        <v>102.68711949064371</v>
      </c>
      <c r="H16">
        <v>97.383197129326064</v>
      </c>
      <c r="I16">
        <f t="shared" si="0"/>
        <v>0.50662873767559302</v>
      </c>
      <c r="K16" s="12"/>
      <c r="L16" s="12"/>
      <c r="M16" s="12"/>
      <c r="N16" s="12"/>
      <c r="O16" s="12"/>
      <c r="P16" s="12"/>
      <c r="Q16" s="12"/>
    </row>
    <row r="17" spans="4:9">
      <c r="D17">
        <v>65</v>
      </c>
      <c r="E17">
        <v>5.7332042671648811</v>
      </c>
      <c r="F17">
        <v>0.11564693245486701</v>
      </c>
      <c r="G17">
        <v>102.66609504713998</v>
      </c>
      <c r="H17">
        <v>97.403139716266068</v>
      </c>
      <c r="I17">
        <f t="shared" si="0"/>
        <v>0.50657755567484053</v>
      </c>
    </row>
    <row r="18" spans="4:9">
      <c r="D18">
        <v>66</v>
      </c>
      <c r="E18">
        <v>5.6939440340108316</v>
      </c>
      <c r="F18">
        <v>7.638669930081754E-2</v>
      </c>
      <c r="G18">
        <v>102.64555441884657</v>
      </c>
      <c r="H18">
        <v>97.42263127339001</v>
      </c>
      <c r="I18">
        <f t="shared" si="0"/>
        <v>0.50652754121950827</v>
      </c>
    </row>
    <row r="19" spans="4:9">
      <c r="D19">
        <v>67</v>
      </c>
      <c r="E19">
        <v>5.6688843971068259</v>
      </c>
      <c r="F19">
        <v>5.132706239681184E-2</v>
      </c>
      <c r="G19">
        <v>102.62547936074375</v>
      </c>
      <c r="H19">
        <v>97.441688577634281</v>
      </c>
      <c r="I19">
        <f t="shared" si="0"/>
        <v>0.50647865058490493</v>
      </c>
    </row>
    <row r="20" spans="4:9">
      <c r="D20">
        <v>68</v>
      </c>
      <c r="E20">
        <v>5.6311547670930935</v>
      </c>
      <c r="F20">
        <v>1.3597432383079422E-2</v>
      </c>
      <c r="G20">
        <v>102.60585257585588</v>
      </c>
      <c r="H20">
        <v>97.460327544250461</v>
      </c>
      <c r="I20">
        <f t="shared" si="0"/>
        <v>0.50643084230470548</v>
      </c>
    </row>
    <row r="21" spans="4:9">
      <c r="D21">
        <v>69</v>
      </c>
      <c r="E21">
        <v>7.4050375598976919</v>
      </c>
      <c r="F21">
        <v>1.7874802251876778</v>
      </c>
      <c r="G21">
        <v>102.58665765288147</v>
      </c>
      <c r="H21">
        <v>97.478563282923062</v>
      </c>
      <c r="I21">
        <f t="shared" si="0"/>
        <v>0.50638407702372412</v>
      </c>
    </row>
    <row r="22" spans="4:9">
      <c r="D22">
        <v>70</v>
      </c>
      <c r="E22">
        <v>7.3592594209043805</v>
      </c>
      <c r="F22">
        <v>1.7417020861943664</v>
      </c>
      <c r="G22">
        <v>102.56787900876037</v>
      </c>
      <c r="H22">
        <v>97.49641014947629</v>
      </c>
      <c r="I22">
        <f t="shared" si="0"/>
        <v>0.50633831736134693</v>
      </c>
    </row>
    <row r="23" spans="4:9">
      <c r="D23">
        <v>71</v>
      </c>
      <c r="E23">
        <v>7.3395591871623385</v>
      </c>
      <c r="F23">
        <v>1.7220018524523244</v>
      </c>
      <c r="G23">
        <v>102.54950183572764</v>
      </c>
      <c r="H23">
        <v>97.513881793583295</v>
      </c>
      <c r="I23">
        <f t="shared" si="0"/>
        <v>0.50629352778609793</v>
      </c>
    </row>
    <row r="24" spans="4:9">
      <c r="D24">
        <v>72</v>
      </c>
      <c r="E24">
        <v>7.2953684820561699</v>
      </c>
      <c r="F24">
        <v>1.6778111473461559</v>
      </c>
      <c r="G24">
        <v>102.53151205244275</v>
      </c>
      <c r="H24">
        <v>97.530991202833263</v>
      </c>
      <c r="I24">
        <f t="shared" si="0"/>
        <v>0.50624967449949687</v>
      </c>
    </row>
    <row r="25" spans="4:9">
      <c r="D25">
        <v>73</v>
      </c>
      <c r="E25">
        <v>7.2759175135747087</v>
      </c>
      <c r="F25">
        <v>1.6583601788646947</v>
      </c>
      <c r="G25">
        <v>102.51389625883427</v>
      </c>
      <c r="H25">
        <v>97.547750743482283</v>
      </c>
      <c r="I25">
        <f t="shared" si="0"/>
        <v>0.50620672532912869</v>
      </c>
    </row>
    <row r="26" spans="4:9">
      <c r="D26">
        <v>74</v>
      </c>
      <c r="E26">
        <v>7.233221552085304</v>
      </c>
      <c r="F26">
        <v>1.61566421737529</v>
      </c>
      <c r="G26">
        <v>102.49664169432369</v>
      </c>
      <c r="H26">
        <v>97.564172198178753</v>
      </c>
      <c r="I26">
        <f t="shared" si="0"/>
        <v>0.50616464962935581</v>
      </c>
    </row>
    <row r="27" spans="4:9">
      <c r="D27">
        <v>75</v>
      </c>
      <c r="E27">
        <v>7.214027499258596</v>
      </c>
      <c r="F27">
        <v>1.5964701645485819</v>
      </c>
      <c r="G27">
        <v>102.47973619913603</v>
      </c>
      <c r="H27">
        <v>97.580266800924107</v>
      </c>
      <c r="I27">
        <f t="shared" si="0"/>
        <v>0.5061234181891241</v>
      </c>
    </row>
    <row r="28" spans="4:9">
      <c r="D28">
        <v>76</v>
      </c>
      <c r="E28">
        <v>7.1727411413494213</v>
      </c>
      <c r="F28">
        <v>1.5551838066394073</v>
      </c>
      <c r="G28">
        <v>102.46316817843652</v>
      </c>
      <c r="H28">
        <v>97.596045269509261</v>
      </c>
      <c r="I28">
        <f t="shared" si="0"/>
        <v>0.50608300314721566</v>
      </c>
    </row>
    <row r="29" spans="4:9">
      <c r="D29">
        <v>77</v>
      </c>
      <c r="E29">
        <v>7.1538094205233582</v>
      </c>
      <c r="F29">
        <v>1.5362520858133442</v>
      </c>
      <c r="G29">
        <v>102.44692656904442</v>
      </c>
      <c r="H29">
        <v>97.611517835632654</v>
      </c>
      <c r="I29">
        <f t="shared" si="0"/>
        <v>0.50604337791273313</v>
      </c>
    </row>
    <row r="30" spans="4:9">
      <c r="D30">
        <v>78</v>
      </c>
      <c r="E30">
        <v>7.1138542931613946</v>
      </c>
      <c r="F30">
        <v>1.4962969584513806</v>
      </c>
      <c r="G30">
        <v>102.43100080851329</v>
      </c>
      <c r="H30">
        <v>97.626694272900622</v>
      </c>
      <c r="I30">
        <f t="shared" si="0"/>
        <v>0.50600451709172145</v>
      </c>
    </row>
    <row r="31" spans="4:9">
      <c r="D31">
        <v>79</v>
      </c>
      <c r="E31">
        <v>7.0951884675308659</v>
      </c>
      <c r="F31">
        <v>1.4776311328208518</v>
      </c>
      <c r="G31">
        <v>102.4153808063821</v>
      </c>
      <c r="H31">
        <v>97.64158392287959</v>
      </c>
      <c r="I31">
        <f t="shared" si="0"/>
        <v>0.50596639641901764</v>
      </c>
    </row>
    <row r="32" spans="4:9">
      <c r="D32">
        <v>80</v>
      </c>
      <c r="E32">
        <v>7.0564922795059006</v>
      </c>
      <c r="F32">
        <v>1.4389349447958866</v>
      </c>
      <c r="G32">
        <v>102.40005691741177</v>
      </c>
      <c r="H32">
        <v>97.656195719356219</v>
      </c>
      <c r="I32">
        <f t="shared" si="0"/>
        <v>0.50592899269386837</v>
      </c>
    </row>
    <row r="33" spans="4:9">
      <c r="D33">
        <v>81</v>
      </c>
      <c r="E33">
        <v>7.0380943757155174</v>
      </c>
      <c r="F33">
        <v>1.4205370410055034</v>
      </c>
      <c r="G33">
        <v>102.38501991666107</v>
      </c>
      <c r="H33">
        <v>97.670538210958625</v>
      </c>
      <c r="I33">
        <f t="shared" si="0"/>
        <v>0.5058922837215053</v>
      </c>
    </row>
    <row r="34" spans="4:9">
      <c r="D34">
        <v>82</v>
      </c>
      <c r="E34">
        <v>7.0005903162243861</v>
      </c>
      <c r="F34">
        <v>1.383032981514372</v>
      </c>
      <c r="G34">
        <v>102.37026097623804</v>
      </c>
      <c r="H34">
        <v>97.684619582255777</v>
      </c>
      <c r="I34">
        <f t="shared" si="0"/>
        <v>0.50585624825710129</v>
      </c>
    </row>
    <row r="35" spans="4:9">
      <c r="D35">
        <v>83</v>
      </c>
      <c r="E35">
        <v>6.9824610881845164</v>
      </c>
      <c r="F35">
        <v>1.3649037534745023</v>
      </c>
      <c r="G35">
        <v>102.3557716436094</v>
      </c>
      <c r="H35">
        <v>97.698447673462425</v>
      </c>
      <c r="I35">
        <f t="shared" si="0"/>
        <v>0.50582086595428699</v>
      </c>
    </row>
    <row r="36" spans="4:9">
      <c r="D36">
        <v>84</v>
      </c>
      <c r="E36">
        <v>6.9460872972359882</v>
      </c>
      <c r="F36">
        <v>1.3285299625259741</v>
      </c>
      <c r="G36">
        <v>102.34154382133704</v>
      </c>
      <c r="H36">
        <v>97.712029998858952</v>
      </c>
      <c r="I36">
        <f t="shared" si="0"/>
        <v>0.50578611731710044</v>
      </c>
    </row>
    <row r="37" spans="4:9">
      <c r="D37">
        <v>85</v>
      </c>
      <c r="E37">
        <v>6.9282264464670682</v>
      </c>
      <c r="F37">
        <v>1.3106691117570541</v>
      </c>
      <c r="G37">
        <v>102.32756974813633</v>
      </c>
      <c r="H37">
        <v>97.725373764015799</v>
      </c>
      <c r="I37">
        <f t="shared" si="0"/>
        <v>0.50575198365462959</v>
      </c>
    </row>
    <row r="38" spans="4:9">
      <c r="D38">
        <v>86</v>
      </c>
      <c r="E38">
        <v>6.8929255471138022</v>
      </c>
      <c r="F38">
        <v>1.2753682124037882</v>
      </c>
      <c r="G38">
        <v>102.31384198115414</v>
      </c>
      <c r="H38">
        <v>97.738485881920013</v>
      </c>
      <c r="I38">
        <f t="shared" si="0"/>
        <v>0.50571844703879043</v>
      </c>
    </row>
    <row r="39" spans="4:9">
      <c r="D39">
        <v>87</v>
      </c>
      <c r="E39">
        <v>6.8753319071466503</v>
      </c>
      <c r="F39">
        <v>1.2577745724366363</v>
      </c>
      <c r="G39">
        <v>102.30035337937524</v>
      </c>
      <c r="H39">
        <v>97.751372988083602</v>
      </c>
      <c r="I39">
        <f t="shared" si="0"/>
        <v>0.50568549026479248</v>
      </c>
    </row>
    <row r="40" spans="4:9">
      <c r="D40">
        <v>88</v>
      </c>
      <c r="E40">
        <v>6.8410505911279547</v>
      </c>
      <c r="F40">
        <v>1.2234932564179406</v>
      </c>
      <c r="G40">
        <v>102.28709708807254</v>
      </c>
      <c r="H40">
        <v>97.764041454707012</v>
      </c>
      <c r="I40">
        <f t="shared" si="0"/>
        <v>0.50565309681383508</v>
      </c>
    </row>
    <row r="41" spans="4:9">
      <c r="D41">
        <v>89</v>
      </c>
      <c r="E41">
        <v>6.8237222821027022</v>
      </c>
      <c r="F41">
        <v>1.2061649473926881</v>
      </c>
      <c r="G41">
        <v>102.27406652422715</v>
      </c>
      <c r="H41">
        <v>97.776497403974361</v>
      </c>
      <c r="I41">
        <f t="shared" si="0"/>
        <v>0.50562125081900577</v>
      </c>
    </row>
    <row r="42" spans="4:9">
      <c r="D42">
        <v>90</v>
      </c>
      <c r="E42">
        <v>6.7904109417809941</v>
      </c>
      <c r="F42">
        <v>1.1728536070709801</v>
      </c>
      <c r="G42">
        <v>102.26125536284047</v>
      </c>
      <c r="H42">
        <v>97.788746720527826</v>
      </c>
      <c r="I42">
        <f t="shared" si="0"/>
        <v>0.50558993703167476</v>
      </c>
    </row>
    <row r="43" spans="4:9">
      <c r="D43">
        <v>91</v>
      </c>
      <c r="E43">
        <v>6.7733455002611205</v>
      </c>
      <c r="F43">
        <v>1.1557881655511064</v>
      </c>
      <c r="G43">
        <v>102.24865752408556</v>
      </c>
      <c r="H43">
        <v>97.800795063195906</v>
      </c>
      <c r="I43">
        <f t="shared" si="0"/>
        <v>0.50555914079136943</v>
      </c>
    </row>
    <row r="44" spans="4:9">
      <c r="D44">
        <v>92</v>
      </c>
      <c r="E44">
        <v>6.7409579008186835</v>
      </c>
      <c r="F44">
        <v>1.1234005661086695</v>
      </c>
      <c r="G44">
        <v>102.23626716122767</v>
      </c>
      <c r="H44">
        <v>97.812647876021302</v>
      </c>
      <c r="I44">
        <f t="shared" si="0"/>
        <v>0.50552884799699627</v>
      </c>
    </row>
    <row r="45" spans="4:9">
      <c r="D45">
        <v>93</v>
      </c>
      <c r="E45">
        <v>6.7241523889334651</v>
      </c>
      <c r="F45">
        <v>1.1065950542234511</v>
      </c>
      <c r="G45">
        <v>102.22407864926497</v>
      </c>
      <c r="H45">
        <v>97.824310398633486</v>
      </c>
      <c r="I45">
        <f t="shared" si="0"/>
        <v>0.50549904507942078</v>
      </c>
    </row>
    <row r="46" spans="4:9">
      <c r="D46">
        <v>94</v>
      </c>
      <c r="E46">
        <v>6.6926453756930204</v>
      </c>
      <c r="F46">
        <v>1.0750880409830064</v>
      </c>
      <c r="G46">
        <v>102.21208657423851</v>
      </c>
      <c r="H46">
        <v>97.835787676018114</v>
      </c>
      <c r="I46">
        <f t="shared" si="0"/>
        <v>0.50546971897601578</v>
      </c>
    </row>
    <row r="47" spans="4:9">
      <c r="D47">
        <v>95</v>
      </c>
      <c r="E47">
        <v>6.6760964729931285</v>
      </c>
      <c r="F47">
        <v>1.0585391382831144</v>
      </c>
      <c r="G47">
        <v>102.2002857231661</v>
      </c>
      <c r="H47">
        <v>97.847084567722646</v>
      </c>
      <c r="I47">
        <f t="shared" si="0"/>
        <v>0.50544085710690356</v>
      </c>
    </row>
    <row r="48" spans="4:9">
      <c r="D48">
        <v>96</v>
      </c>
      <c r="E48">
        <v>6.6454297094585062</v>
      </c>
      <c r="F48">
        <v>1.0278723747484921</v>
      </c>
      <c r="G48">
        <v>102.18867107455328</v>
      </c>
      <c r="H48">
        <v>97.858205756529486</v>
      </c>
      <c r="I48">
        <f t="shared" si="0"/>
        <v>0.50541244735151947</v>
      </c>
    </row>
    <row r="49" spans="4:9">
      <c r="D49">
        <v>97</v>
      </c>
      <c r="E49">
        <v>6.629133790280556</v>
      </c>
      <c r="F49">
        <v>1.011576455570542</v>
      </c>
      <c r="G49">
        <v>102.17723778945276</v>
      </c>
      <c r="H49">
        <v>97.869155756647828</v>
      </c>
      <c r="I49">
        <f t="shared" si="0"/>
        <v>0.5053844780284259</v>
      </c>
    </row>
    <row r="50" spans="4:9">
      <c r="D50">
        <v>98</v>
      </c>
      <c r="E50">
        <v>6.599269523142361</v>
      </c>
      <c r="F50">
        <v>0.98171218843234698</v>
      </c>
      <c r="G50">
        <v>102.16598120301856</v>
      </c>
      <c r="H50">
        <v>97.879938921436036</v>
      </c>
      <c r="I50">
        <f t="shared" si="0"/>
        <v>0.5053569378738888</v>
      </c>
    </row>
    <row r="51" spans="4:9">
      <c r="D51">
        <v>99</v>
      </c>
      <c r="E51">
        <v>6.5832227218071884</v>
      </c>
      <c r="F51">
        <v>0.96566538709717431</v>
      </c>
      <c r="G51">
        <v>102.15489681654287</v>
      </c>
      <c r="H51">
        <v>97.890559450700692</v>
      </c>
      <c r="I51">
        <f t="shared" si="0"/>
        <v>0.50532981602343141</v>
      </c>
    </row>
    <row r="52" spans="4:9">
      <c r="D52">
        <v>100</v>
      </c>
      <c r="E52">
        <v>6.5541255696654357</v>
      </c>
      <c r="F52">
        <v>0.93656823495542163</v>
      </c>
      <c r="G52">
        <v>102.14398028992782</v>
      </c>
      <c r="H52">
        <v>97.90102139759756</v>
      </c>
      <c r="I52">
        <f t="shared" si="0"/>
        <v>0.50530310199407447</v>
      </c>
    </row>
    <row r="53" spans="4:9">
      <c r="D53">
        <v>101</v>
      </c>
      <c r="E53">
        <v>6.538323835419293</v>
      </c>
      <c r="F53">
        <v>0.9207665007092789</v>
      </c>
      <c r="G53">
        <v>102.13322743456979</v>
      </c>
      <c r="H53">
        <v>97.911328675149875</v>
      </c>
      <c r="I53">
        <f t="shared" si="0"/>
        <v>0.50527678566666845</v>
      </c>
    </row>
    <row r="54" spans="4:9">
      <c r="D54">
        <v>102</v>
      </c>
      <c r="E54">
        <v>6.5099605984267992</v>
      </c>
      <c r="F54">
        <v>0.89240326371678513</v>
      </c>
      <c r="G54">
        <v>102.1226342066327</v>
      </c>
      <c r="H54">
        <v>97.921485062422477</v>
      </c>
      <c r="I54">
        <f t="shared" si="0"/>
        <v>0.50525085727032282</v>
      </c>
    </row>
    <row r="55" spans="4:9">
      <c r="D55">
        <v>103</v>
      </c>
      <c r="E55">
        <v>6.4943997417461761</v>
      </c>
      <c r="F55">
        <v>0.87684240703616201</v>
      </c>
      <c r="G55">
        <v>102.11219670067979</v>
      </c>
      <c r="H55">
        <v>97.931494210362004</v>
      </c>
      <c r="I55">
        <f t="shared" si="0"/>
        <v>0.50522530736676163</v>
      </c>
    </row>
    <row r="56" spans="4:9">
      <c r="D56">
        <v>104</v>
      </c>
      <c r="E56">
        <v>6.4667392297485149</v>
      </c>
      <c r="F56">
        <v>0.84918189503850083</v>
      </c>
      <c r="G56">
        <v>102.10191114364709</v>
      </c>
      <c r="H56">
        <v>97.941359647332646</v>
      </c>
      <c r="I56">
        <f t="shared" si="0"/>
        <v>0.50520012683631765</v>
      </c>
    </row>
    <row r="57" spans="4:9">
      <c r="D57">
        <v>105</v>
      </c>
      <c r="E57">
        <v>6.4514149613343665</v>
      </c>
      <c r="F57">
        <v>0.83385762662435248</v>
      </c>
      <c r="G57">
        <v>102.09177388913268</v>
      </c>
      <c r="H57">
        <v>97.951084784359097</v>
      </c>
      <c r="I57">
        <f t="shared" si="0"/>
        <v>0.50517530686406387</v>
      </c>
    </row>
    <row r="58" spans="4:9">
      <c r="D58">
        <v>106</v>
      </c>
      <c r="E58">
        <v>6.4244278384147346</v>
      </c>
      <c r="F58">
        <v>0.80687050370472058</v>
      </c>
      <c r="G58">
        <v>102.08178141198169</v>
      </c>
      <c r="H58">
        <v>97.960672920097679</v>
      </c>
      <c r="I58">
        <f t="shared" si="0"/>
        <v>0.50515083892634483</v>
      </c>
    </row>
    <row r="59" spans="4:9">
      <c r="D59">
        <v>107</v>
      </c>
      <c r="E59">
        <v>6.4093358020085631</v>
      </c>
      <c r="F59">
        <v>0.79177846729854906</v>
      </c>
      <c r="G59">
        <v>102.07193030315827</v>
      </c>
      <c r="H59">
        <v>97.970127245556469</v>
      </c>
      <c r="I59">
        <f t="shared" si="0"/>
        <v>0.50512671477934479</v>
      </c>
    </row>
    <row r="60" spans="4:9">
      <c r="D60">
        <v>108</v>
      </c>
      <c r="E60">
        <v>6.3829944455963288</v>
      </c>
      <c r="F60">
        <v>0.76543711088631472</v>
      </c>
      <c r="G60">
        <v>102.06221726487384</v>
      </c>
      <c r="H60">
        <v>97.979450848571844</v>
      </c>
      <c r="I60">
        <f t="shared" si="0"/>
        <v>0.50510292644704158</v>
      </c>
    </row>
    <row r="61" spans="4:9">
      <c r="D61">
        <v>109</v>
      </c>
      <c r="E61">
        <v>6.3681302455521172</v>
      </c>
      <c r="F61">
        <v>0.75057291084210309</v>
      </c>
      <c r="G61">
        <v>102.05263910596582</v>
      </c>
      <c r="H61">
        <v>97.988646718058575</v>
      </c>
      <c r="I61">
        <f t="shared" si="0"/>
        <v>0.50507946621003141</v>
      </c>
    </row>
    <row r="62" spans="4:9">
      <c r="D62">
        <v>110</v>
      </c>
      <c r="E62">
        <v>6.3424086185039306</v>
      </c>
      <c r="F62">
        <v>0.7248512837939165</v>
      </c>
      <c r="G62">
        <v>102.04319273750554</v>
      </c>
      <c r="H62">
        <v>97.997717748050249</v>
      </c>
      <c r="I62">
        <f t="shared" si="0"/>
        <v>0.50505632659482746</v>
      </c>
    </row>
    <row r="63" spans="4:9">
      <c r="D63">
        <v>111</v>
      </c>
      <c r="E63">
        <v>6.327767842916229</v>
      </c>
      <c r="F63">
        <v>0.7102105082062149</v>
      </c>
      <c r="G63">
        <v>102.03387516863168</v>
      </c>
      <c r="H63">
        <v>98.006666741539846</v>
      </c>
      <c r="I63">
        <f t="shared" si="0"/>
        <v>0.50503350036451966</v>
      </c>
    </row>
    <row r="64" spans="4:9">
      <c r="D64">
        <v>112</v>
      </c>
      <c r="E64">
        <v>6.3026413771716019</v>
      </c>
      <c r="F64">
        <v>0.68508404246158783</v>
      </c>
      <c r="G64">
        <v>102.02468350258161</v>
      </c>
      <c r="H64">
        <v>98.015496414130325</v>
      </c>
      <c r="I64">
        <f t="shared" si="0"/>
        <v>0.50501098050870163</v>
      </c>
    </row>
    <row r="65" spans="4:9">
      <c r="D65">
        <v>113</v>
      </c>
      <c r="E65">
        <v>6.2882196172201521</v>
      </c>
      <c r="F65">
        <v>0.67066228251013804</v>
      </c>
      <c r="G65">
        <v>102.01561493292071</v>
      </c>
      <c r="H65">
        <v>98.024209397505814</v>
      </c>
      <c r="I65">
        <f t="shared" si="0"/>
        <v>0.50498876023410466</v>
      </c>
    </row>
    <row r="66" spans="4:9">
      <c r="D66">
        <v>114</v>
      </c>
      <c r="E66">
        <v>6.2636651078063705</v>
      </c>
      <c r="F66">
        <v>0.64610777309635647</v>
      </c>
      <c r="G66">
        <v>102.00666673995941</v>
      </c>
      <c r="H66">
        <v>98.032808242745418</v>
      </c>
      <c r="I66">
        <f t="shared" si="0"/>
        <v>0.504966832957503</v>
      </c>
    </row>
    <row r="67" spans="4:9">
      <c r="D67">
        <v>115</v>
      </c>
      <c r="E67">
        <v>6.2494579738920093</v>
      </c>
      <c r="F67">
        <v>0.63190063918199524</v>
      </c>
      <c r="G67">
        <v>101.99783628733002</v>
      </c>
      <c r="H67">
        <v>98.041295423461321</v>
      </c>
      <c r="I67">
        <f t="shared" ref="I67:I130" si="1">(G67-100)/(G67-H67)</f>
        <v>0.5049451922952054</v>
      </c>
    </row>
    <row r="68" spans="4:9">
      <c r="D68">
        <v>116</v>
      </c>
      <c r="E68">
        <v>6.225453482203676</v>
      </c>
      <c r="F68">
        <v>0.60789614749366194</v>
      </c>
      <c r="G68">
        <v>101.98912101874269</v>
      </c>
      <c r="H68">
        <v>98.049673338809683</v>
      </c>
      <c r="I68">
        <f t="shared" si="1"/>
        <v>0.50492383205772595</v>
      </c>
    </row>
    <row r="69" spans="4:9">
      <c r="D69">
        <v>117</v>
      </c>
      <c r="E69">
        <v>6.211456617344254</v>
      </c>
      <c r="F69">
        <v>0.59389928263423997</v>
      </c>
      <c r="G69">
        <v>101.98051845488018</v>
      </c>
      <c r="H69">
        <v>98.057944316338833</v>
      </c>
      <c r="I69">
        <f t="shared" si="1"/>
        <v>0.50490274624016662</v>
      </c>
    </row>
    <row r="70" spans="4:9">
      <c r="D70">
        <v>118</v>
      </c>
      <c r="E70">
        <v>6.1879813827408459</v>
      </c>
      <c r="F70">
        <v>0.5704240480308318</v>
      </c>
      <c r="G70">
        <v>101.97202619044884</v>
      </c>
      <c r="H70">
        <v>98.066110614723286</v>
      </c>
      <c r="I70">
        <f t="shared" si="1"/>
        <v>0.50488192901673834</v>
      </c>
    </row>
    <row r="71" spans="4:9">
      <c r="D71">
        <v>119</v>
      </c>
      <c r="E71">
        <v>6.1741904736392206</v>
      </c>
      <c r="F71">
        <v>0.55663313892920652</v>
      </c>
      <c r="G71">
        <v>101.96364189136067</v>
      </c>
      <c r="H71">
        <v>98.074174426358056</v>
      </c>
      <c r="I71">
        <f t="shared" si="1"/>
        <v>0.50486137473304415</v>
      </c>
    </row>
    <row r="72" spans="4:9">
      <c r="D72">
        <v>120</v>
      </c>
      <c r="E72">
        <v>6.1512248325281771</v>
      </c>
      <c r="F72">
        <v>0.53366749781816303</v>
      </c>
      <c r="G72">
        <v>101.95536329204708</v>
      </c>
      <c r="H72">
        <v>98.082137879842207</v>
      </c>
      <c r="I72">
        <f t="shared" si="1"/>
        <v>0.50484107789997446</v>
      </c>
    </row>
    <row r="73" spans="4:9">
      <c r="D73">
        <v>121</v>
      </c>
      <c r="E73">
        <v>6.1376356186545564</v>
      </c>
      <c r="F73">
        <v>0.52007828394454236</v>
      </c>
      <c r="G73">
        <v>101.94718819289699</v>
      </c>
      <c r="H73">
        <v>98.09000304234678</v>
      </c>
      <c r="I73">
        <f t="shared" si="1"/>
        <v>0.50482103318769422</v>
      </c>
    </row>
    <row r="74" spans="4:9">
      <c r="D74">
        <v>122</v>
      </c>
      <c r="E74">
        <v>6.1151609303197683</v>
      </c>
      <c r="F74">
        <v>0.4976035956097542</v>
      </c>
      <c r="G74">
        <v>101.93911445780763</v>
      </c>
      <c r="H74">
        <v>98.097771921875989</v>
      </c>
      <c r="I74">
        <f t="shared" si="1"/>
        <v>0.50480123541946464</v>
      </c>
    </row>
    <row r="75" spans="4:9">
      <c r="D75">
        <v>123</v>
      </c>
      <c r="E75">
        <v>6.1017692113037034</v>
      </c>
      <c r="F75">
        <v>0.48421187659368936</v>
      </c>
      <c r="G75">
        <v>101.93114001184742</v>
      </c>
      <c r="H75">
        <v>98.105446469427449</v>
      </c>
      <c r="I75">
        <f t="shared" si="1"/>
        <v>0.50478167956596487</v>
      </c>
    </row>
    <row r="76" spans="4:9">
      <c r="D76">
        <v>124</v>
      </c>
      <c r="E76">
        <v>6.0797677898122888</v>
      </c>
      <c r="F76">
        <v>0.46221045510227476</v>
      </c>
      <c r="G76">
        <v>101.92326283902477</v>
      </c>
      <c r="H76">
        <v>98.113028581059197</v>
      </c>
      <c r="I76">
        <f t="shared" si="1"/>
        <v>0.50476236074043213</v>
      </c>
    </row>
    <row r="77" spans="4:9">
      <c r="D77">
        <v>125</v>
      </c>
      <c r="E77">
        <v>6.0665694313895973</v>
      </c>
      <c r="F77">
        <v>0.44901209667958319</v>
      </c>
      <c r="G77">
        <v>101.91548098015168</v>
      </c>
      <c r="H77">
        <v>98.120520099860514</v>
      </c>
      <c r="I77">
        <f t="shared" si="1"/>
        <v>0.5047432741927812</v>
      </c>
    </row>
    <row r="78" spans="4:9">
      <c r="D78">
        <v>126</v>
      </c>
      <c r="E78">
        <v>6.0450244830067499</v>
      </c>
      <c r="F78">
        <v>0.42746714829673582</v>
      </c>
      <c r="G78">
        <v>101.90779253080743</v>
      </c>
      <c r="H78">
        <v>98.127922817844691</v>
      </c>
      <c r="I78">
        <f t="shared" si="1"/>
        <v>0.5047244153058551</v>
      </c>
    </row>
    <row r="79" spans="4:9">
      <c r="D79">
        <v>127</v>
      </c>
      <c r="E79">
        <v>6.0320154217382065</v>
      </c>
      <c r="F79">
        <v>0.41445808702819242</v>
      </c>
      <c r="G79">
        <v>101.90019563937926</v>
      </c>
      <c r="H79">
        <v>98.135238477751543</v>
      </c>
      <c r="I79">
        <f t="shared" si="1"/>
        <v>0.5047057795892006</v>
      </c>
    </row>
    <row r="80" spans="4:9">
      <c r="D80">
        <v>128</v>
      </c>
      <c r="E80">
        <v>6.0109109873130651</v>
      </c>
      <c r="F80">
        <v>0.393353652603051</v>
      </c>
      <c r="G80">
        <v>101.89268850520263</v>
      </c>
      <c r="H80">
        <v>98.142468774778649</v>
      </c>
      <c r="I80">
        <f t="shared" si="1"/>
        <v>0.50468736267585346</v>
      </c>
    </row>
    <row r="81" spans="4:9">
      <c r="D81">
        <v>129</v>
      </c>
      <c r="E81">
        <v>5.9980872342637719</v>
      </c>
      <c r="F81">
        <v>0.38052989955375782</v>
      </c>
      <c r="G81">
        <v>101.8852693767701</v>
      </c>
      <c r="H81">
        <v>98.149615358233774</v>
      </c>
      <c r="I81">
        <f t="shared" si="1"/>
        <v>0.5046691603171457</v>
      </c>
    </row>
    <row r="82" spans="4:9">
      <c r="D82">
        <v>130</v>
      </c>
      <c r="E82">
        <v>5.977408136133092</v>
      </c>
      <c r="F82">
        <v>0.3598508014230779</v>
      </c>
      <c r="G82">
        <v>101.87793655002054</v>
      </c>
      <c r="H82">
        <v>98.156679833126816</v>
      </c>
      <c r="I82">
        <f t="shared" si="1"/>
        <v>0.50465116837951551</v>
      </c>
    </row>
    <row r="83" spans="4:9">
      <c r="D83">
        <v>131</v>
      </c>
      <c r="E83">
        <v>5.9647657796492339</v>
      </c>
      <c r="F83">
        <v>0.34720844493921987</v>
      </c>
      <c r="G83">
        <v>101.8706883667013</v>
      </c>
      <c r="H83">
        <v>98.163663761682301</v>
      </c>
      <c r="I83">
        <f t="shared" si="1"/>
        <v>0.50463338283985126</v>
      </c>
    </row>
    <row r="84" spans="4:9">
      <c r="D84">
        <v>132</v>
      </c>
      <c r="E84">
        <v>5.9444975726465641</v>
      </c>
      <c r="F84">
        <v>0.32694023793655003</v>
      </c>
      <c r="G84">
        <v>101.86352321279539</v>
      </c>
      <c r="H84">
        <v>98.170568664797898</v>
      </c>
      <c r="I84">
        <f t="shared" si="1"/>
        <v>0.5046157997817452</v>
      </c>
    </row>
    <row r="85" spans="4:9">
      <c r="D85">
        <v>133</v>
      </c>
      <c r="E85">
        <v>5.9320327803845423</v>
      </c>
      <c r="F85">
        <v>0.31447544567452823</v>
      </c>
      <c r="G85">
        <v>101.85643951701947</v>
      </c>
      <c r="H85">
        <v>98.177396023440167</v>
      </c>
      <c r="I85">
        <f t="shared" si="1"/>
        <v>0.50459841539230021</v>
      </c>
    </row>
    <row r="86" spans="4:9">
      <c r="D86">
        <v>134</v>
      </c>
      <c r="E86">
        <v>5.9121617065693792</v>
      </c>
      <c r="F86">
        <v>0.29460437185936517</v>
      </c>
      <c r="G86">
        <v>101.84943574937729</v>
      </c>
      <c r="H86">
        <v>98.184147279982696</v>
      </c>
      <c r="I86">
        <f t="shared" si="1"/>
        <v>0.5045812259581216</v>
      </c>
    </row>
    <row r="87" spans="4:9">
      <c r="D87">
        <v>135</v>
      </c>
      <c r="E87">
        <v>5.8998707268797466</v>
      </c>
      <c r="F87">
        <v>0.2823133921697325</v>
      </c>
      <c r="G87">
        <v>101.84251041977824</v>
      </c>
      <c r="H87">
        <v>98.190823839490463</v>
      </c>
      <c r="I87">
        <f t="shared" si="1"/>
        <v>0.50456422786235833</v>
      </c>
    </row>
    <row r="88" spans="4:9">
      <c r="D88">
        <v>136</v>
      </c>
      <c r="E88">
        <v>5.8803836736729567</v>
      </c>
      <c r="F88">
        <v>0.26282633896294261</v>
      </c>
      <c r="G88">
        <v>101.83566207671177</v>
      </c>
      <c r="H88">
        <v>98.197427070951974</v>
      </c>
      <c r="I88">
        <f t="shared" si="1"/>
        <v>0.504547417581789</v>
      </c>
    </row>
    <row r="89" spans="4:9">
      <c r="D89">
        <v>137</v>
      </c>
      <c r="E89">
        <v>5.868262836438876</v>
      </c>
      <c r="F89">
        <v>0.25070550172886197</v>
      </c>
      <c r="G89">
        <v>101.82888930596576</v>
      </c>
      <c r="H89">
        <v>98.203958308462177</v>
      </c>
      <c r="I89">
        <f t="shared" si="1"/>
        <v>0.5045307916827324</v>
      </c>
    </row>
    <row r="90" spans="4:9">
      <c r="D90">
        <v>138</v>
      </c>
      <c r="E90">
        <v>5.8491472978476233</v>
      </c>
      <c r="F90">
        <v>0.23158996313760927</v>
      </c>
      <c r="G90">
        <v>101.82219072941162</v>
      </c>
      <c r="H90">
        <v>98.210418852356554</v>
      </c>
      <c r="I90">
        <f t="shared" si="1"/>
        <v>0.50451434681898566</v>
      </c>
    </row>
    <row r="91" spans="4:9">
      <c r="D91">
        <v>139</v>
      </c>
      <c r="E91">
        <v>5.837193014864174</v>
      </c>
      <c r="F91">
        <v>0.21963568015415991</v>
      </c>
      <c r="G91">
        <v>101.81556500382567</v>
      </c>
      <c r="H91">
        <v>98.216809970305718</v>
      </c>
      <c r="I91">
        <f t="shared" si="1"/>
        <v>0.5044980797289389</v>
      </c>
    </row>
    <row r="92" spans="4:9">
      <c r="D92">
        <v>140</v>
      </c>
      <c r="E92">
        <v>5.8184370555414864</v>
      </c>
      <c r="F92">
        <v>0.20087972083147232</v>
      </c>
      <c r="G92">
        <v>101.80901081976204</v>
      </c>
      <c r="H92">
        <v>98.223132898360163</v>
      </c>
      <c r="I92">
        <f t="shared" si="1"/>
        <v>0.50448198723252036</v>
      </c>
    </row>
    <row r="93" spans="4:9">
      <c r="D93">
        <v>141</v>
      </c>
      <c r="E93">
        <v>5.8066458205059632</v>
      </c>
      <c r="F93">
        <v>0.18908848579594917</v>
      </c>
      <c r="G93">
        <v>101.80252690046871</v>
      </c>
      <c r="H93">
        <v>98.229388841957771</v>
      </c>
      <c r="I93">
        <f t="shared" si="1"/>
        <v>0.50446606622859935</v>
      </c>
    </row>
    <row r="94" spans="4:9">
      <c r="D94">
        <v>142</v>
      </c>
      <c r="E94">
        <v>5.7882380423967685</v>
      </c>
      <c r="F94">
        <v>0.17068070768675447</v>
      </c>
      <c r="G94">
        <v>101.79611200084567</v>
      </c>
      <c r="H94">
        <v>98.235578976895368</v>
      </c>
      <c r="I94">
        <f t="shared" si="1"/>
        <v>0.50445031369290261</v>
      </c>
    </row>
    <row r="95" spans="4:9">
      <c r="D95">
        <v>143</v>
      </c>
      <c r="E95">
        <v>5.7766064305730547</v>
      </c>
      <c r="F95">
        <v>0.15904909586304061</v>
      </c>
      <c r="G95">
        <v>101.78976490644483</v>
      </c>
      <c r="H95">
        <v>98.241704450255597</v>
      </c>
      <c r="I95">
        <f t="shared" si="1"/>
        <v>0.50443472667517997</v>
      </c>
    </row>
    <row r="96" spans="4:9">
      <c r="D96">
        <v>144</v>
      </c>
      <c r="E96">
        <v>5.7585359419241273</v>
      </c>
      <c r="F96">
        <v>0.14097860721411326</v>
      </c>
      <c r="G96">
        <v>101.7834844325055</v>
      </c>
      <c r="H96">
        <v>98.247766381304828</v>
      </c>
      <c r="I96">
        <f t="shared" si="1"/>
        <v>0.50441930229698584</v>
      </c>
    </row>
    <row r="97" spans="4:9">
      <c r="D97">
        <v>145</v>
      </c>
      <c r="E97">
        <v>5.7470606095366463</v>
      </c>
      <c r="F97">
        <v>0.12950327482663226</v>
      </c>
      <c r="G97">
        <v>101.77726942302839</v>
      </c>
      <c r="H97">
        <v>98.253765862354911</v>
      </c>
      <c r="I97">
        <f t="shared" si="1"/>
        <v>0.50440403774948428</v>
      </c>
    </row>
    <row r="98" spans="4:9">
      <c r="D98">
        <v>146</v>
      </c>
      <c r="E98">
        <v>5.7293169960822734</v>
      </c>
      <c r="F98">
        <v>0.11175966137225934</v>
      </c>
      <c r="G98">
        <v>101.77111874988469</v>
      </c>
      <c r="H98">
        <v>98.259703959590311</v>
      </c>
      <c r="I98">
        <f t="shared" si="1"/>
        <v>0.50438893029103227</v>
      </c>
    </row>
    <row r="99" spans="4:9">
      <c r="D99">
        <v>147</v>
      </c>
      <c r="E99">
        <v>5.7179946794841854</v>
      </c>
      <c r="F99">
        <v>0.10043734477417132</v>
      </c>
      <c r="G99">
        <v>101.76503131195967</v>
      </c>
      <c r="H99">
        <v>98.265581713870617</v>
      </c>
      <c r="I99">
        <f t="shared" si="1"/>
        <v>0.50437397724588007</v>
      </c>
    </row>
    <row r="100" spans="4:9">
      <c r="D100">
        <v>148</v>
      </c>
      <c r="E100">
        <v>5.7005679776219909</v>
      </c>
      <c r="F100">
        <v>8.3010642911976795E-2</v>
      </c>
      <c r="G100">
        <v>101.75900603432548</v>
      </c>
      <c r="H100">
        <v>98.271400141495462</v>
      </c>
      <c r="I100">
        <f t="shared" si="1"/>
        <v>0.50435917600143032</v>
      </c>
    </row>
    <row r="101" spans="4:9">
      <c r="D101">
        <v>149</v>
      </c>
      <c r="E101">
        <v>5.689395492268523</v>
      </c>
      <c r="F101">
        <v>7.1838157558508975E-2</v>
      </c>
      <c r="G101">
        <v>101.75304186744587</v>
      </c>
      <c r="H101">
        <v>98.277160234945612</v>
      </c>
      <c r="I101">
        <f t="shared" si="1"/>
        <v>0.50434452400638274</v>
      </c>
    </row>
    <row r="102" spans="4:9">
      <c r="D102">
        <v>150</v>
      </c>
      <c r="E102">
        <v>5.6722761640734172</v>
      </c>
      <c r="F102">
        <v>5.471882936340311E-2</v>
      </c>
      <c r="G102">
        <v>101.74713778641186</v>
      </c>
      <c r="H102">
        <v>98.282862963595448</v>
      </c>
      <c r="I102">
        <f t="shared" si="1"/>
        <v>0.5043300187689661</v>
      </c>
    </row>
    <row r="103" spans="4:9">
      <c r="D103">
        <v>151</v>
      </c>
      <c r="E103">
        <v>5.661250403351886</v>
      </c>
      <c r="F103">
        <v>4.3693068641871946E-2</v>
      </c>
      <c r="G103">
        <v>101.74129279020399</v>
      </c>
      <c r="H103">
        <v>98.288509274406053</v>
      </c>
      <c r="I103">
        <f t="shared" si="1"/>
        <v>0.50431565785599952</v>
      </c>
    </row>
    <row r="104" spans="4:9">
      <c r="D104">
        <v>152</v>
      </c>
      <c r="E104">
        <v>5.6444293132602867</v>
      </c>
      <c r="F104">
        <v>2.6871978550272679E-2</v>
      </c>
      <c r="G104">
        <v>101.73550590097967</v>
      </c>
      <c r="H104">
        <v>98.294100092578773</v>
      </c>
      <c r="I104">
        <f t="shared" si="1"/>
        <v>0.5043014388896212</v>
      </c>
    </row>
    <row r="105" spans="4:9">
      <c r="D105">
        <v>153</v>
      </c>
      <c r="E105">
        <v>5.6335472471910277</v>
      </c>
      <c r="F105">
        <v>1.5989912481013668E-2</v>
      </c>
      <c r="G105">
        <v>101.72977616338964</v>
      </c>
      <c r="H105">
        <v>98.299636322199476</v>
      </c>
      <c r="I105">
        <f t="shared" si="1"/>
        <v>0.50428735954667592</v>
      </c>
    </row>
    <row r="106" spans="4:9">
      <c r="D106">
        <v>154</v>
      </c>
      <c r="E106">
        <v>6.8765105717987636</v>
      </c>
      <c r="F106">
        <v>1.2589532370887495</v>
      </c>
      <c r="G106">
        <v>101.72410264391739</v>
      </c>
      <c r="H106">
        <v>98.305118846854313</v>
      </c>
      <c r="I106">
        <f t="shared" si="1"/>
        <v>0.5042734175571123</v>
      </c>
    </row>
    <row r="107" spans="4:9">
      <c r="D107">
        <v>155</v>
      </c>
      <c r="E107">
        <v>6.8666817860798242</v>
      </c>
      <c r="F107">
        <v>1.2491244513698101</v>
      </c>
      <c r="G107">
        <v>101.71848443024305</v>
      </c>
      <c r="H107">
        <v>98.310548530221979</v>
      </c>
      <c r="I107">
        <f t="shared" si="1"/>
        <v>0.50425961070230974</v>
      </c>
    </row>
    <row r="108" spans="4:9">
      <c r="D108">
        <v>156</v>
      </c>
      <c r="E108">
        <v>6.847391363331738</v>
      </c>
      <c r="F108">
        <v>1.229834028621724</v>
      </c>
      <c r="G108">
        <v>101.71292063062252</v>
      </c>
      <c r="H108">
        <v>98.31592621664656</v>
      </c>
      <c r="I108">
        <f t="shared" si="1"/>
        <v>0.50424593681261254</v>
      </c>
    </row>
    <row r="109" spans="4:9">
      <c r="D109">
        <v>157</v>
      </c>
      <c r="E109">
        <v>6.837645379269957</v>
      </c>
      <c r="F109">
        <v>1.2200880445599429</v>
      </c>
      <c r="G109">
        <v>101.70741037330663</v>
      </c>
      <c r="H109">
        <v>98.321252731694102</v>
      </c>
      <c r="I109">
        <f t="shared" si="1"/>
        <v>0.50423239376815931</v>
      </c>
    </row>
    <row r="110" spans="4:9">
      <c r="D110">
        <v>158</v>
      </c>
      <c r="E110">
        <v>6.8186653686604233</v>
      </c>
      <c r="F110">
        <v>1.2011080339504092</v>
      </c>
      <c r="G110">
        <v>101.70195280595573</v>
      </c>
      <c r="H110">
        <v>98.326528882682481</v>
      </c>
      <c r="I110">
        <f t="shared" si="1"/>
        <v>0.50421897949496508</v>
      </c>
    </row>
    <row r="111" spans="4:9">
      <c r="D111">
        <v>159</v>
      </c>
      <c r="E111">
        <v>6.8090018183403229</v>
      </c>
      <c r="F111">
        <v>1.1914444836303089</v>
      </c>
      <c r="G111">
        <v>101.69654709509723</v>
      </c>
      <c r="H111">
        <v>98.33175545919957</v>
      </c>
      <c r="I111">
        <f t="shared" si="1"/>
        <v>0.50420569196541798</v>
      </c>
    </row>
    <row r="112" spans="4:9">
      <c r="D112">
        <v>160</v>
      </c>
      <c r="E112">
        <v>6.7903237305456452</v>
      </c>
      <c r="F112">
        <v>1.1727663958356311</v>
      </c>
      <c r="G112">
        <v>101.6911924255881</v>
      </c>
      <c r="H112">
        <v>98.336933233598231</v>
      </c>
      <c r="I112">
        <f t="shared" si="1"/>
        <v>0.50419252919593915</v>
      </c>
    </row>
    <row r="113" spans="4:9">
      <c r="D113">
        <v>161</v>
      </c>
      <c r="E113">
        <v>6.7807421914137409</v>
      </c>
      <c r="F113">
        <v>1.1631848567037268</v>
      </c>
      <c r="G113">
        <v>101.68588800010009</v>
      </c>
      <c r="H113">
        <v>98.342062961480806</v>
      </c>
      <c r="I113">
        <f t="shared" si="1"/>
        <v>0.5041794892463094</v>
      </c>
    </row>
    <row r="114" spans="4:9">
      <c r="D114">
        <v>162</v>
      </c>
      <c r="E114">
        <v>6.7623578644344144</v>
      </c>
      <c r="F114">
        <v>1.1448005297244004</v>
      </c>
      <c r="G114">
        <v>101.68063303862543</v>
      </c>
      <c r="H114">
        <v>98.347145382161756</v>
      </c>
      <c r="I114">
        <f t="shared" si="1"/>
        <v>0.50416657021863021</v>
      </c>
    </row>
    <row r="115" spans="4:9">
      <c r="D115">
        <v>163</v>
      </c>
      <c r="E115">
        <v>6.7528578652461135</v>
      </c>
      <c r="F115">
        <v>1.1353005305360995</v>
      </c>
      <c r="G115">
        <v>101.67542677799204</v>
      </c>
      <c r="H115">
        <v>98.352181219115309</v>
      </c>
      <c r="I115">
        <f t="shared" si="1"/>
        <v>0.50415377025534702</v>
      </c>
    </row>
    <row r="116" spans="4:9">
      <c r="D116">
        <v>164</v>
      </c>
      <c r="E116">
        <v>6.7347594481613937</v>
      </c>
      <c r="F116">
        <v>1.1172021134513797</v>
      </c>
      <c r="G116">
        <v>101.67026847140178</v>
      </c>
      <c r="H116">
        <v>98.357171180410973</v>
      </c>
      <c r="I116">
        <f t="shared" si="1"/>
        <v>0.50414108753874687</v>
      </c>
    </row>
    <row r="117" spans="4:9">
      <c r="D117">
        <v>165</v>
      </c>
      <c r="E117">
        <v>6.7253404743830378</v>
      </c>
      <c r="F117">
        <v>1.1077831396730238</v>
      </c>
      <c r="G117">
        <v>101.66515738798095</v>
      </c>
      <c r="H117">
        <v>98.362115959132453</v>
      </c>
      <c r="I117">
        <f t="shared" si="1"/>
        <v>0.5041285202896949</v>
      </c>
    </row>
    <row r="118" spans="4:9">
      <c r="D118">
        <v>166</v>
      </c>
      <c r="E118">
        <v>6.707520412082399</v>
      </c>
      <c r="F118">
        <v>1.089963077372385</v>
      </c>
      <c r="G118">
        <v>101.66009281234699</v>
      </c>
      <c r="H118">
        <v>98.367016233782039</v>
      </c>
      <c r="I118">
        <f t="shared" si="1"/>
        <v>0.50411606676648268</v>
      </c>
    </row>
    <row r="119" spans="4:9">
      <c r="D119">
        <v>167</v>
      </c>
      <c r="E119">
        <v>6.6981819107998559</v>
      </c>
      <c r="F119">
        <v>1.0806245760898419</v>
      </c>
      <c r="G119">
        <v>101.65507404419061</v>
      </c>
      <c r="H119">
        <v>98.37187266867565</v>
      </c>
      <c r="I119">
        <f t="shared" si="1"/>
        <v>0.50410372526449676</v>
      </c>
    </row>
    <row r="120" spans="4:9">
      <c r="D120">
        <v>168</v>
      </c>
      <c r="E120">
        <v>6.6806329296355456</v>
      </c>
      <c r="F120">
        <v>1.0630755949255315</v>
      </c>
      <c r="G120">
        <v>101.65010039786701</v>
      </c>
      <c r="H120">
        <v>98.376685914318998</v>
      </c>
      <c r="I120">
        <f t="shared" si="1"/>
        <v>0.50409149411426979</v>
      </c>
    </row>
    <row r="121" spans="4:9">
      <c r="D121">
        <v>169</v>
      </c>
      <c r="E121">
        <v>6.6713743140106043</v>
      </c>
      <c r="F121">
        <v>1.0538169793005903</v>
      </c>
      <c r="G121">
        <v>101.64517120200439</v>
      </c>
      <c r="H121">
        <v>98.381456607776286</v>
      </c>
      <c r="I121">
        <f t="shared" si="1"/>
        <v>0.50407937168093209</v>
      </c>
    </row>
    <row r="122" spans="4:9">
      <c r="D122">
        <v>170</v>
      </c>
      <c r="E122">
        <v>6.6540894082923021</v>
      </c>
      <c r="F122">
        <v>1.036532073582288</v>
      </c>
      <c r="G122">
        <v>101.64028579912424</v>
      </c>
      <c r="H122">
        <v>98.386185373024986</v>
      </c>
      <c r="I122">
        <f t="shared" si="1"/>
        <v>0.50406735636320854</v>
      </c>
    </row>
    <row r="123" spans="4:9">
      <c r="D123">
        <v>171</v>
      </c>
      <c r="E123">
        <v>6.6449100616226113</v>
      </c>
      <c r="F123">
        <v>1.0273527269125973</v>
      </c>
      <c r="G123">
        <v>101.63544354527963</v>
      </c>
      <c r="H123">
        <v>98.390872821300732</v>
      </c>
      <c r="I123">
        <f t="shared" si="1"/>
        <v>0.50405544659357704</v>
      </c>
    </row>
    <row r="124" spans="4:9">
      <c r="D124">
        <v>172</v>
      </c>
      <c r="E124">
        <v>6.6278824809062211</v>
      </c>
      <c r="F124">
        <v>1.0103251461962071</v>
      </c>
      <c r="G124">
        <v>101.63064380968726</v>
      </c>
      <c r="H124">
        <v>98.395519551425096</v>
      </c>
      <c r="I124">
        <f t="shared" si="1"/>
        <v>0.50404364083474296</v>
      </c>
    </row>
    <row r="125" spans="4:9">
      <c r="D125">
        <v>173</v>
      </c>
      <c r="E125">
        <v>6.6187817603069234</v>
      </c>
      <c r="F125">
        <v>1.0012244255969094</v>
      </c>
      <c r="G125">
        <v>101.62588597439445</v>
      </c>
      <c r="H125">
        <v>98.400126150137382</v>
      </c>
      <c r="I125">
        <f t="shared" si="1"/>
        <v>0.50403193758199627</v>
      </c>
    </row>
    <row r="126" spans="4:9">
      <c r="D126">
        <v>174</v>
      </c>
      <c r="E126">
        <v>6.6020049974170503</v>
      </c>
      <c r="F126">
        <v>0.98444766270703621</v>
      </c>
      <c r="G126">
        <v>101.62116943394507</v>
      </c>
      <c r="H126">
        <v>98.404693192397488</v>
      </c>
      <c r="I126">
        <f t="shared" si="1"/>
        <v>0.50402033536086599</v>
      </c>
    </row>
    <row r="127" spans="4:9">
      <c r="D127">
        <v>175</v>
      </c>
      <c r="E127">
        <v>6.5929822371638327</v>
      </c>
      <c r="F127">
        <v>0.97542490245381863</v>
      </c>
      <c r="G127">
        <v>101.6164935950472</v>
      </c>
      <c r="H127">
        <v>98.409221241692578</v>
      </c>
      <c r="I127">
        <f t="shared" si="1"/>
        <v>0.50400883272555319</v>
      </c>
    </row>
    <row r="128" spans="4:9">
      <c r="D128">
        <v>176</v>
      </c>
      <c r="E128">
        <v>6.5764500169132702</v>
      </c>
      <c r="F128">
        <v>0.95889268220325619</v>
      </c>
      <c r="G128">
        <v>101.61185787627113</v>
      </c>
      <c r="H128">
        <v>98.413710850328044</v>
      </c>
      <c r="I128">
        <f t="shared" si="1"/>
        <v>0.50399742825951466</v>
      </c>
    </row>
    <row r="129" spans="4:9">
      <c r="D129">
        <v>177</v>
      </c>
      <c r="E129">
        <v>6.5675045314953095</v>
      </c>
      <c r="F129">
        <v>0.94994719678529549</v>
      </c>
      <c r="G129">
        <v>101.60726170774193</v>
      </c>
      <c r="H129">
        <v>98.418162559714119</v>
      </c>
      <c r="I129">
        <f t="shared" si="1"/>
        <v>0.503986120574484</v>
      </c>
    </row>
    <row r="130" spans="4:9">
      <c r="D130">
        <v>178</v>
      </c>
      <c r="E130">
        <v>6.5512108000208062</v>
      </c>
      <c r="F130">
        <v>0.93365346531079219</v>
      </c>
      <c r="G130">
        <v>101.60270453084648</v>
      </c>
      <c r="H130">
        <v>98.422576900638916</v>
      </c>
      <c r="I130">
        <f t="shared" si="1"/>
        <v>0.5039749083095364</v>
      </c>
    </row>
    <row r="131" spans="4:9">
      <c r="D131">
        <v>179</v>
      </c>
      <c r="E131">
        <v>6.5423418869007106</v>
      </c>
      <c r="F131">
        <v>0.92478455219069655</v>
      </c>
      <c r="G131">
        <v>101.59818579794759</v>
      </c>
      <c r="H131">
        <v>98.426954393530934</v>
      </c>
      <c r="I131">
        <f t="shared" ref="I131:I194" si="2">(G131-100)/(G131-H131)</f>
        <v>0.50396379012952419</v>
      </c>
    </row>
    <row r="132" spans="4:9">
      <c r="D132">
        <v>180</v>
      </c>
      <c r="E132">
        <v>6.5262808016246501</v>
      </c>
      <c r="F132">
        <v>0.90872346691463601</v>
      </c>
      <c r="G132">
        <v>101.59370497211113</v>
      </c>
      <c r="H132">
        <v>98.431295548727235</v>
      </c>
      <c r="I132">
        <f t="shared" si="2"/>
        <v>0.50395276472639805</v>
      </c>
    </row>
    <row r="133" spans="4:9">
      <c r="D133">
        <v>181</v>
      </c>
      <c r="E133">
        <v>6.5174877437595535</v>
      </c>
      <c r="F133">
        <v>0.89993040904953947</v>
      </c>
      <c r="G133">
        <v>101.58926152683669</v>
      </c>
      <c r="H133">
        <v>98.435600866714609</v>
      </c>
      <c r="I133">
        <f t="shared" si="2"/>
        <v>0.50394183081675314</v>
      </c>
    </row>
    <row r="134" spans="4:9">
      <c r="D134">
        <v>182</v>
      </c>
      <c r="E134">
        <v>6.5016536638806111</v>
      </c>
      <c r="F134">
        <v>0.884096329170597</v>
      </c>
      <c r="G134">
        <v>101.58485494579966</v>
      </c>
      <c r="H134">
        <v>98.439870838379008</v>
      </c>
      <c r="I134">
        <f t="shared" si="2"/>
        <v>0.50393098714240392</v>
      </c>
    </row>
    <row r="135" spans="4:9">
      <c r="D135">
        <v>183</v>
      </c>
      <c r="E135">
        <v>6.4929357320049359</v>
      </c>
      <c r="F135">
        <v>0.87537839729492184</v>
      </c>
      <c r="G135">
        <v>101.58048472259853</v>
      </c>
      <c r="H135">
        <v>98.444105945236586</v>
      </c>
      <c r="I135">
        <f t="shared" si="2"/>
        <v>0.50392023246882778</v>
      </c>
    </row>
    <row r="136" spans="4:9">
      <c r="D136">
        <v>184</v>
      </c>
      <c r="E136">
        <v>6.4773232095310389</v>
      </c>
      <c r="F136">
        <v>0.85976587482102484</v>
      </c>
      <c r="G136">
        <v>101.57615036051241</v>
      </c>
      <c r="H136">
        <v>98.448306659665093</v>
      </c>
      <c r="I136">
        <f t="shared" si="2"/>
        <v>0.50390956558521172</v>
      </c>
    </row>
    <row r="137" spans="4:9">
      <c r="D137">
        <v>185</v>
      </c>
      <c r="E137">
        <v>6.4686796642326412</v>
      </c>
      <c r="F137">
        <v>0.85112232952262712</v>
      </c>
      <c r="G137">
        <v>101.57185137226324</v>
      </c>
      <c r="H137">
        <v>98.452473445125037</v>
      </c>
      <c r="I137">
        <f t="shared" si="2"/>
        <v>0.50389898530355259</v>
      </c>
    </row>
    <row r="138" spans="4:9">
      <c r="D138">
        <v>186</v>
      </c>
      <c r="E138">
        <v>6.4532834354930886</v>
      </c>
      <c r="F138">
        <v>0.83572610078307452</v>
      </c>
      <c r="G138">
        <v>101.56758727978894</v>
      </c>
      <c r="H138">
        <v>98.456606756376161</v>
      </c>
      <c r="I138">
        <f t="shared" si="2"/>
        <v>0.50388849045871842</v>
      </c>
    </row>
    <row r="139" spans="4:9">
      <c r="D139">
        <v>187</v>
      </c>
      <c r="E139">
        <v>6.4447135290973598</v>
      </c>
      <c r="F139">
        <v>0.82715619438734578</v>
      </c>
      <c r="G139">
        <v>101.5633576140155</v>
      </c>
      <c r="H139">
        <v>98.460707039681665</v>
      </c>
      <c r="I139">
        <f t="shared" si="2"/>
        <v>0.50387807990629652</v>
      </c>
    </row>
    <row r="140" spans="4:9">
      <c r="D140">
        <v>188</v>
      </c>
      <c r="E140">
        <v>6.429528506709576</v>
      </c>
      <c r="F140">
        <v>0.81197117199956192</v>
      </c>
      <c r="G140">
        <v>101.55916191464642</v>
      </c>
      <c r="H140">
        <v>98.464774733020249</v>
      </c>
      <c r="I140">
        <f t="shared" si="2"/>
        <v>0.50386775252444227</v>
      </c>
    </row>
    <row r="141" spans="4:9">
      <c r="D141">
        <v>189</v>
      </c>
      <c r="E141">
        <v>6.4210314849964378</v>
      </c>
      <c r="F141">
        <v>0.80347415028642377</v>
      </c>
      <c r="G141">
        <v>101.55499972995018</v>
      </c>
      <c r="H141">
        <v>98.468810266274872</v>
      </c>
      <c r="I141">
        <f t="shared" si="2"/>
        <v>0.5038575072116116</v>
      </c>
    </row>
    <row r="142" spans="4:9">
      <c r="D142">
        <v>190</v>
      </c>
      <c r="E142">
        <v>6.4060527502628268</v>
      </c>
      <c r="F142">
        <v>0.78849541555281277</v>
      </c>
      <c r="G142">
        <v>101.55087061655489</v>
      </c>
      <c r="H142">
        <v>98.472814061425424</v>
      </c>
      <c r="I142">
        <f t="shared" si="2"/>
        <v>0.50384734288602384</v>
      </c>
    </row>
    <row r="143" spans="4:9">
      <c r="D143">
        <v>191</v>
      </c>
      <c r="E143">
        <v>6.3976278540199711</v>
      </c>
      <c r="F143">
        <v>0.78007051930995708</v>
      </c>
      <c r="G143">
        <v>101.54677413925765</v>
      </c>
      <c r="H143">
        <v>98.476786532740277</v>
      </c>
      <c r="I143">
        <f t="shared" si="2"/>
        <v>0.50383725848728345</v>
      </c>
    </row>
    <row r="144" spans="4:9">
      <c r="D144">
        <v>192</v>
      </c>
      <c r="E144">
        <v>6.3828506497179704</v>
      </c>
      <c r="F144">
        <v>0.76529331500795639</v>
      </c>
      <c r="G144">
        <v>101.54270987081949</v>
      </c>
      <c r="H144">
        <v>98.480728086947664</v>
      </c>
      <c r="I144">
        <f t="shared" si="2"/>
        <v>0.50382725297234143</v>
      </c>
    </row>
    <row r="145" spans="4:9">
      <c r="D145">
        <v>193</v>
      </c>
      <c r="E145">
        <v>6.3744971161497661</v>
      </c>
      <c r="F145">
        <v>0.75693978143975205</v>
      </c>
      <c r="G145">
        <v>101.53867739179152</v>
      </c>
      <c r="H145">
        <v>98.484639123421204</v>
      </c>
      <c r="I145">
        <f t="shared" si="2"/>
        <v>0.50381732531877688</v>
      </c>
    </row>
    <row r="146" spans="4:9">
      <c r="D146">
        <v>194</v>
      </c>
      <c r="E146">
        <v>6.3599168397154422</v>
      </c>
      <c r="F146">
        <v>0.74235950500542813</v>
      </c>
      <c r="G146">
        <v>101.53467629032642</v>
      </c>
      <c r="H146">
        <v>98.48852003434024</v>
      </c>
      <c r="I146">
        <f t="shared" si="2"/>
        <v>0.50380747452155028</v>
      </c>
    </row>
    <row r="147" spans="4:9">
      <c r="D147">
        <v>195</v>
      </c>
      <c r="E147">
        <v>6.3516339037174037</v>
      </c>
      <c r="F147">
        <v>0.7340765690073896</v>
      </c>
      <c r="G147">
        <v>101.53070616200448</v>
      </c>
      <c r="H147">
        <v>98.492371204862835</v>
      </c>
      <c r="I147">
        <f t="shared" si="2"/>
        <v>0.5037976995941591</v>
      </c>
    </row>
    <row r="148" spans="4:9">
      <c r="D148">
        <v>196</v>
      </c>
      <c r="E148">
        <v>6.3372461007598329</v>
      </c>
      <c r="F148">
        <v>0.7196887660498188</v>
      </c>
      <c r="G148">
        <v>101.52676660966088</v>
      </c>
      <c r="H148">
        <v>98.496193013285023</v>
      </c>
      <c r="I148">
        <f t="shared" si="2"/>
        <v>0.50378799956769926</v>
      </c>
    </row>
    <row r="149" spans="4:9">
      <c r="D149">
        <v>197</v>
      </c>
      <c r="E149">
        <v>6.3290329960815406</v>
      </c>
      <c r="F149">
        <v>0.71147566137152651</v>
      </c>
      <c r="G149">
        <v>101.52285724322353</v>
      </c>
      <c r="H149">
        <v>98.49998583119482</v>
      </c>
      <c r="I149">
        <f t="shared" si="2"/>
        <v>0.50377837349075605</v>
      </c>
    </row>
    <row r="150" spans="4:9">
      <c r="D150">
        <v>198</v>
      </c>
      <c r="E150">
        <v>6.3148333542456196</v>
      </c>
      <c r="F150">
        <v>0.69727601953560558</v>
      </c>
      <c r="G150">
        <v>101.51897767954472</v>
      </c>
      <c r="H150">
        <v>98.503750023627077</v>
      </c>
      <c r="I150">
        <f t="shared" si="2"/>
        <v>0.50376882042839966</v>
      </c>
    </row>
    <row r="151" spans="4:9">
      <c r="D151">
        <v>199</v>
      </c>
      <c r="E151">
        <v>6.3066893145337533</v>
      </c>
      <c r="F151">
        <v>0.68913197982373919</v>
      </c>
      <c r="G151">
        <v>101.51512754224692</v>
      </c>
      <c r="H151">
        <v>98.507485949208487</v>
      </c>
      <c r="I151">
        <f t="shared" si="2"/>
        <v>0.50375933946181362</v>
      </c>
    </row>
    <row r="152" spans="4:9">
      <c r="D152">
        <v>200</v>
      </c>
      <c r="E152">
        <v>6.2926736576587068</v>
      </c>
      <c r="F152">
        <v>0.67511632294869273</v>
      </c>
      <c r="G152">
        <v>101.51130646157127</v>
      </c>
      <c r="H152">
        <v>98.511193960306258</v>
      </c>
      <c r="I152">
        <f t="shared" si="2"/>
        <v>0.50374992968897614</v>
      </c>
    </row>
    <row r="153" spans="4:9">
      <c r="D153">
        <v>201</v>
      </c>
      <c r="E153">
        <v>6.2845979174075302</v>
      </c>
      <c r="F153">
        <v>0.66704058269751609</v>
      </c>
      <c r="G153">
        <v>101.50751407422899</v>
      </c>
      <c r="H153">
        <v>98.514874403164114</v>
      </c>
      <c r="I153">
        <f t="shared" si="2"/>
        <v>0.50374059022367046</v>
      </c>
    </row>
    <row r="154" spans="4:9">
      <c r="D154">
        <v>202</v>
      </c>
      <c r="E154">
        <v>6.2707621999917631</v>
      </c>
      <c r="F154">
        <v>0.65320486528174904</v>
      </c>
      <c r="G154">
        <v>101.50375002325026</v>
      </c>
      <c r="H154">
        <v>98.518527618036671</v>
      </c>
      <c r="I154">
        <f t="shared" si="2"/>
        <v>0.50373132019376954</v>
      </c>
    </row>
    <row r="155" spans="4:9">
      <c r="D155">
        <v>203</v>
      </c>
      <c r="E155">
        <v>6.2627539953963449</v>
      </c>
      <c r="F155">
        <v>0.64519666068633086</v>
      </c>
      <c r="G155">
        <v>101.50001395785601</v>
      </c>
      <c r="H155">
        <v>98.522153939330408</v>
      </c>
      <c r="I155">
        <f t="shared" si="2"/>
        <v>0.50372211874441908</v>
      </c>
    </row>
    <row r="156" spans="4:9">
      <c r="D156">
        <v>204</v>
      </c>
      <c r="E156">
        <v>6.2490942973322294</v>
      </c>
      <c r="F156">
        <v>0.63153696262221537</v>
      </c>
      <c r="G156">
        <v>101.49630553330476</v>
      </c>
      <c r="H156">
        <v>98.525753695720695</v>
      </c>
      <c r="I156">
        <f t="shared" si="2"/>
        <v>0.50371298503300976</v>
      </c>
    </row>
    <row r="157" spans="4:9">
      <c r="D157">
        <v>205</v>
      </c>
      <c r="E157">
        <v>6.2411528670567273</v>
      </c>
      <c r="F157">
        <v>0.62359553234671328</v>
      </c>
      <c r="G157">
        <v>101.49262441077322</v>
      </c>
      <c r="H157">
        <v>98.529327210288756</v>
      </c>
      <c r="I157">
        <f t="shared" si="2"/>
        <v>0.50370391823310601</v>
      </c>
    </row>
    <row r="158" spans="4:9">
      <c r="D158">
        <v>206</v>
      </c>
      <c r="E158">
        <v>6.2276653886191511</v>
      </c>
      <c r="F158">
        <v>0.61010805390913703</v>
      </c>
      <c r="G158">
        <v>101.48897025721851</v>
      </c>
      <c r="H158">
        <v>98.532874800635028</v>
      </c>
      <c r="I158">
        <f t="shared" si="2"/>
        <v>0.50369491753131457</v>
      </c>
    </row>
    <row r="159" spans="4:9">
      <c r="D159">
        <v>207</v>
      </c>
      <c r="E159">
        <v>6.2197899744947396</v>
      </c>
      <c r="F159">
        <v>0.60223263978472552</v>
      </c>
      <c r="G159">
        <v>101.48534274525854</v>
      </c>
      <c r="H159">
        <v>98.536396779002985</v>
      </c>
      <c r="I159">
        <f t="shared" si="2"/>
        <v>0.50368598212891702</v>
      </c>
    </row>
    <row r="160" spans="4:9">
      <c r="D160">
        <v>208</v>
      </c>
      <c r="E160">
        <v>6.2064710315856413</v>
      </c>
      <c r="F160">
        <v>0.58891369687562722</v>
      </c>
      <c r="G160">
        <v>101.48174155304181</v>
      </c>
      <c r="H160">
        <v>98.539893452393088</v>
      </c>
      <c r="I160">
        <f t="shared" si="2"/>
        <v>0.5036771112400622</v>
      </c>
    </row>
    <row r="161" spans="4:9">
      <c r="D161">
        <v>209</v>
      </c>
      <c r="E161">
        <v>6.1986608792351214</v>
      </c>
      <c r="F161">
        <v>0.58110354452510737</v>
      </c>
      <c r="G161">
        <v>101.47816636412917</v>
      </c>
      <c r="H161">
        <v>98.543365122674558</v>
      </c>
      <c r="I161">
        <f t="shared" si="2"/>
        <v>0.50366830409153229</v>
      </c>
    </row>
    <row r="162" spans="4:9">
      <c r="D162">
        <v>210</v>
      </c>
      <c r="E162">
        <v>6.1855068988444559</v>
      </c>
      <c r="F162">
        <v>0.56794956413444186</v>
      </c>
      <c r="G162">
        <v>101.47461686738619</v>
      </c>
      <c r="H162">
        <v>98.54681208669956</v>
      </c>
      <c r="I162">
        <f t="shared" si="2"/>
        <v>0.50365955992474398</v>
      </c>
    </row>
    <row r="163" spans="4:9">
      <c r="D163">
        <v>211</v>
      </c>
      <c r="E163">
        <v>6.1777612582371138</v>
      </c>
      <c r="F163">
        <v>0.56020392352709969</v>
      </c>
      <c r="G163">
        <v>101.47109275685533</v>
      </c>
      <c r="H163">
        <v>98.550234636400461</v>
      </c>
      <c r="I163">
        <f t="shared" si="2"/>
        <v>0.50365087799137376</v>
      </c>
    </row>
    <row r="164" spans="4:9">
      <c r="D164">
        <v>212</v>
      </c>
      <c r="E164">
        <v>6.1647687741338384</v>
      </c>
      <c r="F164">
        <v>0.54721143942382433</v>
      </c>
      <c r="G164">
        <v>101.46759373165727</v>
      </c>
      <c r="H164">
        <v>98.553633058908076</v>
      </c>
      <c r="I164">
        <f t="shared" si="2"/>
        <v>0.50364225755753322</v>
      </c>
    </row>
    <row r="165" spans="4:9">
      <c r="D165">
        <v>213</v>
      </c>
      <c r="E165">
        <v>6.1570869000923985</v>
      </c>
      <c r="F165">
        <v>0.53952956538238439</v>
      </c>
      <c r="G165">
        <v>101.46411949587767</v>
      </c>
      <c r="H165">
        <v>98.557007636638147</v>
      </c>
      <c r="I165">
        <f t="shared" si="2"/>
        <v>0.50363369789997381</v>
      </c>
    </row>
    <row r="166" spans="4:9">
      <c r="D166">
        <v>214</v>
      </c>
      <c r="E166">
        <v>6.1442525487066115</v>
      </c>
      <c r="F166">
        <v>0.52669521399659747</v>
      </c>
      <c r="G166">
        <v>101.46066975846428</v>
      </c>
      <c r="H166">
        <v>98.560358647403973</v>
      </c>
      <c r="I166">
        <f t="shared" si="2"/>
        <v>0.503625198308564</v>
      </c>
    </row>
    <row r="167" spans="4:9">
      <c r="D167">
        <v>215</v>
      </c>
      <c r="E167">
        <v>6.1366337013498935</v>
      </c>
      <c r="F167">
        <v>0.51907636663987944</v>
      </c>
      <c r="G167">
        <v>101.45724423312292</v>
      </c>
      <c r="H167">
        <v>98.563686364501024</v>
      </c>
      <c r="I167">
        <f t="shared" si="2"/>
        <v>0.50361675808369322</v>
      </c>
    </row>
    <row r="168" spans="4:9">
      <c r="D168">
        <v>216</v>
      </c>
      <c r="E168">
        <v>6.1239542178656228</v>
      </c>
      <c r="F168">
        <v>0.50639688315560871</v>
      </c>
      <c r="G168">
        <v>101.45384263821951</v>
      </c>
      <c r="H168">
        <v>98.566991056805847</v>
      </c>
      <c r="I168">
        <f t="shared" si="2"/>
        <v>0.50360837653717505</v>
      </c>
    </row>
    <row r="169" spans="4:9">
      <c r="D169">
        <v>217</v>
      </c>
      <c r="E169">
        <v>6.1163976630086925</v>
      </c>
      <c r="F169">
        <v>0.49884032829867841</v>
      </c>
      <c r="G169">
        <v>101.45046469668365</v>
      </c>
      <c r="H169">
        <v>98.570272988872318</v>
      </c>
      <c r="I169">
        <f t="shared" si="2"/>
        <v>0.50360005299295341</v>
      </c>
    </row>
    <row r="170" spans="4:9">
      <c r="D170">
        <v>218</v>
      </c>
      <c r="E170">
        <v>6.1038698776194966</v>
      </c>
      <c r="F170">
        <v>0.48631254290948256</v>
      </c>
      <c r="G170">
        <v>101.44711013591049</v>
      </c>
      <c r="H170">
        <v>98.573532421009887</v>
      </c>
      <c r="I170">
        <f t="shared" si="2"/>
        <v>0.50359178678435235</v>
      </c>
    </row>
    <row r="171" spans="4:9">
      <c r="D171">
        <v>219</v>
      </c>
      <c r="E171">
        <v>6.0963748871301613</v>
      </c>
      <c r="F171">
        <v>0.47881755242014723</v>
      </c>
      <c r="G171">
        <v>101.44377868767496</v>
      </c>
      <c r="H171">
        <v>98.576769609381316</v>
      </c>
      <c r="I171">
        <f t="shared" si="2"/>
        <v>0.50358357725684455</v>
      </c>
    </row>
    <row r="172" spans="4:9">
      <c r="D172">
        <v>220</v>
      </c>
      <c r="E172">
        <v>6.0839957214802105</v>
      </c>
      <c r="F172">
        <v>0.46643838677019644</v>
      </c>
      <c r="G172">
        <v>101.44047008803369</v>
      </c>
      <c r="H172">
        <v>98.579984806080788</v>
      </c>
      <c r="I172">
        <f t="shared" si="2"/>
        <v>0.50357542376524911</v>
      </c>
    </row>
    <row r="173" spans="4:9">
      <c r="D173">
        <v>221</v>
      </c>
      <c r="E173">
        <v>6.0765615735856056</v>
      </c>
      <c r="F173">
        <v>0.4590042388755915</v>
      </c>
      <c r="G173">
        <v>101.43718407724415</v>
      </c>
      <c r="H173">
        <v>98.583178259217135</v>
      </c>
      <c r="I173">
        <f t="shared" si="2"/>
        <v>0.5035673256747889</v>
      </c>
    </row>
    <row r="174" spans="4:9">
      <c r="D174">
        <v>222</v>
      </c>
      <c r="E174">
        <v>6.0643280373712178</v>
      </c>
      <c r="F174">
        <v>0.44677070266120378</v>
      </c>
      <c r="G174">
        <v>101.43392039967578</v>
      </c>
      <c r="H174">
        <v>98.586350212998894</v>
      </c>
      <c r="I174">
        <f t="shared" si="2"/>
        <v>0.50355928236106706</v>
      </c>
    </row>
    <row r="175" spans="4:9">
      <c r="D175">
        <v>223</v>
      </c>
      <c r="E175">
        <v>6.0569540169381373</v>
      </c>
      <c r="F175">
        <v>0.43939668222812323</v>
      </c>
      <c r="G175">
        <v>101.43067880373096</v>
      </c>
      <c r="H175">
        <v>98.589500907808315</v>
      </c>
      <c r="I175">
        <f t="shared" si="2"/>
        <v>0.50355129320980407</v>
      </c>
    </row>
    <row r="176" spans="4:9">
      <c r="D176">
        <v>224</v>
      </c>
      <c r="E176">
        <v>6.0448632046659654</v>
      </c>
      <c r="F176">
        <v>0.42730586995595132</v>
      </c>
      <c r="G176">
        <v>101.4274590417531</v>
      </c>
      <c r="H176">
        <v>98.592630580278268</v>
      </c>
      <c r="I176">
        <f t="shared" si="2"/>
        <v>0.50354335761482227</v>
      </c>
    </row>
    <row r="177" spans="4:9">
      <c r="D177">
        <v>225</v>
      </c>
      <c r="E177">
        <v>6.0375486034358863</v>
      </c>
      <c r="F177">
        <v>0.41999126872587222</v>
      </c>
      <c r="G177">
        <v>101.42426086996437</v>
      </c>
      <c r="H177">
        <v>98.595739463372581</v>
      </c>
      <c r="I177">
        <f t="shared" si="2"/>
        <v>0.50353547498179474</v>
      </c>
    </row>
    <row r="178" spans="4:9">
      <c r="D178">
        <v>226</v>
      </c>
      <c r="E178">
        <v>6.0255976913171789</v>
      </c>
      <c r="F178">
        <v>0.40804035660716487</v>
      </c>
      <c r="G178">
        <v>101.42108404836922</v>
      </c>
      <c r="H178">
        <v>98.598827786447558</v>
      </c>
      <c r="I178">
        <f t="shared" si="2"/>
        <v>0.5035276447226702</v>
      </c>
    </row>
    <row r="179" spans="4:9">
      <c r="D179">
        <v>227</v>
      </c>
      <c r="E179">
        <v>6.018341808117686</v>
      </c>
      <c r="F179">
        <v>0.40078447340767198</v>
      </c>
      <c r="G179">
        <v>101.41792834069463</v>
      </c>
      <c r="H179">
        <v>98.60189577533977</v>
      </c>
      <c r="I179">
        <f t="shared" si="2"/>
        <v>0.50351986626118816</v>
      </c>
    </row>
    <row r="180" spans="4:9">
      <c r="D180">
        <v>228</v>
      </c>
      <c r="E180">
        <v>6.0065280511129764</v>
      </c>
      <c r="F180">
        <v>0.38897071640296232</v>
      </c>
      <c r="G180">
        <v>101.41479351430756</v>
      </c>
      <c r="H180">
        <v>98.604943652419706</v>
      </c>
      <c r="I180">
        <f t="shared" si="2"/>
        <v>0.50351213902831216</v>
      </c>
    </row>
    <row r="181" spans="4:9">
      <c r="D181">
        <v>229</v>
      </c>
      <c r="E181">
        <v>5.9993301920405093</v>
      </c>
      <c r="F181">
        <v>0.38177285733049526</v>
      </c>
      <c r="G181">
        <v>101.41167934014656</v>
      </c>
      <c r="H181">
        <v>98.607971636667685</v>
      </c>
      <c r="I181">
        <f t="shared" si="2"/>
        <v>0.50350446246409075</v>
      </c>
    </row>
    <row r="182" spans="4:9">
      <c r="D182">
        <v>230</v>
      </c>
      <c r="E182">
        <v>5.9876509210325626</v>
      </c>
      <c r="F182">
        <v>0.37009358632254852</v>
      </c>
      <c r="G182">
        <v>101.40858559264966</v>
      </c>
      <c r="H182">
        <v>98.610979943740844</v>
      </c>
      <c r="I182">
        <f t="shared" si="2"/>
        <v>0.50349683601728024</v>
      </c>
    </row>
    <row r="183" spans="4:9">
      <c r="D183">
        <v>231</v>
      </c>
      <c r="E183">
        <v>5.9805103996022275</v>
      </c>
      <c r="F183">
        <v>0.36295306489221346</v>
      </c>
      <c r="G183">
        <v>101.40551204969091</v>
      </c>
      <c r="H183">
        <v>98.613968786033837</v>
      </c>
      <c r="I183">
        <f t="shared" si="2"/>
        <v>0.5034892591453568</v>
      </c>
    </row>
    <row r="184" spans="4:9">
      <c r="D184">
        <v>232</v>
      </c>
      <c r="E184">
        <v>5.9689630186806815</v>
      </c>
      <c r="F184">
        <v>0.3514056839706674</v>
      </c>
      <c r="G184">
        <v>101.40245849250233</v>
      </c>
      <c r="H184">
        <v>98.616938372744073</v>
      </c>
      <c r="I184">
        <f t="shared" si="2"/>
        <v>0.50348173131273055</v>
      </c>
    </row>
    <row r="185" spans="4:9">
      <c r="D185">
        <v>233</v>
      </c>
      <c r="E185">
        <v>5.9618791559575657</v>
      </c>
      <c r="F185">
        <v>0.34432182124755162</v>
      </c>
      <c r="G185">
        <v>101.39942470562609</v>
      </c>
      <c r="H185">
        <v>98.619888909933294</v>
      </c>
      <c r="I185">
        <f t="shared" si="2"/>
        <v>0.50347425199368034</v>
      </c>
    </row>
    <row r="186" spans="4:9">
      <c r="D186">
        <v>234</v>
      </c>
      <c r="E186">
        <v>5.9504611398430871</v>
      </c>
      <c r="F186">
        <v>0.33290380513307305</v>
      </c>
      <c r="G186">
        <v>101.39641047683037</v>
      </c>
      <c r="H186">
        <v>98.622820600587517</v>
      </c>
      <c r="I186">
        <f t="shared" si="2"/>
        <v>0.50346682066851489</v>
      </c>
    </row>
    <row r="187" spans="4:9">
      <c r="D187">
        <v>235</v>
      </c>
      <c r="E187">
        <v>5.9434332645501389</v>
      </c>
      <c r="F187">
        <v>0.32587592984012481</v>
      </c>
      <c r="G187">
        <v>101.39341559706399</v>
      </c>
      <c r="H187">
        <v>98.625733644675933</v>
      </c>
      <c r="I187">
        <f t="shared" si="2"/>
        <v>0.50345943682643912</v>
      </c>
    </row>
    <row r="188" spans="4:9">
      <c r="D188">
        <v>236</v>
      </c>
      <c r="E188">
        <v>5.932142156115745</v>
      </c>
      <c r="F188">
        <v>0.31458482140573096</v>
      </c>
      <c r="G188">
        <v>101.39043986038789</v>
      </c>
      <c r="H188">
        <v>98.628628239208467</v>
      </c>
      <c r="I188">
        <f t="shared" si="2"/>
        <v>0.5034520999640465</v>
      </c>
    </row>
    <row r="189" spans="4:9">
      <c r="D189">
        <v>237</v>
      </c>
      <c r="E189">
        <v>5.9251696047246867</v>
      </c>
      <c r="F189">
        <v>0.30761227001467262</v>
      </c>
      <c r="G189">
        <v>101.38748306391493</v>
      </c>
      <c r="H189">
        <v>98.631504578290901</v>
      </c>
      <c r="I189">
        <f t="shared" si="2"/>
        <v>0.50344480958484872</v>
      </c>
    </row>
    <row r="190" spans="4:9">
      <c r="D190">
        <v>238</v>
      </c>
      <c r="E190">
        <v>5.9140030126186574</v>
      </c>
      <c r="F190">
        <v>0.29644567790864329</v>
      </c>
      <c r="G190">
        <v>101.38454500775796</v>
      </c>
      <c r="H190">
        <v>98.634362853181699</v>
      </c>
      <c r="I190">
        <f t="shared" si="2"/>
        <v>0.50343756520058147</v>
      </c>
    </row>
    <row r="191" spans="4:9">
      <c r="D191">
        <v>239</v>
      </c>
      <c r="E191">
        <v>5.9070851294135167</v>
      </c>
      <c r="F191">
        <v>0.28952779470350265</v>
      </c>
      <c r="G191">
        <v>101.38162549496673</v>
      </c>
      <c r="H191">
        <v>98.637203252344293</v>
      </c>
      <c r="I191">
        <f t="shared" si="2"/>
        <v>0.50343036632967741</v>
      </c>
    </row>
    <row r="192" spans="4:9">
      <c r="D192">
        <v>240</v>
      </c>
      <c r="E192">
        <v>5.8960407257999172</v>
      </c>
      <c r="F192">
        <v>0.27848339108990317</v>
      </c>
      <c r="G192">
        <v>101.37872433147294</v>
      </c>
      <c r="H192">
        <v>98.640025961496406</v>
      </c>
      <c r="I192">
        <f t="shared" si="2"/>
        <v>0.50342321249665478</v>
      </c>
    </row>
    <row r="193" spans="4:9">
      <c r="D193">
        <v>241</v>
      </c>
      <c r="E193">
        <v>5.8891768629391734</v>
      </c>
      <c r="F193">
        <v>0.27161952822915936</v>
      </c>
      <c r="G193">
        <v>101.37584132604542</v>
      </c>
      <c r="H193">
        <v>98.642831163669513</v>
      </c>
      <c r="I193">
        <f t="shared" si="2"/>
        <v>0.50341610323517749</v>
      </c>
    </row>
    <row r="194" spans="4:9">
      <c r="D194">
        <v>242</v>
      </c>
      <c r="E194">
        <v>5.8782523813189949</v>
      </c>
      <c r="F194">
        <v>0.2606950466089808</v>
      </c>
      <c r="G194">
        <v>101.37297629022116</v>
      </c>
      <c r="H194">
        <v>98.645619039248359</v>
      </c>
      <c r="I194">
        <f t="shared" si="2"/>
        <v>0.50340903808309068</v>
      </c>
    </row>
    <row r="195" spans="4:9">
      <c r="D195">
        <v>243</v>
      </c>
      <c r="E195">
        <v>5.8714418988664194</v>
      </c>
      <c r="F195">
        <v>0.25388456415640537</v>
      </c>
      <c r="G195">
        <v>101.37012903827132</v>
      </c>
      <c r="H195">
        <v>98.64838976602914</v>
      </c>
      <c r="I195">
        <f t="shared" ref="I195:I258" si="3">(G195-100)/(G195-H195)</f>
        <v>0.50340201658720973</v>
      </c>
    </row>
    <row r="196" spans="4:9">
      <c r="D196">
        <v>244</v>
      </c>
      <c r="E196">
        <v>5.8606351319951955</v>
      </c>
      <c r="F196">
        <v>0.24307779728518142</v>
      </c>
      <c r="G196">
        <v>101.36729938713405</v>
      </c>
      <c r="H196">
        <v>98.651143519258852</v>
      </c>
      <c r="I196">
        <f t="shared" si="3"/>
        <v>0.5033950382986182</v>
      </c>
    </row>
    <row r="197" spans="4:9">
      <c r="D197">
        <v>245</v>
      </c>
      <c r="E197">
        <v>5.8538773979481764</v>
      </c>
      <c r="F197">
        <v>0.23632006323816235</v>
      </c>
      <c r="G197">
        <v>101.36448715638321</v>
      </c>
      <c r="H197">
        <v>98.653880471690016</v>
      </c>
      <c r="I197">
        <f t="shared" si="3"/>
        <v>0.5033881027773125</v>
      </c>
    </row>
    <row r="198" spans="4:9">
      <c r="D198">
        <v>246</v>
      </c>
      <c r="E198">
        <v>5.8431861958406497</v>
      </c>
      <c r="F198">
        <v>0.22562886113063563</v>
      </c>
      <c r="G198">
        <v>101.36169216816033</v>
      </c>
      <c r="H198">
        <v>98.656600793620655</v>
      </c>
      <c r="I198">
        <f t="shared" si="3"/>
        <v>0.50338120958743937</v>
      </c>
    </row>
    <row r="199" spans="4:9">
      <c r="D199">
        <v>247</v>
      </c>
      <c r="E199">
        <v>5.8364805861386726</v>
      </c>
      <c r="F199">
        <v>0.21892325142865854</v>
      </c>
      <c r="G199">
        <v>101.35891424714302</v>
      </c>
      <c r="H199">
        <v>98.659304652939596</v>
      </c>
      <c r="I199">
        <f t="shared" si="3"/>
        <v>0.50337435830012889</v>
      </c>
    </row>
    <row r="200" spans="4:9">
      <c r="D200">
        <v>248</v>
      </c>
      <c r="E200">
        <v>5.8259028541610585</v>
      </c>
      <c r="F200">
        <v>0.2083455194510444</v>
      </c>
      <c r="G200">
        <v>101.35615322049227</v>
      </c>
      <c r="H200">
        <v>98.661992215172646</v>
      </c>
      <c r="I200">
        <f t="shared" si="3"/>
        <v>0.50336754849266463</v>
      </c>
    </row>
    <row r="201" spans="4:9">
      <c r="D201">
        <v>249</v>
      </c>
      <c r="E201">
        <v>5.8192487526898775</v>
      </c>
      <c r="F201">
        <v>0.20169141797986345</v>
      </c>
      <c r="G201">
        <v>101.35340891780828</v>
      </c>
      <c r="H201">
        <v>98.664663643524278</v>
      </c>
      <c r="I201">
        <f t="shared" si="3"/>
        <v>0.50336077974834781</v>
      </c>
    </row>
    <row r="202" spans="4:9">
      <c r="D202">
        <v>250</v>
      </c>
      <c r="E202">
        <v>5.808782449712651</v>
      </c>
      <c r="F202">
        <v>0.19122511500263695</v>
      </c>
      <c r="G202">
        <v>101.35068117108611</v>
      </c>
      <c r="H202">
        <v>98.667319098915101</v>
      </c>
      <c r="I202">
        <f t="shared" si="3"/>
        <v>0.50335405165554981</v>
      </c>
    </row>
    <row r="203" spans="4:9">
      <c r="D203">
        <v>251</v>
      </c>
      <c r="E203">
        <v>5.8021792482922843</v>
      </c>
      <c r="F203">
        <v>0.1846219135822702</v>
      </c>
      <c r="G203">
        <v>101.34796981467453</v>
      </c>
      <c r="H203">
        <v>98.669958740032428</v>
      </c>
      <c r="I203">
        <f t="shared" si="3"/>
        <v>0.5033473638097915</v>
      </c>
    </row>
    <row r="204" spans="4:9">
      <c r="D204">
        <v>252</v>
      </c>
      <c r="E204">
        <v>5.7918223849344903</v>
      </c>
      <c r="F204">
        <v>0.17426505022447625</v>
      </c>
      <c r="G204">
        <v>101.34527468523038</v>
      </c>
      <c r="H204">
        <v>98.672582723360904</v>
      </c>
      <c r="I204">
        <f t="shared" si="3"/>
        <v>0.50334071581125872</v>
      </c>
    </row>
    <row r="205" spans="4:9">
      <c r="D205">
        <v>253</v>
      </c>
      <c r="E205">
        <v>5.7852694833033782</v>
      </c>
      <c r="F205">
        <v>0.16771214859336414</v>
      </c>
      <c r="G205">
        <v>101.3425956216801</v>
      </c>
      <c r="H205">
        <v>98.675191203221402</v>
      </c>
      <c r="I205">
        <f t="shared" si="3"/>
        <v>0.5033341072651788</v>
      </c>
    </row>
    <row r="206" spans="4:9">
      <c r="D206">
        <v>254</v>
      </c>
      <c r="E206">
        <v>5.7750201202447906</v>
      </c>
      <c r="F206">
        <v>0.15746278553477655</v>
      </c>
      <c r="G206">
        <v>101.33993246517835</v>
      </c>
      <c r="H206">
        <v>98.677784331818899</v>
      </c>
      <c r="I206">
        <f t="shared" si="3"/>
        <v>0.50332753778334849</v>
      </c>
    </row>
    <row r="207" spans="4:9">
      <c r="D207">
        <v>255</v>
      </c>
      <c r="E207">
        <v>5.7685169260245477</v>
      </c>
      <c r="F207">
        <v>0.15095959131453363</v>
      </c>
      <c r="G207">
        <v>101.33728505907015</v>
      </c>
      <c r="H207">
        <v>98.680362259270865</v>
      </c>
      <c r="I207">
        <f t="shared" si="3"/>
        <v>0.50332100698265536</v>
      </c>
    </row>
    <row r="208" spans="4:9">
      <c r="D208">
        <v>256</v>
      </c>
      <c r="E208">
        <v>5.7583731723764409</v>
      </c>
      <c r="F208">
        <v>0.1408158376664268</v>
      </c>
      <c r="G208">
        <v>101.33465324884749</v>
      </c>
      <c r="H208">
        <v>98.682925133645028</v>
      </c>
      <c r="I208">
        <f t="shared" si="3"/>
        <v>0.50331451448429776</v>
      </c>
    </row>
    <row r="209" spans="4:9">
      <c r="D209">
        <v>257</v>
      </c>
      <c r="E209">
        <v>5.7519191010468109</v>
      </c>
      <c r="F209">
        <v>0.13436176633679686</v>
      </c>
      <c r="G209">
        <v>101.33203688211984</v>
      </c>
      <c r="H209">
        <v>98.685473100999417</v>
      </c>
      <c r="I209">
        <f t="shared" si="3"/>
        <v>0.50330805991606242</v>
      </c>
    </row>
    <row r="210" spans="4:9">
      <c r="D210">
        <v>258</v>
      </c>
      <c r="E210">
        <v>5.7418791128006772</v>
      </c>
      <c r="F210">
        <v>0.12432177809066314</v>
      </c>
      <c r="G210">
        <v>101.32943580856724</v>
      </c>
      <c r="H210">
        <v>98.688006305413111</v>
      </c>
      <c r="I210">
        <f t="shared" si="3"/>
        <v>0.50330164290955404</v>
      </c>
    </row>
    <row r="211" spans="4:9">
      <c r="D211">
        <v>259</v>
      </c>
      <c r="E211">
        <v>5.7354735876469416</v>
      </c>
      <c r="F211">
        <v>0.11791625293692753</v>
      </c>
      <c r="G211">
        <v>101.32684987991462</v>
      </c>
      <c r="H211">
        <v>98.690524889022612</v>
      </c>
      <c r="I211">
        <f t="shared" si="3"/>
        <v>0.50329526310247352</v>
      </c>
    </row>
    <row r="212" spans="4:9">
      <c r="D212">
        <v>260</v>
      </c>
      <c r="E212">
        <v>5.7255355661696603</v>
      </c>
      <c r="F212">
        <v>0.10797823145964625</v>
      </c>
      <c r="G212">
        <v>101.32427894988444</v>
      </c>
      <c r="H212">
        <v>98.693028992055531</v>
      </c>
      <c r="I212">
        <f t="shared" si="3"/>
        <v>0.50328892013631743</v>
      </c>
    </row>
    <row r="213" spans="4:9">
      <c r="D213">
        <v>261</v>
      </c>
      <c r="E213">
        <v>5.7191780182430927</v>
      </c>
      <c r="F213">
        <v>0.10162068353307863</v>
      </c>
      <c r="G213">
        <v>101.32172287417244</v>
      </c>
      <c r="H213">
        <v>98.695518752860607</v>
      </c>
      <c r="I213">
        <f t="shared" si="3"/>
        <v>0.50328261365769844</v>
      </c>
    </row>
    <row r="214" spans="4:9">
      <c r="D214">
        <v>262</v>
      </c>
      <c r="E214">
        <v>5.7093402088442948</v>
      </c>
      <c r="F214">
        <v>9.1782874134280767E-2</v>
      </c>
      <c r="G214">
        <v>101.31918151040924</v>
      </c>
      <c r="H214">
        <v>98.697994307945919</v>
      </c>
      <c r="I214">
        <f t="shared" si="3"/>
        <v>0.50327634331859528</v>
      </c>
    </row>
    <row r="215" spans="4:9">
      <c r="D215">
        <v>263</v>
      </c>
      <c r="E215">
        <v>5.7030300769026709</v>
      </c>
      <c r="F215">
        <v>8.5472742192656881E-2</v>
      </c>
      <c r="G215">
        <v>101.31665471812558</v>
      </c>
      <c r="H215">
        <v>98.700455792001534</v>
      </c>
      <c r="I215">
        <f t="shared" si="3"/>
        <v>0.50327010877427059</v>
      </c>
    </row>
    <row r="216" spans="4:9">
      <c r="D216">
        <v>264</v>
      </c>
      <c r="E216">
        <v>5.693290767444477</v>
      </c>
      <c r="F216">
        <v>7.573343273446298E-2</v>
      </c>
      <c r="G216">
        <v>101.31414235872778</v>
      </c>
      <c r="H216">
        <v>98.702903337941379</v>
      </c>
      <c r="I216">
        <f t="shared" si="3"/>
        <v>0.5032639096868321</v>
      </c>
    </row>
    <row r="217" spans="4:9">
      <c r="D217">
        <v>265</v>
      </c>
      <c r="E217">
        <v>5.6870274978982183</v>
      </c>
      <c r="F217">
        <v>6.9470163188204204E-2</v>
      </c>
      <c r="G217">
        <v>101.31164429545241</v>
      </c>
      <c r="H217">
        <v>98.705337076924607</v>
      </c>
      <c r="I217">
        <f t="shared" si="3"/>
        <v>0.50325774572089965</v>
      </c>
    </row>
    <row r="218" spans="4:9">
      <c r="D218">
        <v>266</v>
      </c>
      <c r="E218">
        <v>5.6773850174712166</v>
      </c>
      <c r="F218">
        <v>5.9827682761202539E-2</v>
      </c>
      <c r="G218">
        <v>101.3091603933449</v>
      </c>
      <c r="H218">
        <v>98.707757138384622</v>
      </c>
      <c r="I218">
        <f t="shared" si="3"/>
        <v>0.50325161654527428</v>
      </c>
    </row>
    <row r="219" spans="4:9">
      <c r="D219">
        <v>267</v>
      </c>
      <c r="E219">
        <v>5.6711680643138758</v>
      </c>
      <c r="F219">
        <v>5.3610729603861706E-2</v>
      </c>
      <c r="G219">
        <v>101.30669051922905</v>
      </c>
      <c r="H219">
        <v>98.710163650068367</v>
      </c>
      <c r="I219">
        <f t="shared" si="3"/>
        <v>0.50324552183487814</v>
      </c>
    </row>
    <row r="220" spans="4:9">
      <c r="D220">
        <v>268</v>
      </c>
      <c r="E220">
        <v>5.6616207819569944</v>
      </c>
      <c r="F220">
        <v>4.4063447246980303E-2</v>
      </c>
      <c r="G220">
        <v>101.30423454167341</v>
      </c>
      <c r="H220">
        <v>98.712556738053692</v>
      </c>
      <c r="I220">
        <f t="shared" si="3"/>
        <v>0.50323946126784158</v>
      </c>
    </row>
    <row r="221" spans="4:9">
      <c r="D221">
        <v>269</v>
      </c>
      <c r="E221">
        <v>5.6554496067009508</v>
      </c>
      <c r="F221">
        <v>3.7892271990936699E-2</v>
      </c>
      <c r="G221">
        <v>101.30179233096128</v>
      </c>
      <c r="H221">
        <v>98.714936526781798</v>
      </c>
      <c r="I221">
        <f t="shared" si="3"/>
        <v>0.50323343452620106</v>
      </c>
    </row>
    <row r="222" spans="4:9">
      <c r="D222">
        <v>270</v>
      </c>
      <c r="E222">
        <v>5.6459959301671914</v>
      </c>
      <c r="F222">
        <v>2.8438595457177307E-2</v>
      </c>
      <c r="G222">
        <v>101.29936375906586</v>
      </c>
      <c r="H222">
        <v>98.717303139083157</v>
      </c>
      <c r="I222">
        <f t="shared" si="3"/>
        <v>0.50322744129630925</v>
      </c>
    </row>
    <row r="223" spans="4:9">
      <c r="D223">
        <v>271</v>
      </c>
      <c r="E223">
        <v>5.6398700017773855</v>
      </c>
      <c r="F223">
        <v>2.231266706737145E-2</v>
      </c>
      <c r="G223">
        <v>101.29694869962114</v>
      </c>
      <c r="H223">
        <v>98.719656696209739</v>
      </c>
      <c r="I223">
        <f t="shared" si="3"/>
        <v>0.50322148126966204</v>
      </c>
    </row>
    <row r="224" spans="4:9">
      <c r="D224">
        <v>272</v>
      </c>
      <c r="E224">
        <v>5.6305083763520916</v>
      </c>
      <c r="F224">
        <v>1.2951041642077499E-2</v>
      </c>
      <c r="G224">
        <v>101.29454702789002</v>
      </c>
      <c r="H224">
        <v>98.721997317847283</v>
      </c>
      <c r="I224">
        <f t="shared" si="3"/>
        <v>0.50321555413928754</v>
      </c>
    </row>
    <row r="225" spans="4:9">
      <c r="D225">
        <v>273</v>
      </c>
      <c r="E225">
        <v>5.6244271711648786</v>
      </c>
      <c r="F225">
        <v>6.8698364548644975E-3</v>
      </c>
      <c r="G225">
        <v>101.29215862074467</v>
      </c>
      <c r="H225">
        <v>98.724325122160735</v>
      </c>
      <c r="I225">
        <f t="shared" si="3"/>
        <v>0.50320965960497388</v>
      </c>
    </row>
    <row r="226" spans="4:9">
      <c r="D226">
        <v>274</v>
      </c>
      <c r="E226">
        <v>6.5845418281723491</v>
      </c>
      <c r="F226">
        <v>0.96698449346233506</v>
      </c>
      <c r="G226">
        <v>101.28978335663425</v>
      </c>
      <c r="H226">
        <v>98.726640225802186</v>
      </c>
      <c r="I226">
        <f t="shared" si="3"/>
        <v>0.50320379736872123</v>
      </c>
    </row>
    <row r="227" spans="4:9">
      <c r="D227">
        <v>275</v>
      </c>
      <c r="E227">
        <v>6.5788044752718928</v>
      </c>
      <c r="F227">
        <v>0.96124714056187877</v>
      </c>
      <c r="G227">
        <v>101.28742111556065</v>
      </c>
      <c r="H227">
        <v>98.72894274394362</v>
      </c>
      <c r="I227">
        <f t="shared" si="3"/>
        <v>0.50319796713660014</v>
      </c>
    </row>
    <row r="228" spans="4:9">
      <c r="D228">
        <v>276</v>
      </c>
      <c r="E228">
        <v>6.5682872161167269</v>
      </c>
      <c r="F228">
        <v>0.95072988140671288</v>
      </c>
      <c r="G228">
        <v>101.28507177905392</v>
      </c>
      <c r="H228">
        <v>98.731232790299472</v>
      </c>
      <c r="I228">
        <f t="shared" si="3"/>
        <v>0.50319216861853666</v>
      </c>
    </row>
    <row r="229" spans="4:9">
      <c r="D229">
        <v>277</v>
      </c>
      <c r="E229">
        <v>6.5625812542169673</v>
      </c>
      <c r="F229">
        <v>0.94502391950695319</v>
      </c>
      <c r="G229">
        <v>101.28273523014505</v>
      </c>
      <c r="H229">
        <v>98.733510477150233</v>
      </c>
      <c r="I229">
        <f t="shared" si="3"/>
        <v>0.50318640152779737</v>
      </c>
    </row>
    <row r="230" spans="4:9">
      <c r="D230">
        <v>278</v>
      </c>
      <c r="E230">
        <v>6.5521611151033445</v>
      </c>
      <c r="F230">
        <v>0.93460378039333047</v>
      </c>
      <c r="G230">
        <v>101.28041135334539</v>
      </c>
      <c r="H230">
        <v>98.735775915365636</v>
      </c>
      <c r="I230">
        <f t="shared" si="3"/>
        <v>0.50318066558168217</v>
      </c>
    </row>
    <row r="231" spans="4:9">
      <c r="D231">
        <v>279</v>
      </c>
      <c r="E231">
        <v>6.5464863625840097</v>
      </c>
      <c r="F231">
        <v>0.92892902787399567</v>
      </c>
      <c r="G231">
        <v>101.27810003461997</v>
      </c>
      <c r="H231">
        <v>98.738029214428011</v>
      </c>
      <c r="I231">
        <f t="shared" si="3"/>
        <v>0.50317496050105393</v>
      </c>
    </row>
    <row r="232" spans="4:9">
      <c r="D232">
        <v>280</v>
      </c>
      <c r="E232">
        <v>6.5361618148430871</v>
      </c>
      <c r="F232">
        <v>0.91860448013307305</v>
      </c>
      <c r="G232">
        <v>101.2758011613637</v>
      </c>
      <c r="H232">
        <v>98.740270482451436</v>
      </c>
      <c r="I232">
        <f t="shared" si="3"/>
        <v>0.50316928600959243</v>
      </c>
    </row>
    <row r="233" spans="4:9">
      <c r="D233">
        <v>281</v>
      </c>
      <c r="E233">
        <v>6.5305180875612523</v>
      </c>
      <c r="F233">
        <v>0.91296075285123823</v>
      </c>
      <c r="G233">
        <v>101.27351462238043</v>
      </c>
      <c r="H233">
        <v>98.74249982620934</v>
      </c>
      <c r="I233">
        <f t="shared" si="3"/>
        <v>0.5031636418352825</v>
      </c>
    </row>
    <row r="234" spans="4:9">
      <c r="D234">
        <v>282</v>
      </c>
      <c r="E234">
        <v>6.5202876365626983</v>
      </c>
      <c r="F234">
        <v>0.90273030185268421</v>
      </c>
      <c r="G234">
        <v>101.27124030785892</v>
      </c>
      <c r="H234">
        <v>98.74471735115155</v>
      </c>
      <c r="I234">
        <f t="shared" si="3"/>
        <v>0.5031580277092087</v>
      </c>
    </row>
    <row r="235" spans="4:9">
      <c r="D235">
        <v>283</v>
      </c>
      <c r="E235">
        <v>6.5146747481133378</v>
      </c>
      <c r="F235">
        <v>0.89711741340332374</v>
      </c>
      <c r="G235">
        <v>101.26897810935041</v>
      </c>
      <c r="H235">
        <v>98.74692316142378</v>
      </c>
      <c r="I235">
        <f t="shared" si="3"/>
        <v>0.50315244336513487</v>
      </c>
    </row>
    <row r="236" spans="4:9">
      <c r="D236">
        <v>284</v>
      </c>
      <c r="E236">
        <v>6.5045369323004119</v>
      </c>
      <c r="F236">
        <v>0.88697959759039779</v>
      </c>
      <c r="G236">
        <v>101.26672791975047</v>
      </c>
      <c r="H236">
        <v>98.74911735989663</v>
      </c>
      <c r="I236">
        <f t="shared" si="3"/>
        <v>0.50314688854181155</v>
      </c>
    </row>
    <row r="237" spans="4:9">
      <c r="D237">
        <v>285</v>
      </c>
      <c r="E237">
        <v>6.498954694242145</v>
      </c>
      <c r="F237">
        <v>0.88139735953213094</v>
      </c>
      <c r="G237">
        <v>101.26448963327061</v>
      </c>
      <c r="H237">
        <v>98.751300048170819</v>
      </c>
      <c r="I237">
        <f t="shared" si="3"/>
        <v>0.50314136297855261</v>
      </c>
    </row>
    <row r="238" spans="4:9">
      <c r="D238">
        <v>286</v>
      </c>
      <c r="E238">
        <v>6.4889080841770124</v>
      </c>
      <c r="F238">
        <v>0.87135074946699831</v>
      </c>
      <c r="G238">
        <v>101.26226314542417</v>
      </c>
      <c r="H238">
        <v>98.753471326616221</v>
      </c>
      <c r="I238">
        <f t="shared" si="3"/>
        <v>0.50313586642032915</v>
      </c>
    </row>
    <row r="239" spans="4:9">
      <c r="D239">
        <v>287</v>
      </c>
      <c r="E239">
        <v>6.4833563062688508</v>
      </c>
      <c r="F239">
        <v>0.86579897155883678</v>
      </c>
      <c r="G239">
        <v>101.26004835300471</v>
      </c>
      <c r="H239">
        <v>98.755631294374922</v>
      </c>
      <c r="I239">
        <f t="shared" si="3"/>
        <v>0.50313039861424003</v>
      </c>
    </row>
    <row r="240" spans="4:9">
      <c r="D240">
        <v>288</v>
      </c>
      <c r="E240">
        <v>6.4733995037180145</v>
      </c>
      <c r="F240">
        <v>0.85584216900800048</v>
      </c>
      <c r="G240">
        <v>101.25784515406345</v>
      </c>
      <c r="H240">
        <v>98.757780049388899</v>
      </c>
      <c r="I240">
        <f t="shared" si="3"/>
        <v>0.50312495931068535</v>
      </c>
    </row>
    <row r="241" spans="4:9">
      <c r="D241">
        <v>289</v>
      </c>
      <c r="E241">
        <v>6.4678779941250415</v>
      </c>
      <c r="F241">
        <v>0.85032065941502744</v>
      </c>
      <c r="G241">
        <v>101.25565344788885</v>
      </c>
      <c r="H241">
        <v>98.759917688414305</v>
      </c>
      <c r="I241">
        <f t="shared" si="3"/>
        <v>0.50311954826227878</v>
      </c>
    </row>
    <row r="242" spans="4:9">
      <c r="D242">
        <v>290</v>
      </c>
      <c r="E242">
        <v>6.4580096311887054</v>
      </c>
      <c r="F242">
        <v>0.84045229647869135</v>
      </c>
      <c r="G242">
        <v>101.25347313499213</v>
      </c>
      <c r="H242">
        <v>98.762044307043496</v>
      </c>
      <c r="I242">
        <f t="shared" si="3"/>
        <v>0.50311416522550367</v>
      </c>
    </row>
    <row r="243" spans="4:9">
      <c r="D243">
        <v>291</v>
      </c>
      <c r="E243">
        <v>6.452518196669689</v>
      </c>
      <c r="F243">
        <v>0.83496086195967489</v>
      </c>
      <c r="G243">
        <v>101.25130411708443</v>
      </c>
      <c r="H243">
        <v>98.76415999971951</v>
      </c>
      <c r="I243">
        <f t="shared" si="3"/>
        <v>0.50310880995917606</v>
      </c>
    </row>
    <row r="244" spans="4:9">
      <c r="D244">
        <v>292</v>
      </c>
      <c r="E244">
        <v>6.442736934919564</v>
      </c>
      <c r="F244">
        <v>0.82517960020954995</v>
      </c>
      <c r="G244">
        <v>101.24914629705928</v>
      </c>
      <c r="H244">
        <v>98.766264859759829</v>
      </c>
      <c r="I244">
        <f t="shared" si="3"/>
        <v>0.50310348222585188</v>
      </c>
    </row>
    <row r="245" spans="4:9">
      <c r="D245">
        <v>293</v>
      </c>
      <c r="E245">
        <v>6.437275381029</v>
      </c>
      <c r="F245">
        <v>0.81971804631898593</v>
      </c>
      <c r="G245">
        <v>101.2469995789764</v>
      </c>
      <c r="H245">
        <v>98.768358979365686</v>
      </c>
      <c r="I245">
        <f t="shared" si="3"/>
        <v>0.50309818179055454</v>
      </c>
    </row>
    <row r="246" spans="4:9">
      <c r="D246">
        <v>294</v>
      </c>
      <c r="E246">
        <v>6.4275799106961138</v>
      </c>
      <c r="F246">
        <v>0.81002257598609972</v>
      </c>
      <c r="G246">
        <v>101.24486386803814</v>
      </c>
      <c r="H246">
        <v>98.770442449643014</v>
      </c>
      <c r="I246">
        <f t="shared" si="3"/>
        <v>0.50309290842040133</v>
      </c>
    </row>
    <row r="247" spans="4:9">
      <c r="D247">
        <v>295</v>
      </c>
      <c r="E247">
        <v>6.422148041944884</v>
      </c>
      <c r="F247">
        <v>0.80459070723486992</v>
      </c>
      <c r="G247">
        <v>101.24273907057841</v>
      </c>
      <c r="H247">
        <v>98.772515360620716</v>
      </c>
      <c r="I247">
        <f t="shared" si="3"/>
        <v>0.50308766188617515</v>
      </c>
    </row>
    <row r="248" spans="4:9">
      <c r="D248">
        <v>296</v>
      </c>
      <c r="E248">
        <v>6.4125370811248565</v>
      </c>
      <c r="F248">
        <v>0.79497974641484248</v>
      </c>
      <c r="G248">
        <v>101.240625094042</v>
      </c>
      <c r="H248">
        <v>98.774577801263703</v>
      </c>
      <c r="I248">
        <f t="shared" si="3"/>
        <v>0.50308244196091179</v>
      </c>
    </row>
    <row r="249" spans="4:9">
      <c r="D249">
        <v>297</v>
      </c>
      <c r="E249">
        <v>6.4071347011500457</v>
      </c>
      <c r="F249">
        <v>0.78957736644003162</v>
      </c>
      <c r="G249">
        <v>101.2385218469684</v>
      </c>
      <c r="H249">
        <v>98.776629859491422</v>
      </c>
      <c r="I249">
        <f t="shared" si="3"/>
        <v>0.50307724842050161</v>
      </c>
    </row>
    <row r="250" spans="4:9">
      <c r="D250">
        <v>298</v>
      </c>
      <c r="E250">
        <v>6.3976069950317322</v>
      </c>
      <c r="F250">
        <v>0.78004966032171819</v>
      </c>
      <c r="G250">
        <v>101.23642923897465</v>
      </c>
      <c r="H250">
        <v>98.778671622191936</v>
      </c>
      <c r="I250">
        <f t="shared" si="3"/>
        <v>0.50307208104319801</v>
      </c>
    </row>
    <row r="251" spans="4:9">
      <c r="D251">
        <v>299</v>
      </c>
      <c r="E251">
        <v>6.392233906755231</v>
      </c>
      <c r="F251">
        <v>0.77467657204521689</v>
      </c>
      <c r="G251">
        <v>101.23434718074014</v>
      </c>
      <c r="H251">
        <v>98.780703175239509</v>
      </c>
      <c r="I251">
        <f t="shared" si="3"/>
        <v>0.50306693961021098</v>
      </c>
    </row>
    <row r="252" spans="4:9">
      <c r="D252">
        <v>300</v>
      </c>
      <c r="E252">
        <v>6.3827882268843963</v>
      </c>
      <c r="F252">
        <v>0.76523089217438223</v>
      </c>
      <c r="G252">
        <v>101.23227558399316</v>
      </c>
      <c r="H252">
        <v>98.782724603507461</v>
      </c>
      <c r="I252">
        <f t="shared" si="3"/>
        <v>0.50306182390571108</v>
      </c>
    </row>
    <row r="253" spans="4:9">
      <c r="D253">
        <v>301</v>
      </c>
      <c r="E253">
        <v>6.3774442326460798</v>
      </c>
      <c r="F253">
        <v>0.75988689793606579</v>
      </c>
      <c r="G253">
        <v>101.23021436148494</v>
      </c>
      <c r="H253">
        <v>98.784735990884386</v>
      </c>
      <c r="I253">
        <f t="shared" si="3"/>
        <v>0.50305673371497739</v>
      </c>
    </row>
    <row r="254" spans="4:9">
      <c r="D254">
        <v>302</v>
      </c>
      <c r="E254">
        <v>6.3680793762144248</v>
      </c>
      <c r="F254">
        <v>0.75052204150441071</v>
      </c>
      <c r="G254">
        <v>101.2281634269887</v>
      </c>
      <c r="H254">
        <v>98.786737420290393</v>
      </c>
      <c r="I254">
        <f t="shared" si="3"/>
        <v>0.50305166882760566</v>
      </c>
    </row>
    <row r="255" spans="4:9">
      <c r="D255">
        <v>303</v>
      </c>
      <c r="E255">
        <v>6.3627642779188953</v>
      </c>
      <c r="F255">
        <v>0.74520694320888126</v>
      </c>
      <c r="G255">
        <v>101.22612269527227</v>
      </c>
      <c r="H255">
        <v>98.788728973683618</v>
      </c>
      <c r="I255">
        <f t="shared" si="3"/>
        <v>0.50304662903336861</v>
      </c>
    </row>
    <row r="256" spans="4:9">
      <c r="D256">
        <v>304</v>
      </c>
      <c r="E256">
        <v>6.353479067065102</v>
      </c>
      <c r="F256">
        <v>0.73592173235508795</v>
      </c>
      <c r="G256">
        <v>101.22409208209024</v>
      </c>
      <c r="H256">
        <v>98.790710732087035</v>
      </c>
      <c r="I256">
        <f t="shared" si="3"/>
        <v>0.5030416141262144</v>
      </c>
    </row>
    <row r="257" spans="4:9">
      <c r="D257">
        <v>305</v>
      </c>
      <c r="E257">
        <v>6.3481926663077415</v>
      </c>
      <c r="F257">
        <v>0.73063533159772742</v>
      </c>
      <c r="G257">
        <v>101.22207150416976</v>
      </c>
      <c r="H257">
        <v>98.792682775594429</v>
      </c>
      <c r="I257">
        <f t="shared" si="3"/>
        <v>0.50303662390268078</v>
      </c>
    </row>
    <row r="258" spans="4:9">
      <c r="D258">
        <v>306</v>
      </c>
      <c r="E258">
        <v>6.3389859474471555</v>
      </c>
      <c r="F258">
        <v>0.72142861273714143</v>
      </c>
      <c r="G258">
        <v>101.22006087918977</v>
      </c>
      <c r="H258">
        <v>98.794645183384191</v>
      </c>
      <c r="I258">
        <f t="shared" si="3"/>
        <v>0.5030316581605776</v>
      </c>
    </row>
    <row r="259" spans="4:9">
      <c r="D259">
        <v>307</v>
      </c>
      <c r="E259">
        <v>6.3337280456258851</v>
      </c>
      <c r="F259">
        <v>0.71617071091587103</v>
      </c>
      <c r="G259">
        <v>101.21806012577305</v>
      </c>
      <c r="H259">
        <v>98.796598033731783</v>
      </c>
      <c r="I259">
        <f t="shared" ref="I259:I322" si="4">(G259-100)/(G259-H259)</f>
        <v>0.50302671670000754</v>
      </c>
    </row>
    <row r="260" spans="4:9">
      <c r="D260">
        <v>308</v>
      </c>
      <c r="E260">
        <v>6.3245986888133636</v>
      </c>
      <c r="F260">
        <v>0.70704135410334956</v>
      </c>
      <c r="G260">
        <v>101.21606916346943</v>
      </c>
      <c r="H260">
        <v>98.798541404027006</v>
      </c>
      <c r="I260">
        <f t="shared" si="4"/>
        <v>0.50302179932357904</v>
      </c>
    </row>
    <row r="261" spans="4:9">
      <c r="D261">
        <v>309</v>
      </c>
      <c r="E261">
        <v>6.3193690872537447</v>
      </c>
      <c r="F261">
        <v>0.70181175254373063</v>
      </c>
      <c r="G261">
        <v>101.21408791274567</v>
      </c>
      <c r="H261">
        <v>98.800475370786472</v>
      </c>
      <c r="I261">
        <f t="shared" si="4"/>
        <v>0.50301690583699055</v>
      </c>
    </row>
    <row r="262" spans="4:9">
      <c r="D262">
        <v>310</v>
      </c>
      <c r="E262">
        <v>6.3103159855485211</v>
      </c>
      <c r="F262">
        <v>0.69275865083850707</v>
      </c>
      <c r="G262">
        <v>101.21211629496916</v>
      </c>
      <c r="H262">
        <v>98.802400009661866</v>
      </c>
      <c r="I262">
        <f t="shared" si="4"/>
        <v>0.50301203604746747</v>
      </c>
    </row>
    <row r="263" spans="4:9">
      <c r="D263">
        <v>311</v>
      </c>
      <c r="E263">
        <v>6.3051144855976213</v>
      </c>
      <c r="F263">
        <v>0.68755715088760727</v>
      </c>
      <c r="G263">
        <v>101.21015423239163</v>
      </c>
      <c r="H263">
        <v>98.804315395456001</v>
      </c>
      <c r="I263">
        <f t="shared" si="4"/>
        <v>0.50300718976381265</v>
      </c>
    </row>
    <row r="264" spans="4:9">
      <c r="D264">
        <v>312</v>
      </c>
      <c r="E264">
        <v>6.2961365544607606</v>
      </c>
      <c r="F264">
        <v>0.67857921975074653</v>
      </c>
      <c r="G264">
        <v>101.20820164814394</v>
      </c>
      <c r="H264">
        <v>98.806221602135125</v>
      </c>
      <c r="I264">
        <f t="shared" si="4"/>
        <v>0.50300236679797394</v>
      </c>
    </row>
    <row r="265" spans="4:9">
      <c r="D265">
        <v>313</v>
      </c>
      <c r="E265">
        <v>6.2909629575956698</v>
      </c>
      <c r="F265">
        <v>0.67340562288565575</v>
      </c>
      <c r="G265">
        <v>101.20625846621782</v>
      </c>
      <c r="H265">
        <v>98.808118702838343</v>
      </c>
      <c r="I265">
        <f t="shared" si="4"/>
        <v>0.50299756696329911</v>
      </c>
    </row>
    <row r="266" spans="4:9">
      <c r="D266">
        <v>314</v>
      </c>
      <c r="E266">
        <v>6.2820591343080761</v>
      </c>
      <c r="F266">
        <v>0.66450179959806199</v>
      </c>
      <c r="G266">
        <v>101.204324611456</v>
      </c>
      <c r="H266">
        <v>98.810006769890819</v>
      </c>
      <c r="I266">
        <f t="shared" si="4"/>
        <v>0.50299279007532527</v>
      </c>
    </row>
    <row r="267" spans="4:9">
      <c r="D267">
        <v>315</v>
      </c>
      <c r="E267">
        <v>6.2769132422188187</v>
      </c>
      <c r="F267">
        <v>0.65935590750880468</v>
      </c>
      <c r="G267">
        <v>101.20240000953841</v>
      </c>
      <c r="H267">
        <v>98.811885874815573</v>
      </c>
      <c r="I267">
        <f t="shared" si="4"/>
        <v>0.50298803595144559</v>
      </c>
    </row>
    <row r="268" spans="4:9">
      <c r="D268">
        <v>316</v>
      </c>
      <c r="E268">
        <v>6.2680824853061603</v>
      </c>
      <c r="F268">
        <v>0.65052515059614624</v>
      </c>
      <c r="G268">
        <v>101.20048458697264</v>
      </c>
      <c r="H268">
        <v>98.813756088350033</v>
      </c>
      <c r="I268">
        <f t="shared" si="4"/>
        <v>0.50298330441248063</v>
      </c>
    </row>
    <row r="269" spans="4:9">
      <c r="D269">
        <v>317</v>
      </c>
      <c r="E269">
        <v>6.2629640999915175</v>
      </c>
      <c r="F269">
        <v>0.64540676528150343</v>
      </c>
      <c r="G269">
        <v>101.19857827107944</v>
      </c>
      <c r="H269">
        <v>98.815617480446207</v>
      </c>
      <c r="I269">
        <f t="shared" si="4"/>
        <v>0.50297859527975608</v>
      </c>
    </row>
    <row r="270" spans="4:9">
      <c r="D270">
        <v>318</v>
      </c>
      <c r="E270">
        <v>6.2542053886842348</v>
      </c>
      <c r="F270">
        <v>0.63664805397422075</v>
      </c>
      <c r="G270">
        <v>101.19668098998119</v>
      </c>
      <c r="H270">
        <v>98.817470120289698</v>
      </c>
      <c r="I270">
        <f t="shared" si="4"/>
        <v>0.50297390837675571</v>
      </c>
    </row>
    <row r="271" spans="4:9">
      <c r="D271">
        <v>319</v>
      </c>
      <c r="E271">
        <v>6.2491143125300832</v>
      </c>
      <c r="F271">
        <v>0.63155697782006914</v>
      </c>
      <c r="G271">
        <v>101.19479267259422</v>
      </c>
      <c r="H271">
        <v>98.819314076308714</v>
      </c>
      <c r="I271">
        <f t="shared" si="4"/>
        <v>0.50296924352949146</v>
      </c>
    </row>
    <row r="272" spans="4:9">
      <c r="D272">
        <v>320</v>
      </c>
      <c r="E272">
        <v>6.2404266462210627</v>
      </c>
      <c r="F272">
        <v>0.62286931151104863</v>
      </c>
      <c r="G272">
        <v>101.19291324861241</v>
      </c>
      <c r="H272">
        <v>98.821149416184142</v>
      </c>
      <c r="I272">
        <f t="shared" si="4"/>
        <v>0.50296460056525882</v>
      </c>
    </row>
    <row r="273" spans="4:9">
      <c r="D273">
        <v>321</v>
      </c>
      <c r="E273">
        <v>6.2353626820736778</v>
      </c>
      <c r="F273">
        <v>0.61780534736366377</v>
      </c>
      <c r="G273">
        <v>101.1910426485003</v>
      </c>
      <c r="H273">
        <v>98.822976206858726</v>
      </c>
      <c r="I273">
        <f t="shared" si="4"/>
        <v>0.5029599793131877</v>
      </c>
    </row>
    <row r="274" spans="4:9">
      <c r="D274">
        <v>322</v>
      </c>
      <c r="E274">
        <v>6.2267450798170962</v>
      </c>
      <c r="F274">
        <v>0.60918774510708218</v>
      </c>
      <c r="G274">
        <v>101.18918080348139</v>
      </c>
      <c r="H274">
        <v>98.824794514552892</v>
      </c>
      <c r="I274">
        <f t="shared" si="4"/>
        <v>0.50295537960521186</v>
      </c>
    </row>
    <row r="275" spans="4:9">
      <c r="D275">
        <v>323</v>
      </c>
      <c r="E275">
        <v>6.2217080310520387</v>
      </c>
      <c r="F275">
        <v>0.60415069634202467</v>
      </c>
      <c r="G275">
        <v>101.18732764552578</v>
      </c>
      <c r="H275">
        <v>98.82660440476775</v>
      </c>
      <c r="I275">
        <f t="shared" si="4"/>
        <v>0.50295080127415948</v>
      </c>
    </row>
    <row r="276" spans="4:9">
      <c r="D276">
        <v>324</v>
      </c>
      <c r="E276">
        <v>6.2131595310511454</v>
      </c>
      <c r="F276">
        <v>0.59560219634113132</v>
      </c>
      <c r="G276">
        <v>101.18548310734101</v>
      </c>
      <c r="H276">
        <v>98.828405942299085</v>
      </c>
      <c r="I276">
        <f t="shared" si="4"/>
        <v>0.50294624415485611</v>
      </c>
    </row>
    <row r="277" spans="4:9">
      <c r="D277">
        <v>325</v>
      </c>
      <c r="E277">
        <v>6.2081492016504489</v>
      </c>
      <c r="F277">
        <v>0.59059186694043486</v>
      </c>
      <c r="G277">
        <v>101.18364712236314</v>
      </c>
      <c r="H277">
        <v>98.830199191246209</v>
      </c>
      <c r="I277">
        <f t="shared" si="4"/>
        <v>0.50294170808418481</v>
      </c>
    </row>
    <row r="278" spans="4:9">
      <c r="D278">
        <v>326</v>
      </c>
      <c r="E278">
        <v>6.1996688607793988</v>
      </c>
      <c r="F278">
        <v>0.58211152606938477</v>
      </c>
      <c r="G278">
        <v>101.18181962474543</v>
      </c>
      <c r="H278">
        <v>98.831984215021862</v>
      </c>
      <c r="I278">
        <f t="shared" si="4"/>
        <v>0.50293719290086691</v>
      </c>
    </row>
    <row r="279" spans="4:9">
      <c r="D279">
        <v>327</v>
      </c>
      <c r="E279">
        <v>6.1946850553880752</v>
      </c>
      <c r="F279">
        <v>0.57712772067806117</v>
      </c>
      <c r="G279">
        <v>101.18000054934548</v>
      </c>
      <c r="H279">
        <v>98.833761076362265</v>
      </c>
      <c r="I279">
        <f t="shared" si="4"/>
        <v>0.50293269844493882</v>
      </c>
    </row>
    <row r="280" spans="4:9">
      <c r="D280">
        <v>328</v>
      </c>
      <c r="E280">
        <v>6.1862719487239444</v>
      </c>
      <c r="F280">
        <v>0.56871461401393031</v>
      </c>
      <c r="G280">
        <v>101.178189831719</v>
      </c>
      <c r="H280">
        <v>98.835529837328849</v>
      </c>
      <c r="I280">
        <f t="shared" si="4"/>
        <v>0.5029282245568496</v>
      </c>
    </row>
    <row r="281" spans="4:9">
      <c r="D281">
        <v>329</v>
      </c>
      <c r="E281">
        <v>6.1813144726980811</v>
      </c>
      <c r="F281">
        <v>0.56375713798806704</v>
      </c>
      <c r="G281">
        <v>101.17638740811748</v>
      </c>
      <c r="H281">
        <v>98.837290559337944</v>
      </c>
      <c r="I281">
        <f t="shared" si="4"/>
        <v>0.50292377108339026</v>
      </c>
    </row>
    <row r="282" spans="4:9">
      <c r="D282">
        <v>330</v>
      </c>
      <c r="E282">
        <v>6.1729676930718798</v>
      </c>
      <c r="F282">
        <v>0.5554103583618657</v>
      </c>
      <c r="G282">
        <v>101.17459321545785</v>
      </c>
      <c r="H282">
        <v>98.839043303138553</v>
      </c>
      <c r="I282">
        <f t="shared" si="4"/>
        <v>0.50291933786652798</v>
      </c>
    </row>
    <row r="283" spans="4:9">
      <c r="D283">
        <v>331</v>
      </c>
      <c r="E283">
        <v>6.1680363525494242</v>
      </c>
      <c r="F283">
        <v>0.55047901783941011</v>
      </c>
      <c r="G283">
        <v>101.17280719133412</v>
      </c>
      <c r="H283">
        <v>98.840788128852608</v>
      </c>
      <c r="I283">
        <f t="shared" si="4"/>
        <v>0.50291492475457233</v>
      </c>
    </row>
    <row r="284" spans="4:9">
      <c r="D284">
        <v>332</v>
      </c>
      <c r="E284">
        <v>6.159755010091982</v>
      </c>
      <c r="F284">
        <v>0.54219767538196795</v>
      </c>
      <c r="G284">
        <v>101.17102927400185</v>
      </c>
      <c r="H284">
        <v>98.842525095964533</v>
      </c>
      <c r="I284">
        <f t="shared" si="4"/>
        <v>0.50291053159668597</v>
      </c>
    </row>
    <row r="285" spans="4:9">
      <c r="D285">
        <v>333</v>
      </c>
      <c r="E285">
        <v>6.1548496120316925</v>
      </c>
      <c r="F285">
        <v>0.53729227732167839</v>
      </c>
      <c r="G285">
        <v>101.16925940236133</v>
      </c>
      <c r="H285">
        <v>98.844254263330996</v>
      </c>
      <c r="I285">
        <f t="shared" si="4"/>
        <v>0.50290615824143192</v>
      </c>
    </row>
    <row r="286" spans="4:9">
      <c r="D286">
        <v>334</v>
      </c>
      <c r="E286">
        <v>6.1466328337602079</v>
      </c>
      <c r="F286">
        <v>0.5290754990501938</v>
      </c>
      <c r="G286">
        <v>101.16749751596319</v>
      </c>
      <c r="H286">
        <v>98.845975689199861</v>
      </c>
      <c r="I286">
        <f t="shared" si="4"/>
        <v>0.50290180454211719</v>
      </c>
    </row>
    <row r="287" spans="4:9">
      <c r="D287">
        <v>335</v>
      </c>
      <c r="E287">
        <v>6.1417531859899377</v>
      </c>
      <c r="F287">
        <v>0.52419585127992363</v>
      </c>
      <c r="G287">
        <v>101.1657435549841</v>
      </c>
      <c r="H287">
        <v>98.847689431204785</v>
      </c>
      <c r="I287">
        <f t="shared" si="4"/>
        <v>0.50289747035047394</v>
      </c>
    </row>
    <row r="288" spans="4:9">
      <c r="D288">
        <v>336</v>
      </c>
      <c r="E288">
        <v>6.1336001153891511</v>
      </c>
      <c r="F288">
        <v>0.516042780679137</v>
      </c>
      <c r="G288">
        <v>101.16399746023139</v>
      </c>
      <c r="H288">
        <v>98.849395546386475</v>
      </c>
      <c r="I288">
        <f t="shared" si="4"/>
        <v>0.50289315552228431</v>
      </c>
    </row>
    <row r="289" spans="4:9">
      <c r="D289">
        <v>337</v>
      </c>
      <c r="E289">
        <v>6.1287460266498632</v>
      </c>
      <c r="F289">
        <v>0.51118869193984917</v>
      </c>
      <c r="G289">
        <v>101.16225917312548</v>
      </c>
      <c r="H289">
        <v>98.851094091189168</v>
      </c>
      <c r="I289">
        <f t="shared" si="4"/>
        <v>0.50288885991290977</v>
      </c>
    </row>
    <row r="290" spans="4:9">
      <c r="D290">
        <v>338</v>
      </c>
      <c r="E290">
        <v>6.1206558232723562</v>
      </c>
      <c r="F290">
        <v>0.50309848856234218</v>
      </c>
      <c r="G290">
        <v>101.16052863570086</v>
      </c>
      <c r="H290">
        <v>98.852785121478064</v>
      </c>
      <c r="I290">
        <f t="shared" si="4"/>
        <v>0.50288458338131314</v>
      </c>
    </row>
    <row r="291" spans="4:9">
      <c r="D291">
        <v>339</v>
      </c>
      <c r="E291">
        <v>6.1158271032607106</v>
      </c>
      <c r="F291">
        <v>0.49826976855069649</v>
      </c>
      <c r="G291">
        <v>101.15880579058565</v>
      </c>
      <c r="H291">
        <v>98.854468692539811</v>
      </c>
      <c r="I291">
        <f t="shared" si="4"/>
        <v>0.50288032578582231</v>
      </c>
    </row>
    <row r="292" spans="4:9">
      <c r="D292">
        <v>340</v>
      </c>
      <c r="E292">
        <v>6.1077989423368644</v>
      </c>
      <c r="F292">
        <v>0.49024160762685032</v>
      </c>
      <c r="G292">
        <v>101.15709058100384</v>
      </c>
      <c r="H292">
        <v>98.85614485909089</v>
      </c>
      <c r="I292">
        <f t="shared" si="4"/>
        <v>0.50287608698646935</v>
      </c>
    </row>
    <row r="293" spans="4:9">
      <c r="D293">
        <v>341</v>
      </c>
      <c r="E293">
        <v>6.1029954017365098</v>
      </c>
      <c r="F293">
        <v>0.48543806702649572</v>
      </c>
      <c r="G293">
        <v>101.15538295076637</v>
      </c>
      <c r="H293">
        <v>98.85781367529431</v>
      </c>
      <c r="I293">
        <f t="shared" si="4"/>
        <v>0.50287186684674934</v>
      </c>
    </row>
    <row r="294" spans="4:9">
      <c r="D294">
        <v>342</v>
      </c>
      <c r="E294">
        <v>6.095028473790177</v>
      </c>
      <c r="F294">
        <v>0.47747113908016292</v>
      </c>
      <c r="G294">
        <v>101.15368284425861</v>
      </c>
      <c r="H294">
        <v>98.859475194754538</v>
      </c>
      <c r="I294">
        <f t="shared" si="4"/>
        <v>0.50286766522986559</v>
      </c>
    </row>
    <row r="295" spans="4:9">
      <c r="D295">
        <v>343</v>
      </c>
      <c r="E295">
        <v>6.0902499243165531</v>
      </c>
      <c r="F295">
        <v>0.47269258960653904</v>
      </c>
      <c r="G295">
        <v>101.15199020643371</v>
      </c>
      <c r="H295">
        <v>98.861129470529804</v>
      </c>
      <c r="I295">
        <f t="shared" si="4"/>
        <v>0.50286348199999509</v>
      </c>
    </row>
    <row r="296" spans="4:9">
      <c r="D296">
        <v>344</v>
      </c>
      <c r="E296">
        <v>6.0823434348090606</v>
      </c>
      <c r="F296">
        <v>0.46478610009904653</v>
      </c>
      <c r="G296">
        <v>101.15030498280905</v>
      </c>
      <c r="H296">
        <v>98.862776555142204</v>
      </c>
      <c r="I296">
        <f t="shared" si="4"/>
        <v>0.5028593170237875</v>
      </c>
    </row>
    <row r="297" spans="4:9">
      <c r="D297">
        <v>345</v>
      </c>
      <c r="E297">
        <v>6.0775896892308641</v>
      </c>
      <c r="F297">
        <v>0.46003235452085001</v>
      </c>
      <c r="G297">
        <v>101.14862711945774</v>
      </c>
      <c r="H297">
        <v>98.864416500580433</v>
      </c>
      <c r="I297">
        <f t="shared" si="4"/>
        <v>0.50285517016915593</v>
      </c>
    </row>
    <row r="298" spans="4:9">
      <c r="D298">
        <v>346</v>
      </c>
      <c r="E298">
        <v>6.0697428581966157</v>
      </c>
      <c r="F298">
        <v>0.45218552348660168</v>
      </c>
      <c r="G298">
        <v>101.14695656299757</v>
      </c>
      <c r="H298">
        <v>98.866049358309795</v>
      </c>
      <c r="I298">
        <f t="shared" si="4"/>
        <v>0.50285104130510827</v>
      </c>
    </row>
    <row r="299" spans="4:9">
      <c r="D299">
        <v>347</v>
      </c>
      <c r="E299">
        <v>6.0650137303691256</v>
      </c>
      <c r="F299">
        <v>0.44745639565911155</v>
      </c>
      <c r="G299">
        <v>101.14529326058516</v>
      </c>
      <c r="H299">
        <v>98.867675179272325</v>
      </c>
      <c r="I299">
        <f t="shared" si="4"/>
        <v>0.50284693030053862</v>
      </c>
    </row>
    <row r="300" spans="4:9">
      <c r="D300">
        <v>348</v>
      </c>
      <c r="E300">
        <v>6.057225792074191</v>
      </c>
      <c r="F300">
        <v>0.43966845736417692</v>
      </c>
      <c r="G300">
        <v>101.14363715991988</v>
      </c>
      <c r="H300">
        <v>98.86929401390833</v>
      </c>
      <c r="I300">
        <f t="shared" si="4"/>
        <v>0.50284283702986599</v>
      </c>
    </row>
    <row r="301" spans="4:9">
      <c r="D301">
        <v>349</v>
      </c>
      <c r="E301">
        <v>6.0525210969638223</v>
      </c>
      <c r="F301">
        <v>0.43496376225380828</v>
      </c>
      <c r="G301">
        <v>101.14198820921347</v>
      </c>
      <c r="H301">
        <v>98.870905912140799</v>
      </c>
      <c r="I301">
        <f t="shared" si="4"/>
        <v>0.50283876136300398</v>
      </c>
    </row>
    <row r="302" spans="4:9">
      <c r="D302">
        <v>350</v>
      </c>
      <c r="E302">
        <v>6.0447912995699626</v>
      </c>
      <c r="F302">
        <v>0.42723396485994858</v>
      </c>
      <c r="G302">
        <v>101.14034635720397</v>
      </c>
      <c r="H302">
        <v>98.872510923406409</v>
      </c>
      <c r="I302">
        <f t="shared" si="4"/>
        <v>0.50283470317527545</v>
      </c>
    </row>
    <row r="303" spans="4:9">
      <c r="D303">
        <v>351</v>
      </c>
      <c r="E303">
        <v>6.0401108532859329</v>
      </c>
      <c r="F303">
        <v>0.42255351857591883</v>
      </c>
      <c r="G303">
        <v>101.13871155314958</v>
      </c>
      <c r="H303">
        <v>98.874109096642812</v>
      </c>
      <c r="I303">
        <f t="shared" si="4"/>
        <v>0.50283066234330698</v>
      </c>
    </row>
    <row r="304" spans="4:9">
      <c r="D304">
        <v>352</v>
      </c>
      <c r="E304">
        <v>6.0324384585270492</v>
      </c>
      <c r="F304">
        <v>0.41488112381703512</v>
      </c>
      <c r="G304">
        <v>101.13708374680026</v>
      </c>
      <c r="H304">
        <v>98.875700480303919</v>
      </c>
      <c r="I304">
        <f t="shared" si="4"/>
        <v>0.50282663874222089</v>
      </c>
    </row>
    <row r="305" spans="4:9">
      <c r="D305">
        <v>353</v>
      </c>
      <c r="E305">
        <v>6.027782078331744</v>
      </c>
      <c r="F305">
        <v>0.41022474362172989</v>
      </c>
      <c r="G305">
        <v>101.13546288841486</v>
      </c>
      <c r="H305">
        <v>98.877285122362863</v>
      </c>
      <c r="I305">
        <f t="shared" si="4"/>
        <v>0.50282263225007628</v>
      </c>
    </row>
    <row r="306" spans="4:9">
      <c r="D306">
        <v>354</v>
      </c>
      <c r="E306">
        <v>6.0201663611891085</v>
      </c>
      <c r="F306">
        <v>0.40260902647909447</v>
      </c>
      <c r="G306">
        <v>101.13384892874495</v>
      </c>
      <c r="H306">
        <v>98.878863070321415</v>
      </c>
      <c r="I306">
        <f t="shared" si="4"/>
        <v>0.50281864274644628</v>
      </c>
    </row>
    <row r="307" spans="4:9">
      <c r="D307">
        <v>355</v>
      </c>
      <c r="E307">
        <v>6.0155338655346409</v>
      </c>
      <c r="F307">
        <v>0.39797653082462681</v>
      </c>
      <c r="G307">
        <v>101.13224181902685</v>
      </c>
      <c r="H307">
        <v>98.880434371212473</v>
      </c>
      <c r="I307">
        <f t="shared" si="4"/>
        <v>0.50281467011125269</v>
      </c>
    </row>
    <row r="308" spans="4:9">
      <c r="D308">
        <v>356</v>
      </c>
      <c r="E308">
        <v>6.0079741139388334</v>
      </c>
      <c r="F308">
        <v>0.39041677922881934</v>
      </c>
      <c r="G308">
        <v>101.13064151098141</v>
      </c>
      <c r="H308">
        <v>98.881999071607751</v>
      </c>
      <c r="I308">
        <f t="shared" si="4"/>
        <v>0.50281071422646406</v>
      </c>
    </row>
    <row r="309" spans="4:9">
      <c r="D309">
        <v>357</v>
      </c>
      <c r="E309">
        <v>6.0033653224683627</v>
      </c>
      <c r="F309">
        <v>0.38580798775834868</v>
      </c>
      <c r="G309">
        <v>101.1290479567995</v>
      </c>
      <c r="H309">
        <v>98.88355721762322</v>
      </c>
      <c r="I309">
        <f t="shared" si="4"/>
        <v>0.50280677497412907</v>
      </c>
    </row>
    <row r="310" spans="4:9">
      <c r="D310">
        <v>358</v>
      </c>
      <c r="E310">
        <v>5.9958608369994417</v>
      </c>
      <c r="F310">
        <v>0.37830350228942766</v>
      </c>
      <c r="G310">
        <v>101.12746110914414</v>
      </c>
      <c r="H310">
        <v>98.88510885492488</v>
      </c>
      <c r="I310">
        <f t="shared" si="4"/>
        <v>0.50280285223817178</v>
      </c>
    </row>
    <row r="311" spans="4:9">
      <c r="D311">
        <v>359</v>
      </c>
      <c r="E311">
        <v>5.9912755705753922</v>
      </c>
      <c r="F311">
        <v>0.37371823586537811</v>
      </c>
      <c r="G311">
        <v>101.12588092114252</v>
      </c>
      <c r="H311">
        <v>98.886654028735549</v>
      </c>
      <c r="I311">
        <f t="shared" si="4"/>
        <v>0.50279894590418206</v>
      </c>
    </row>
    <row r="312" spans="4:9">
      <c r="D312">
        <v>360</v>
      </c>
      <c r="E312">
        <v>5.9838256641613246</v>
      </c>
      <c r="F312">
        <v>0.36626832945131049</v>
      </c>
      <c r="G312">
        <v>101.12430734637361</v>
      </c>
      <c r="H312">
        <v>98.888192783834199</v>
      </c>
      <c r="I312">
        <f t="shared" si="4"/>
        <v>0.50279505585653361</v>
      </c>
    </row>
    <row r="313" spans="4:9">
      <c r="D313">
        <v>361</v>
      </c>
      <c r="E313">
        <v>5.9792637448805923</v>
      </c>
      <c r="F313">
        <v>0.36170641017057825</v>
      </c>
      <c r="G313">
        <v>101.12274033887572</v>
      </c>
      <c r="H313">
        <v>98.889725164575353</v>
      </c>
      <c r="I313">
        <f t="shared" si="4"/>
        <v>0.50279118198446049</v>
      </c>
    </row>
    <row r="314" spans="4:9">
      <c r="D314">
        <v>362</v>
      </c>
      <c r="E314">
        <v>5.9718677425346849</v>
      </c>
      <c r="F314">
        <v>0.35431040782467083</v>
      </c>
      <c r="G314">
        <v>101.12117985312551</v>
      </c>
      <c r="H314">
        <v>98.891251214875282</v>
      </c>
      <c r="I314">
        <f t="shared" si="4"/>
        <v>0.50278732417431715</v>
      </c>
    </row>
    <row r="315" spans="4:9">
      <c r="D315">
        <v>363</v>
      </c>
      <c r="E315">
        <v>5.9673289937339256</v>
      </c>
      <c r="F315">
        <v>0.3497716590239115</v>
      </c>
      <c r="G315">
        <v>101.11962584404435</v>
      </c>
      <c r="H315">
        <v>98.892770978237508</v>
      </c>
      <c r="I315">
        <f t="shared" si="4"/>
        <v>0.50278348231674408</v>
      </c>
    </row>
    <row r="316" spans="4:9">
      <c r="D316">
        <v>364</v>
      </c>
      <c r="E316">
        <v>5.9599862322601709</v>
      </c>
      <c r="F316">
        <v>0.34242889755015682</v>
      </c>
      <c r="G316">
        <v>101.11807826698727</v>
      </c>
      <c r="H316">
        <v>98.894284497739392</v>
      </c>
      <c r="I316">
        <f t="shared" si="4"/>
        <v>0.50277965630123189</v>
      </c>
    </row>
    <row r="317" spans="4:9">
      <c r="D317">
        <v>365</v>
      </c>
      <c r="E317">
        <v>5.9554704785395884</v>
      </c>
      <c r="F317">
        <v>0.33791314382957438</v>
      </c>
      <c r="G317">
        <v>101.11653707773722</v>
      </c>
      <c r="H317">
        <v>98.895791816050391</v>
      </c>
      <c r="I317">
        <f t="shared" si="4"/>
        <v>0.50277584601897252</v>
      </c>
    </row>
    <row r="318" spans="4:9">
      <c r="D318">
        <v>366</v>
      </c>
      <c r="E318">
        <v>5.9481803062814524</v>
      </c>
      <c r="F318">
        <v>0.33062297157143838</v>
      </c>
      <c r="G318">
        <v>101.11500223250707</v>
      </c>
      <c r="H318">
        <v>98.897292975434127</v>
      </c>
      <c r="I318">
        <f t="shared" si="4"/>
        <v>0.50277205136380709</v>
      </c>
    </row>
    <row r="319" spans="4:9">
      <c r="D319">
        <v>367</v>
      </c>
      <c r="E319">
        <v>5.9436873735054663</v>
      </c>
      <c r="F319">
        <v>0.32613003879545222</v>
      </c>
      <c r="G319">
        <v>101.11347368792018</v>
      </c>
      <c r="H319">
        <v>98.8987880177487</v>
      </c>
      <c r="I319">
        <f t="shared" si="4"/>
        <v>0.50276827222797882</v>
      </c>
    </row>
    <row r="320" spans="4:9">
      <c r="D320">
        <v>368</v>
      </c>
      <c r="E320">
        <v>5.9364491500781025</v>
      </c>
      <c r="F320">
        <v>0.31889181536808842</v>
      </c>
      <c r="G320">
        <v>101.11195140102267</v>
      </c>
      <c r="H320">
        <v>98.900276984457662</v>
      </c>
      <c r="I320">
        <f t="shared" si="4"/>
        <v>0.50276450850738674</v>
      </c>
    </row>
    <row r="321" spans="4:9">
      <c r="D321">
        <v>369</v>
      </c>
      <c r="E321">
        <v>5.931978865388988</v>
      </c>
      <c r="F321">
        <v>0.31442153067897394</v>
      </c>
      <c r="G321">
        <v>101.11043532926041</v>
      </c>
      <c r="H321">
        <v>98.901759916626148</v>
      </c>
      <c r="I321">
        <f t="shared" si="4"/>
        <v>0.50276076009557558</v>
      </c>
    </row>
    <row r="322" spans="4:9">
      <c r="D322">
        <v>370</v>
      </c>
      <c r="E322">
        <v>5.924791961436779</v>
      </c>
      <c r="F322">
        <v>0.30723462672676494</v>
      </c>
      <c r="G322">
        <v>101.10892543048922</v>
      </c>
      <c r="H322">
        <v>98.903236854940673</v>
      </c>
      <c r="I322">
        <f t="shared" si="4"/>
        <v>0.50275702689054147</v>
      </c>
    </row>
    <row r="323" spans="4:9">
      <c r="D323">
        <v>371</v>
      </c>
      <c r="E323">
        <v>5.920344153259764</v>
      </c>
      <c r="F323">
        <v>0.30278681854974998</v>
      </c>
      <c r="G323">
        <v>101.10742166296015</v>
      </c>
      <c r="H323">
        <v>98.904707839693913</v>
      </c>
      <c r="I323">
        <f t="shared" ref="I323:I386" si="5">(G323-100)/(G323-H323)</f>
        <v>0.50275330878799229</v>
      </c>
    </row>
    <row r="324" spans="4:9">
      <c r="D324">
        <v>372</v>
      </c>
      <c r="E324">
        <v>5.9132079501947699</v>
      </c>
      <c r="F324">
        <v>0.2956506154847558</v>
      </c>
      <c r="G324">
        <v>101.1059239853259</v>
      </c>
      <c r="H324">
        <v>98.906172910812998</v>
      </c>
      <c r="I324">
        <f t="shared" si="5"/>
        <v>0.50274960568926608</v>
      </c>
    </row>
    <row r="325" spans="4:9">
      <c r="D325">
        <v>373</v>
      </c>
      <c r="E325">
        <v>5.9087824482541285</v>
      </c>
      <c r="F325">
        <v>0.2912251135441144</v>
      </c>
      <c r="G325">
        <v>101.10443235661535</v>
      </c>
      <c r="H325">
        <v>98.907632107837316</v>
      </c>
      <c r="I325">
        <f t="shared" si="5"/>
        <v>0.50274591749053521</v>
      </c>
    </row>
    <row r="326" spans="4:9">
      <c r="D326">
        <v>374</v>
      </c>
      <c r="E326">
        <v>5.901696338032294</v>
      </c>
      <c r="F326">
        <v>0.28413900332227993</v>
      </c>
      <c r="G326">
        <v>101.10294673625593</v>
      </c>
      <c r="H326">
        <v>98.909085469948309</v>
      </c>
      <c r="I326">
        <f t="shared" si="5"/>
        <v>0.50274224409469837</v>
      </c>
    </row>
    <row r="327" spans="4:9">
      <c r="D327">
        <v>375</v>
      </c>
      <c r="E327">
        <v>5.8972929733485087</v>
      </c>
      <c r="F327">
        <v>0.2797356386384946</v>
      </c>
      <c r="G327">
        <v>101.10146708404378</v>
      </c>
      <c r="H327">
        <v>98.910533035956149</v>
      </c>
      <c r="I327">
        <f t="shared" si="5"/>
        <v>0.50273858540160066</v>
      </c>
    </row>
    <row r="328" spans="4:9">
      <c r="D328">
        <v>376</v>
      </c>
      <c r="E328">
        <v>5.8902563582286902</v>
      </c>
      <c r="F328">
        <v>0.27269902351867614</v>
      </c>
      <c r="G328">
        <v>101.0999933601574</v>
      </c>
      <c r="H328">
        <v>98.911974844312866</v>
      </c>
      <c r="I328">
        <f t="shared" si="5"/>
        <v>0.50273494131416085</v>
      </c>
    </row>
    <row r="329" spans="4:9">
      <c r="D329">
        <v>377</v>
      </c>
      <c r="E329">
        <v>5.8858749631265388</v>
      </c>
      <c r="F329">
        <v>0.26831762841652473</v>
      </c>
      <c r="G329">
        <v>101.09852552514249</v>
      </c>
      <c r="H329">
        <v>98.913410933111763</v>
      </c>
      <c r="I329">
        <f t="shared" si="5"/>
        <v>0.50273131173481422</v>
      </c>
    </row>
    <row r="330" spans="4:9">
      <c r="D330">
        <v>378</v>
      </c>
      <c r="E330">
        <v>5.8788872554565463</v>
      </c>
      <c r="F330">
        <v>0.26132992074653227</v>
      </c>
      <c r="G330">
        <v>101.09706353991305</v>
      </c>
      <c r="H330">
        <v>98.914841340095322</v>
      </c>
      <c r="I330">
        <f t="shared" si="5"/>
        <v>0.50272769656760152</v>
      </c>
    </row>
    <row r="331" spans="4:9">
      <c r="D331">
        <v>379</v>
      </c>
      <c r="E331">
        <v>5.8745276635577746</v>
      </c>
      <c r="F331">
        <v>0.2569703288477605</v>
      </c>
      <c r="G331">
        <v>101.0956073657447</v>
      </c>
      <c r="H331">
        <v>98.916266102661737</v>
      </c>
      <c r="I331">
        <f t="shared" si="5"/>
        <v>0.50272409571818011</v>
      </c>
    </row>
    <row r="332" spans="4:9">
      <c r="D332">
        <v>380</v>
      </c>
      <c r="E332">
        <v>5.8675882855422294</v>
      </c>
      <c r="F332">
        <v>0.25003095083221538</v>
      </c>
      <c r="G332">
        <v>101.09415696426886</v>
      </c>
      <c r="H332">
        <v>98.917685257855766</v>
      </c>
      <c r="I332">
        <f t="shared" si="5"/>
        <v>0.50272050909040855</v>
      </c>
    </row>
    <row r="333" spans="4:9">
      <c r="D333">
        <v>381</v>
      </c>
      <c r="E333">
        <v>5.8632503317951787</v>
      </c>
      <c r="F333">
        <v>0.24569299708516468</v>
      </c>
      <c r="G333">
        <v>101.09271229747681</v>
      </c>
      <c r="H333">
        <v>98.919098842394618</v>
      </c>
      <c r="I333">
        <f t="shared" si="5"/>
        <v>0.50271693659325911</v>
      </c>
    </row>
    <row r="334" spans="4:9">
      <c r="D334">
        <v>382</v>
      </c>
      <c r="E334">
        <v>5.856358715281897</v>
      </c>
      <c r="F334">
        <v>0.23880138057188294</v>
      </c>
      <c r="G334">
        <v>101.09127332770298</v>
      </c>
      <c r="H334">
        <v>98.920506892651758</v>
      </c>
      <c r="I334">
        <f t="shared" si="5"/>
        <v>0.50271337813329953</v>
      </c>
    </row>
    <row r="335" spans="4:9">
      <c r="D335">
        <v>383</v>
      </c>
      <c r="E335">
        <v>5.8520422359339568</v>
      </c>
      <c r="F335">
        <v>0.23448490122394272</v>
      </c>
      <c r="G335">
        <v>101.08984001762732</v>
      </c>
      <c r="H335">
        <v>98.921909444673275</v>
      </c>
      <c r="I335">
        <f t="shared" si="5"/>
        <v>0.50270983361902355</v>
      </c>
    </row>
    <row r="336" spans="4:9">
      <c r="D336">
        <v>384</v>
      </c>
      <c r="E336">
        <v>5.8451978222217864</v>
      </c>
      <c r="F336">
        <v>0.22764048751177235</v>
      </c>
      <c r="G336">
        <v>101.08841233027346</v>
      </c>
      <c r="H336">
        <v>98.923306534168447</v>
      </c>
      <c r="I336">
        <f t="shared" si="5"/>
        <v>0.50270630295826313</v>
      </c>
    </row>
    <row r="337" spans="4:9">
      <c r="D337">
        <v>385</v>
      </c>
      <c r="E337">
        <v>5.8409026548394252</v>
      </c>
      <c r="F337">
        <v>0.22334532012941111</v>
      </c>
      <c r="G337">
        <v>101.08699022899981</v>
      </c>
      <c r="H337">
        <v>98.924698196534465</v>
      </c>
      <c r="I337">
        <f t="shared" si="5"/>
        <v>0.50270278606191487</v>
      </c>
    </row>
    <row r="338" spans="4:9">
      <c r="D338">
        <v>386</v>
      </c>
      <c r="E338">
        <v>5.8341048944495197</v>
      </c>
      <c r="F338">
        <v>0.21654755973950568</v>
      </c>
      <c r="G338">
        <v>101.08557367750464</v>
      </c>
      <c r="H338">
        <v>98.926084466843378</v>
      </c>
      <c r="I338">
        <f t="shared" si="5"/>
        <v>0.50269928284208665</v>
      </c>
    </row>
    <row r="339" spans="4:9">
      <c r="D339">
        <v>387</v>
      </c>
      <c r="E339">
        <v>5.8298308779137251</v>
      </c>
      <c r="F339">
        <v>0.21227354320371106</v>
      </c>
      <c r="G339">
        <v>101.08416263980374</v>
      </c>
      <c r="H339">
        <v>98.927465379845202</v>
      </c>
      <c r="I339">
        <f t="shared" si="5"/>
        <v>0.50269579320770363</v>
      </c>
    </row>
    <row r="340" spans="4:9">
      <c r="D340">
        <v>388</v>
      </c>
      <c r="E340">
        <v>5.8230792304193377</v>
      </c>
      <c r="F340">
        <v>0.20552189570932367</v>
      </c>
      <c r="G340">
        <v>101.08275708025216</v>
      </c>
      <c r="H340">
        <v>98.928840969986027</v>
      </c>
      <c r="I340">
        <f t="shared" si="5"/>
        <v>0.50269231707375051</v>
      </c>
    </row>
    <row r="341" spans="4:9">
      <c r="D341">
        <v>389</v>
      </c>
      <c r="E341">
        <v>5.8188262049210389</v>
      </c>
      <c r="F341">
        <v>0.2012688702110248</v>
      </c>
      <c r="G341">
        <v>101.08135696351169</v>
      </c>
      <c r="H341">
        <v>98.9302112713969</v>
      </c>
      <c r="I341">
        <f t="shared" si="5"/>
        <v>0.50268885435119492</v>
      </c>
    </row>
    <row r="342" spans="4:9">
      <c r="D342">
        <v>390</v>
      </c>
      <c r="E342">
        <v>5.8121201387379475</v>
      </c>
      <c r="F342">
        <v>0.19456280402793347</v>
      </c>
      <c r="G342">
        <v>101.07996225458098</v>
      </c>
      <c r="H342">
        <v>98.9315763179073</v>
      </c>
      <c r="I342">
        <f t="shared" si="5"/>
        <v>0.50268540495711445</v>
      </c>
    </row>
    <row r="343" spans="4:9">
      <c r="D343">
        <v>391</v>
      </c>
      <c r="E343">
        <v>5.8078879457775185</v>
      </c>
      <c r="F343">
        <v>0.19033061106750448</v>
      </c>
      <c r="G343">
        <v>101.07857291875303</v>
      </c>
      <c r="H343">
        <v>98.932936143033785</v>
      </c>
      <c r="I343">
        <f t="shared" si="5"/>
        <v>0.50268196880223415</v>
      </c>
    </row>
    <row r="344" spans="4:9">
      <c r="D344">
        <v>392</v>
      </c>
      <c r="E344">
        <v>5.8012269379830599</v>
      </c>
      <c r="F344">
        <v>0.18366960327304582</v>
      </c>
      <c r="G344">
        <v>101.07718892164314</v>
      </c>
      <c r="H344">
        <v>98.934290780009974</v>
      </c>
      <c r="I344">
        <f t="shared" si="5"/>
        <v>0.50267854580441385</v>
      </c>
    </row>
    <row r="345" spans="4:9">
      <c r="D345">
        <v>393</v>
      </c>
      <c r="E345">
        <v>5.797015420379112</v>
      </c>
      <c r="F345">
        <v>0.17945808566909793</v>
      </c>
      <c r="G345">
        <v>101.07581022917557</v>
      </c>
      <c r="H345">
        <v>98.935640261764831</v>
      </c>
      <c r="I345">
        <f t="shared" si="5"/>
        <v>0.50267513588050627</v>
      </c>
    </row>
    <row r="346" spans="4:9">
      <c r="D346">
        <v>394</v>
      </c>
      <c r="E346">
        <v>5.7903989565212841</v>
      </c>
      <c r="F346">
        <v>0.17284162181127005</v>
      </c>
      <c r="G346">
        <v>101.0744368075698</v>
      </c>
      <c r="H346">
        <v>98.93698462093505</v>
      </c>
      <c r="I346">
        <f t="shared" si="5"/>
        <v>0.50267173894608341</v>
      </c>
    </row>
    <row r="347" spans="4:9">
      <c r="D347">
        <v>395</v>
      </c>
      <c r="E347">
        <v>5.7862079584028807</v>
      </c>
      <c r="F347">
        <v>0.16865062369286665</v>
      </c>
      <c r="G347">
        <v>101.07306862335153</v>
      </c>
      <c r="H347">
        <v>98.938323889869608</v>
      </c>
      <c r="I347">
        <f t="shared" si="5"/>
        <v>0.50266835491908135</v>
      </c>
    </row>
    <row r="348" spans="4:9">
      <c r="D348">
        <v>396</v>
      </c>
      <c r="E348">
        <v>5.7796355323384887</v>
      </c>
      <c r="F348">
        <v>0.16207819762847464</v>
      </c>
      <c r="G348">
        <v>101.07170564334167</v>
      </c>
      <c r="H348">
        <v>98.93965810063446</v>
      </c>
      <c r="I348">
        <f t="shared" si="5"/>
        <v>0.50266498371835178</v>
      </c>
    </row>
    <row r="349" spans="4:9">
      <c r="D349">
        <v>397</v>
      </c>
      <c r="E349">
        <v>5.7754648991309727</v>
      </c>
      <c r="F349">
        <v>0.15790756442095866</v>
      </c>
      <c r="G349">
        <v>101.07034783465291</v>
      </c>
      <c r="H349">
        <v>98.940987285009072</v>
      </c>
      <c r="I349">
        <f t="shared" si="5"/>
        <v>0.50266162526207103</v>
      </c>
    </row>
    <row r="350" spans="4:9">
      <c r="D350">
        <v>398</v>
      </c>
      <c r="E350">
        <v>5.7689360128435814</v>
      </c>
      <c r="F350">
        <v>0.15137867813356731</v>
      </c>
      <c r="G350">
        <v>101.06899516469457</v>
      </c>
      <c r="H350">
        <v>98.942311474500571</v>
      </c>
      <c r="I350">
        <f t="shared" si="5"/>
        <v>0.50265827947223063</v>
      </c>
    </row>
    <row r="351" spans="4:9">
      <c r="D351">
        <v>399</v>
      </c>
      <c r="E351">
        <v>5.7647855912749613</v>
      </c>
      <c r="F351">
        <v>0.1472282565649472</v>
      </c>
      <c r="G351">
        <v>101.06764760115298</v>
      </c>
      <c r="H351">
        <v>98.943630700335589</v>
      </c>
      <c r="I351">
        <f t="shared" si="5"/>
        <v>0.50265494626813778</v>
      </c>
    </row>
    <row r="352" spans="4:9">
      <c r="D352">
        <v>400</v>
      </c>
      <c r="E352">
        <v>5.7582997547065</v>
      </c>
      <c r="F352">
        <v>0.14074241999648596</v>
      </c>
      <c r="G352">
        <v>101.06630511200348</v>
      </c>
      <c r="H352">
        <v>98.944944993464674</v>
      </c>
      <c r="I352">
        <f t="shared" si="5"/>
        <v>0.5026516255702731</v>
      </c>
    </row>
    <row r="353" spans="4:9">
      <c r="D353">
        <v>401</v>
      </c>
      <c r="E353">
        <v>5.7541693928134228</v>
      </c>
      <c r="F353">
        <v>0.13661205810340871</v>
      </c>
      <c r="G353">
        <v>101.06496766550423</v>
      </c>
      <c r="H353">
        <v>98.946254384576918</v>
      </c>
      <c r="I353">
        <f t="shared" si="5"/>
        <v>0.50264831730233761</v>
      </c>
    </row>
    <row r="354" spans="4:9">
      <c r="D354">
        <v>402</v>
      </c>
      <c r="E354">
        <v>5.7477261236949611</v>
      </c>
      <c r="F354">
        <v>0.13016878898494699</v>
      </c>
      <c r="G354">
        <v>101.06363523018366</v>
      </c>
      <c r="H354">
        <v>98.947558904088453</v>
      </c>
      <c r="I354">
        <f t="shared" si="5"/>
        <v>0.50264502138558798</v>
      </c>
    </row>
    <row r="355" spans="4:9">
      <c r="D355">
        <v>403</v>
      </c>
      <c r="E355">
        <v>5.743615670800061</v>
      </c>
      <c r="F355">
        <v>0.12605833609004691</v>
      </c>
      <c r="G355">
        <v>101.06230777484994</v>
      </c>
      <c r="H355">
        <v>98.948858582154401</v>
      </c>
      <c r="I355">
        <f t="shared" si="5"/>
        <v>0.50264173774390575</v>
      </c>
    </row>
    <row r="356" spans="4:9">
      <c r="D356">
        <v>404</v>
      </c>
      <c r="E356">
        <v>5.7372144945026911</v>
      </c>
      <c r="F356">
        <v>0.11965715979267699</v>
      </c>
      <c r="G356">
        <v>101.06098526858416</v>
      </c>
      <c r="H356">
        <v>98.950153448670235</v>
      </c>
      <c r="I356">
        <f t="shared" si="5"/>
        <v>0.50263846630255249</v>
      </c>
    </row>
    <row r="357" spans="4:9">
      <c r="D357">
        <v>405</v>
      </c>
      <c r="E357">
        <v>5.7331238012189107</v>
      </c>
      <c r="F357">
        <v>0.11556646650889668</v>
      </c>
      <c r="G357">
        <v>101.05966768072645</v>
      </c>
      <c r="H357">
        <v>98.951443533266456</v>
      </c>
      <c r="I357">
        <f t="shared" si="5"/>
        <v>0.50263520698363395</v>
      </c>
    </row>
    <row r="358" spans="4:9">
      <c r="D358">
        <v>406</v>
      </c>
      <c r="E358">
        <v>5.726764250591839</v>
      </c>
      <c r="F358">
        <v>0.10920691588182496</v>
      </c>
      <c r="G358">
        <v>101.05835498088858</v>
      </c>
      <c r="H358">
        <v>98.952728865327629</v>
      </c>
      <c r="I358">
        <f t="shared" si="5"/>
        <v>0.50263195971362096</v>
      </c>
    </row>
    <row r="359" spans="4:9">
      <c r="D359">
        <v>407</v>
      </c>
      <c r="E359">
        <v>5.7226931688175071</v>
      </c>
      <c r="F359">
        <v>0.10513583410749305</v>
      </c>
      <c r="G359">
        <v>101.0570471389463</v>
      </c>
      <c r="H359">
        <v>98.95400947398258</v>
      </c>
      <c r="I359">
        <f t="shared" si="5"/>
        <v>0.50262872441922557</v>
      </c>
    </row>
    <row r="360" spans="4:9">
      <c r="D360">
        <v>408</v>
      </c>
      <c r="E360">
        <v>5.7163747840303856</v>
      </c>
      <c r="F360">
        <v>9.8817449320371509E-2</v>
      </c>
      <c r="G360">
        <v>101.05574412502868</v>
      </c>
      <c r="H360">
        <v>98.955285388109914</v>
      </c>
      <c r="I360">
        <f t="shared" si="5"/>
        <v>0.50262550102621273</v>
      </c>
    </row>
    <row r="361" spans="4:9">
      <c r="D361">
        <v>409</v>
      </c>
      <c r="E361">
        <v>5.7123231669431904</v>
      </c>
      <c r="F361">
        <v>9.4765832233176361E-2</v>
      </c>
      <c r="G361">
        <v>101.05444590952348</v>
      </c>
      <c r="H361">
        <v>98.956556636341347</v>
      </c>
      <c r="I361">
        <f t="shared" si="5"/>
        <v>0.50262228946147802</v>
      </c>
    </row>
    <row r="362" spans="4:9">
      <c r="D362">
        <v>410</v>
      </c>
      <c r="E362">
        <v>5.7060454953516881</v>
      </c>
      <c r="F362">
        <v>8.8488160641674085E-2</v>
      </c>
      <c r="G362">
        <v>101.05315246307616</v>
      </c>
      <c r="H362">
        <v>98.957823247066116</v>
      </c>
      <c r="I362">
        <f t="shared" si="5"/>
        <v>0.50261908965388646</v>
      </c>
    </row>
    <row r="363" spans="4:9">
      <c r="D363">
        <v>411</v>
      </c>
      <c r="E363">
        <v>5.7020131974039705</v>
      </c>
      <c r="F363">
        <v>8.4455862693956441E-2</v>
      </c>
      <c r="G363">
        <v>101.05186375657701</v>
      </c>
      <c r="H363">
        <v>98.959085248431066</v>
      </c>
      <c r="I363">
        <f t="shared" si="5"/>
        <v>0.50261590153125479</v>
      </c>
    </row>
    <row r="364" spans="4:9">
      <c r="D364">
        <v>412</v>
      </c>
      <c r="E364">
        <v>5.6957757933851303</v>
      </c>
      <c r="F364">
        <v>7.8218458675116231E-2</v>
      </c>
      <c r="G364">
        <v>101.05057976116716</v>
      </c>
      <c r="H364">
        <v>98.960342668344694</v>
      </c>
      <c r="I364">
        <f t="shared" si="5"/>
        <v>0.50261272502276333</v>
      </c>
    </row>
    <row r="365" spans="4:9">
      <c r="D365">
        <v>413</v>
      </c>
      <c r="E365">
        <v>5.6917626702932536</v>
      </c>
      <c r="F365">
        <v>7.4205335583239496E-2</v>
      </c>
      <c r="G365">
        <v>101.0493004482294</v>
      </c>
      <c r="H365">
        <v>98.961595534479301</v>
      </c>
      <c r="I365">
        <f t="shared" si="5"/>
        <v>0.50260956005730029</v>
      </c>
    </row>
    <row r="366" spans="4:9">
      <c r="D366">
        <v>414</v>
      </c>
      <c r="E366">
        <v>5.6855650951276457</v>
      </c>
      <c r="F366">
        <v>6.800776041763168E-2</v>
      </c>
      <c r="G366">
        <v>101.04802578939719</v>
      </c>
      <c r="H366">
        <v>98.962843874273759</v>
      </c>
      <c r="I366">
        <f t="shared" si="5"/>
        <v>0.50260640656628319</v>
      </c>
    </row>
    <row r="367" spans="4:9">
      <c r="D367">
        <v>415</v>
      </c>
      <c r="E367">
        <v>5.6815710038721532</v>
      </c>
      <c r="F367">
        <v>6.4013669162139131E-2</v>
      </c>
      <c r="G367">
        <v>101.04675575653785</v>
      </c>
      <c r="H367">
        <v>98.964087714935914</v>
      </c>
      <c r="I367">
        <f t="shared" si="5"/>
        <v>0.50260326448026305</v>
      </c>
    </row>
    <row r="368" spans="4:9">
      <c r="D368">
        <v>416</v>
      </c>
      <c r="E368">
        <v>5.6754128255810397</v>
      </c>
      <c r="F368">
        <v>5.7855490871025594E-2</v>
      </c>
      <c r="G368">
        <v>101.04549032175869</v>
      </c>
      <c r="H368">
        <v>98.965327083445061</v>
      </c>
      <c r="I368">
        <f t="shared" si="5"/>
        <v>0.50260013373097634</v>
      </c>
    </row>
    <row r="369" spans="4:9">
      <c r="D369">
        <v>417</v>
      </c>
      <c r="E369">
        <v>5.6714376243897897</v>
      </c>
      <c r="F369">
        <v>5.388028967977565E-2</v>
      </c>
      <c r="G369">
        <v>101.04422945739699</v>
      </c>
      <c r="H369">
        <v>98.96656200655616</v>
      </c>
      <c r="I369">
        <f t="shared" si="5"/>
        <v>0.50259701424999148</v>
      </c>
    </row>
    <row r="370" spans="4:9">
      <c r="D370">
        <v>418</v>
      </c>
      <c r="E370">
        <v>5.6653184176269065</v>
      </c>
      <c r="F370">
        <v>4.7761082916892406E-2</v>
      </c>
      <c r="G370">
        <v>101.04297313602659</v>
      </c>
      <c r="H370">
        <v>98.967792510794311</v>
      </c>
      <c r="I370">
        <f t="shared" si="5"/>
        <v>0.50259390596895515</v>
      </c>
    </row>
    <row r="371" spans="4:9">
      <c r="D371">
        <v>419</v>
      </c>
      <c r="E371">
        <v>5.6613619659826568</v>
      </c>
      <c r="F371">
        <v>4.380463127264278E-2</v>
      </c>
      <c r="G371">
        <v>101.04172133045101</v>
      </c>
      <c r="H371">
        <v>98.969018622473797</v>
      </c>
      <c r="I371">
        <f t="shared" si="5"/>
        <v>0.5025908088225759</v>
      </c>
    </row>
    <row r="372" spans="4:9">
      <c r="D372">
        <v>420</v>
      </c>
      <c r="E372">
        <v>5.6552813118819047</v>
      </c>
      <c r="F372">
        <v>3.7723977171890688E-2</v>
      </c>
      <c r="G372">
        <v>101.04047401369888</v>
      </c>
      <c r="H372">
        <v>98.970240367677491</v>
      </c>
      <c r="I372">
        <f t="shared" si="5"/>
        <v>0.50258772274254293</v>
      </c>
    </row>
    <row r="373" spans="4:9">
      <c r="D373">
        <v>421</v>
      </c>
      <c r="E373">
        <v>5.6513434704974213</v>
      </c>
      <c r="F373">
        <v>3.378613578740719E-2</v>
      </c>
      <c r="G373">
        <v>101.03923115902982</v>
      </c>
      <c r="H373">
        <v>98.97145777228576</v>
      </c>
      <c r="I373">
        <f t="shared" si="5"/>
        <v>0.50258464766596489</v>
      </c>
    </row>
    <row r="374" spans="4:9">
      <c r="D374">
        <v>422</v>
      </c>
      <c r="E374">
        <v>5.6453009565598808</v>
      </c>
      <c r="F374">
        <v>2.7743621849866784E-2</v>
      </c>
      <c r="G374">
        <v>101.03799273991535</v>
      </c>
      <c r="H374">
        <v>98.972670861951272</v>
      </c>
      <c r="I374">
        <f t="shared" si="5"/>
        <v>0.50258158352467963</v>
      </c>
    </row>
    <row r="375" spans="4:9">
      <c r="D375">
        <v>423</v>
      </c>
      <c r="E375">
        <v>5.6413815873818605</v>
      </c>
      <c r="F375">
        <v>2.3824252671846402E-2</v>
      </c>
      <c r="G375">
        <v>101.03675873005868</v>
      </c>
      <c r="H375">
        <v>98.973879662125114</v>
      </c>
      <c r="I375">
        <f t="shared" si="5"/>
        <v>0.50257853025636878</v>
      </c>
    </row>
    <row r="376" spans="4:9">
      <c r="D376">
        <v>424</v>
      </c>
      <c r="E376">
        <v>5.6353768073385071</v>
      </c>
      <c r="F376">
        <v>1.7819472628493038E-2</v>
      </c>
      <c r="G376">
        <v>101.03552910337002</v>
      </c>
      <c r="H376">
        <v>98.97508419804312</v>
      </c>
      <c r="I376">
        <f t="shared" si="5"/>
        <v>0.50257548779530714</v>
      </c>
    </row>
    <row r="377" spans="4:9">
      <c r="D377">
        <v>425</v>
      </c>
      <c r="E377">
        <v>5.6314757735451266</v>
      </c>
      <c r="F377">
        <v>1.3918438835112568E-2</v>
      </c>
      <c r="G377">
        <v>101.03430383398464</v>
      </c>
      <c r="H377">
        <v>98.976284494735125</v>
      </c>
      <c r="I377">
        <f t="shared" si="5"/>
        <v>0.50257245607896572</v>
      </c>
    </row>
    <row r="378" spans="4:9">
      <c r="D378">
        <v>426</v>
      </c>
      <c r="E378">
        <v>5.6255083272418895</v>
      </c>
      <c r="F378">
        <v>7.9509925318754782E-3</v>
      </c>
      <c r="G378">
        <v>101.03308289624158</v>
      </c>
      <c r="H378">
        <v>98.977480577025617</v>
      </c>
      <c r="I378">
        <f t="shared" si="5"/>
        <v>0.50256943504306473</v>
      </c>
    </row>
    <row r="379" spans="4:9">
      <c r="D379">
        <v>427</v>
      </c>
      <c r="E379">
        <v>5.6216254932169196</v>
      </c>
      <c r="F379">
        <v>4.0681585069055615E-3</v>
      </c>
      <c r="G379">
        <v>101.03186626470132</v>
      </c>
      <c r="H379">
        <v>98.978672469536022</v>
      </c>
      <c r="I379">
        <f t="shared" si="5"/>
        <v>0.502566424626394</v>
      </c>
    </row>
    <row r="380" spans="4:9">
      <c r="D380">
        <v>428</v>
      </c>
      <c r="E380">
        <v>6.4033675537947667</v>
      </c>
      <c r="F380">
        <v>0.78581021908475268</v>
      </c>
      <c r="G380">
        <v>101.0306539141248</v>
      </c>
      <c r="H380">
        <v>98.979860196686715</v>
      </c>
      <c r="I380">
        <f t="shared" si="5"/>
        <v>0.50256342476625293</v>
      </c>
    </row>
    <row r="381" spans="4:9">
      <c r="D381">
        <v>429</v>
      </c>
      <c r="E381">
        <v>6.3996292497902747</v>
      </c>
      <c r="F381">
        <v>0.78207191508026064</v>
      </c>
      <c r="G381">
        <v>101.02944581948111</v>
      </c>
      <c r="H381">
        <v>98.981043782699217</v>
      </c>
      <c r="I381">
        <f t="shared" si="5"/>
        <v>0.50256043540085715</v>
      </c>
    </row>
    <row r="382" spans="4:9">
      <c r="D382">
        <v>430</v>
      </c>
      <c r="E382">
        <v>6.3930347416645512</v>
      </c>
      <c r="F382">
        <v>0.77547740695453715</v>
      </c>
      <c r="G382">
        <v>101.02824195594671</v>
      </c>
      <c r="H382">
        <v>98.982223251599009</v>
      </c>
      <c r="I382">
        <f t="shared" si="5"/>
        <v>0.50255745646984629</v>
      </c>
    </row>
    <row r="383" spans="4:9">
      <c r="D383">
        <v>431</v>
      </c>
      <c r="E383">
        <v>6.3893104986736207</v>
      </c>
      <c r="F383">
        <v>0.7717531639636066</v>
      </c>
      <c r="G383">
        <v>101.02704229889594</v>
      </c>
      <c r="H383">
        <v>98.983398627215138</v>
      </c>
      <c r="I383">
        <f t="shared" si="5"/>
        <v>0.50255448791189861</v>
      </c>
    </row>
    <row r="384" spans="4:9">
      <c r="D384">
        <v>432</v>
      </c>
      <c r="E384">
        <v>6.3827554127207708</v>
      </c>
      <c r="F384">
        <v>0.76519807801075679</v>
      </c>
      <c r="G384">
        <v>101.02584682390649</v>
      </c>
      <c r="H384">
        <v>98.984569933183622</v>
      </c>
      <c r="I384">
        <f t="shared" si="5"/>
        <v>0.50255152966690952</v>
      </c>
    </row>
    <row r="385" spans="4:9">
      <c r="D385">
        <v>433</v>
      </c>
      <c r="E385">
        <v>6.3790451649599111</v>
      </c>
      <c r="F385">
        <v>0.76148783024989708</v>
      </c>
      <c r="G385">
        <v>101.02465550675117</v>
      </c>
      <c r="H385">
        <v>98.985737192952357</v>
      </c>
      <c r="I385">
        <f t="shared" si="5"/>
        <v>0.50254858167519401</v>
      </c>
    </row>
    <row r="386" spans="4:9">
      <c r="D386">
        <v>434</v>
      </c>
      <c r="E386">
        <v>6.3725290990310528</v>
      </c>
      <c r="F386">
        <v>0.75497176432103874</v>
      </c>
      <c r="G386">
        <v>101.0234683234052</v>
      </c>
      <c r="H386">
        <v>98.986900429779737</v>
      </c>
      <c r="I386">
        <f t="shared" si="5"/>
        <v>0.50254564387894685</v>
      </c>
    </row>
    <row r="387" spans="4:9">
      <c r="D387">
        <v>435</v>
      </c>
      <c r="E387">
        <v>6.3688327806137206</v>
      </c>
      <c r="F387">
        <v>0.75127544590370654</v>
      </c>
      <c r="G387">
        <v>101.02228525003005</v>
      </c>
      <c r="H387">
        <v>98.988059666737513</v>
      </c>
      <c r="I387">
        <f t="shared" ref="I387:I450" si="6">(G387-100)/(G387-H387)</f>
        <v>0.50254271621901958</v>
      </c>
    </row>
    <row r="388" spans="4:9">
      <c r="D388">
        <v>436</v>
      </c>
      <c r="E388">
        <v>6.3623553383695919</v>
      </c>
      <c r="F388">
        <v>0.74479800365957782</v>
      </c>
      <c r="G388">
        <v>101.02110626298142</v>
      </c>
      <c r="H388">
        <v>98.9892149267082</v>
      </c>
      <c r="I388">
        <f t="shared" si="6"/>
        <v>0.502539798636218</v>
      </c>
    </row>
    <row r="389" spans="4:9">
      <c r="D389">
        <v>437</v>
      </c>
      <c r="E389">
        <v>6.3586728833105832</v>
      </c>
      <c r="F389">
        <v>0.74111554860056916</v>
      </c>
      <c r="G389">
        <v>101.0199313388064</v>
      </c>
      <c r="H389">
        <v>98.990366232398074</v>
      </c>
      <c r="I389">
        <f t="shared" si="6"/>
        <v>0.50253689107384647</v>
      </c>
    </row>
    <row r="390" spans="4:9">
      <c r="D390">
        <v>438</v>
      </c>
      <c r="E390">
        <v>6.3522336741217229</v>
      </c>
      <c r="F390">
        <v>0.73467633941170885</v>
      </c>
      <c r="G390">
        <v>101.01876045423803</v>
      </c>
      <c r="H390">
        <v>98.991513606325896</v>
      </c>
      <c r="I390">
        <f t="shared" si="6"/>
        <v>0.50253399347358985</v>
      </c>
    </row>
    <row r="391" spans="4:9">
      <c r="D391">
        <v>439</v>
      </c>
      <c r="E391">
        <v>6.3485650163872016</v>
      </c>
      <c r="F391">
        <v>0.73100768167718755</v>
      </c>
      <c r="G391">
        <v>101.01759358619968</v>
      </c>
      <c r="H391">
        <v>98.992657070838021</v>
      </c>
      <c r="I391">
        <f t="shared" si="6"/>
        <v>0.50253110578033877</v>
      </c>
    </row>
    <row r="392" spans="4:9">
      <c r="D392">
        <v>440</v>
      </c>
      <c r="E392">
        <v>6.342163655217683</v>
      </c>
      <c r="F392">
        <v>0.72460632050766893</v>
      </c>
      <c r="G392">
        <v>101.01643071179055</v>
      </c>
      <c r="H392">
        <v>98.993796648098225</v>
      </c>
      <c r="I392">
        <f t="shared" si="6"/>
        <v>0.50252822793612584</v>
      </c>
    </row>
    <row r="393" spans="4:9">
      <c r="D393">
        <v>441</v>
      </c>
      <c r="E393">
        <v>6.3385087287084687</v>
      </c>
      <c r="F393">
        <v>0.72095139399845465</v>
      </c>
      <c r="G393">
        <v>101.01527180830369</v>
      </c>
      <c r="H393">
        <v>98.994932360096271</v>
      </c>
      <c r="I393">
        <f t="shared" si="6"/>
        <v>0.50252535988668134</v>
      </c>
    </row>
    <row r="394" spans="4:9">
      <c r="D394">
        <v>442</v>
      </c>
      <c r="E394">
        <v>6.3321448360248667</v>
      </c>
      <c r="F394">
        <v>0.7145875013148526</v>
      </c>
      <c r="G394">
        <v>101.01411685320463</v>
      </c>
      <c r="H394">
        <v>98.996064228648748</v>
      </c>
      <c r="I394">
        <f t="shared" si="6"/>
        <v>0.50252250157639367</v>
      </c>
    </row>
    <row r="395" spans="4:9">
      <c r="D395">
        <v>443</v>
      </c>
      <c r="E395">
        <v>6.3285035746171374</v>
      </c>
      <c r="F395">
        <v>0.71094623990712336</v>
      </c>
      <c r="G395">
        <v>101.01296582413471</v>
      </c>
      <c r="H395">
        <v>98.997192275397467</v>
      </c>
      <c r="I395">
        <f t="shared" si="6"/>
        <v>0.50251965294875023</v>
      </c>
    </row>
    <row r="396" spans="4:9">
      <c r="D396">
        <v>444</v>
      </c>
      <c r="E396">
        <v>6.3221767762748691</v>
      </c>
      <c r="F396">
        <v>0.70461944156485501</v>
      </c>
      <c r="G396">
        <v>101.01181869891862</v>
      </c>
      <c r="H396">
        <v>98.998316521817927</v>
      </c>
      <c r="I396">
        <f t="shared" si="6"/>
        <v>0.5025168139502928</v>
      </c>
    </row>
    <row r="397" spans="4:9">
      <c r="D397">
        <v>445</v>
      </c>
      <c r="E397">
        <v>6.3185491138307066</v>
      </c>
      <c r="F397">
        <v>0.70099177912069255</v>
      </c>
      <c r="G397">
        <v>101.01067545555117</v>
      </c>
      <c r="H397">
        <v>98.999436989213891</v>
      </c>
      <c r="I397">
        <f t="shared" si="6"/>
        <v>0.50251398452602991</v>
      </c>
    </row>
    <row r="398" spans="4:9">
      <c r="D398">
        <v>446</v>
      </c>
      <c r="E398">
        <v>6.3122590409803285</v>
      </c>
      <c r="F398">
        <v>0.69470170627031447</v>
      </c>
      <c r="G398">
        <v>101.00953607220961</v>
      </c>
      <c r="H398">
        <v>99.000553698725795</v>
      </c>
      <c r="I398">
        <f t="shared" si="6"/>
        <v>0.50251116462458345</v>
      </c>
    </row>
    <row r="399" spans="4:9">
      <c r="D399">
        <v>447</v>
      </c>
      <c r="E399">
        <v>6.3086449113672129</v>
      </c>
      <c r="F399">
        <v>0.69108757665719889</v>
      </c>
      <c r="G399">
        <v>101.00840052722877</v>
      </c>
      <c r="H399">
        <v>99.001666671321786</v>
      </c>
      <c r="I399">
        <f t="shared" si="6"/>
        <v>0.50250835418980067</v>
      </c>
    </row>
    <row r="400" spans="4:9">
      <c r="D400">
        <v>448</v>
      </c>
      <c r="E400">
        <v>6.302391200359672</v>
      </c>
      <c r="F400">
        <v>0.68483386564965798</v>
      </c>
      <c r="G400">
        <v>101.007268799122</v>
      </c>
      <c r="H400">
        <v>99.002775927814113</v>
      </c>
      <c r="I400">
        <f t="shared" si="6"/>
        <v>0.50250555317005485</v>
      </c>
    </row>
    <row r="401" spans="4:9">
      <c r="D401">
        <v>449</v>
      </c>
      <c r="E401">
        <v>6.2987905374677826</v>
      </c>
      <c r="F401">
        <v>0.68123320275776855</v>
      </c>
      <c r="G401">
        <v>101.00614086656813</v>
      </c>
      <c r="H401">
        <v>99.003881488850325</v>
      </c>
      <c r="I401">
        <f t="shared" si="6"/>
        <v>0.50250276151281659</v>
      </c>
    </row>
    <row r="402" spans="4:9">
      <c r="D402">
        <v>450</v>
      </c>
      <c r="E402">
        <v>6.2925728297465371</v>
      </c>
      <c r="F402">
        <v>0.67501549503652303</v>
      </c>
      <c r="G402">
        <v>101.00501670841558</v>
      </c>
      <c r="H402">
        <v>99.004983374916804</v>
      </c>
      <c r="I402">
        <f t="shared" si="6"/>
        <v>0.5024999791665703</v>
      </c>
    </row>
    <row r="403" spans="4:9">
      <c r="D403">
        <v>451</v>
      </c>
      <c r="E403">
        <v>6.2889855675000508</v>
      </c>
      <c r="F403">
        <v>0.67142823279003672</v>
      </c>
      <c r="G403">
        <v>101.00389630367367</v>
      </c>
      <c r="H403">
        <v>99.006081606341994</v>
      </c>
      <c r="I403">
        <f t="shared" si="6"/>
        <v>0.50249720607947035</v>
      </c>
    </row>
    <row r="404" spans="4:9">
      <c r="D404">
        <v>452</v>
      </c>
      <c r="E404">
        <v>6.2828035095254098</v>
      </c>
      <c r="F404">
        <v>0.66524617481539572</v>
      </c>
      <c r="G404">
        <v>101.00277963151376</v>
      </c>
      <c r="H404">
        <v>99.007176203297789</v>
      </c>
      <c r="I404">
        <f t="shared" si="6"/>
        <v>0.50249444219998396</v>
      </c>
    </row>
    <row r="405" spans="4:9">
      <c r="D405">
        <v>453</v>
      </c>
      <c r="E405">
        <v>6.279229581900724</v>
      </c>
      <c r="F405">
        <v>0.66167224719070994</v>
      </c>
      <c r="G405">
        <v>101.00166667127175</v>
      </c>
      <c r="H405">
        <v>99.0082671857988</v>
      </c>
      <c r="I405">
        <f t="shared" si="6"/>
        <v>0.50249168747733297</v>
      </c>
    </row>
    <row r="406" spans="4:9">
      <c r="D406">
        <v>454</v>
      </c>
      <c r="E406">
        <v>6.273082825049042</v>
      </c>
      <c r="F406">
        <v>0.65552549033902796</v>
      </c>
      <c r="G406">
        <v>101.0005574024421</v>
      </c>
      <c r="H406">
        <v>99.00935457370521</v>
      </c>
      <c r="I406">
        <f t="shared" si="6"/>
        <v>0.50248894186073334</v>
      </c>
    </row>
    <row r="407" spans="4:9">
      <c r="D407">
        <v>455</v>
      </c>
      <c r="E407">
        <v>6.2695221660817326</v>
      </c>
      <c r="F407">
        <v>0.65196483137171857</v>
      </c>
      <c r="G407">
        <v>100.99945180467742</v>
      </c>
      <c r="H407">
        <v>99.010438386727301</v>
      </c>
      <c r="I407">
        <f t="shared" si="6"/>
        <v>0.50248620530044352</v>
      </c>
    </row>
    <row r="408" spans="4:9">
      <c r="D408">
        <v>456</v>
      </c>
      <c r="E408">
        <v>6.2634103665682375</v>
      </c>
      <c r="F408">
        <v>0.6458530318582234</v>
      </c>
      <c r="G408">
        <v>100.99834985778699</v>
      </c>
      <c r="H408">
        <v>99.011518644423234</v>
      </c>
      <c r="I408">
        <f t="shared" si="6"/>
        <v>0.5024834777468381</v>
      </c>
    </row>
    <row r="409" spans="4:9">
      <c r="D409">
        <v>457</v>
      </c>
      <c r="E409">
        <v>6.2598629103680601</v>
      </c>
      <c r="F409">
        <v>0.64230557565804602</v>
      </c>
      <c r="G409">
        <v>100.99725154173514</v>
      </c>
      <c r="H409">
        <v>99.012595366202106</v>
      </c>
      <c r="I409">
        <f t="shared" si="6"/>
        <v>0.50248075915078849</v>
      </c>
    </row>
    <row r="410" spans="4:9">
      <c r="D410">
        <v>458</v>
      </c>
      <c r="E410">
        <v>6.2537857291446999</v>
      </c>
      <c r="F410">
        <v>0.63622839443468582</v>
      </c>
      <c r="G410">
        <v>100.99615683663689</v>
      </c>
      <c r="H410">
        <v>99.013668571319045</v>
      </c>
      <c r="I410">
        <f t="shared" si="6"/>
        <v>0.50247804946133046</v>
      </c>
    </row>
    <row r="411" spans="4:9">
      <c r="D411">
        <v>459</v>
      </c>
      <c r="E411">
        <v>6.2502514099252897</v>
      </c>
      <c r="F411">
        <v>0.63269407521527565</v>
      </c>
      <c r="G411">
        <v>100.99506572277055</v>
      </c>
      <c r="H411">
        <v>99.014738278896615</v>
      </c>
      <c r="I411">
        <f t="shared" si="6"/>
        <v>0.50247534863426035</v>
      </c>
    </row>
    <row r="412" spans="4:9">
      <c r="D412">
        <v>460</v>
      </c>
      <c r="E412">
        <v>6.2442085125935129</v>
      </c>
      <c r="F412">
        <v>0.62665117788349889</v>
      </c>
      <c r="G412">
        <v>100.99397818054746</v>
      </c>
      <c r="H412">
        <v>99.015804507897286</v>
      </c>
      <c r="I412">
        <f t="shared" si="6"/>
        <v>0.50247265661756546</v>
      </c>
    </row>
    <row r="413" spans="4:9">
      <c r="D413">
        <v>461</v>
      </c>
      <c r="E413">
        <v>6.2406872646650937</v>
      </c>
      <c r="F413">
        <v>0.62312992995507965</v>
      </c>
      <c r="G413">
        <v>100.99289419054203</v>
      </c>
      <c r="H413">
        <v>99.016867277149956</v>
      </c>
      <c r="I413">
        <f t="shared" si="6"/>
        <v>0.50246997336570454</v>
      </c>
    </row>
    <row r="414" spans="4:9">
      <c r="D414">
        <v>462</v>
      </c>
      <c r="E414">
        <v>6.2346783214188504</v>
      </c>
      <c r="F414">
        <v>0.61712098670883631</v>
      </c>
      <c r="G414">
        <v>100.99181373346924</v>
      </c>
      <c r="H414">
        <v>99.017926605334637</v>
      </c>
      <c r="I414">
        <f t="shared" si="6"/>
        <v>0.50246729883007157</v>
      </c>
    </row>
    <row r="415" spans="4:9">
      <c r="D415">
        <v>463</v>
      </c>
      <c r="E415">
        <v>6.2311700792037152</v>
      </c>
      <c r="F415">
        <v>0.61361274449370118</v>
      </c>
      <c r="G415">
        <v>100.99073679019308</v>
      </c>
      <c r="H415">
        <v>99.018982510989417</v>
      </c>
      <c r="I415">
        <f t="shared" si="6"/>
        <v>0.50246463296289257</v>
      </c>
    </row>
    <row r="416" spans="4:9">
      <c r="D416">
        <v>464</v>
      </c>
      <c r="E416">
        <v>6.2251947647263384</v>
      </c>
      <c r="F416">
        <v>0.60763743001632431</v>
      </c>
      <c r="G416">
        <v>100.98966334172161</v>
      </c>
      <c r="H416">
        <v>99.020035012523095</v>
      </c>
      <c r="I416">
        <f t="shared" si="6"/>
        <v>0.5024619757192087</v>
      </c>
    </row>
    <row r="417" spans="4:9">
      <c r="D417">
        <v>465</v>
      </c>
      <c r="E417">
        <v>6.2216994627713627</v>
      </c>
      <c r="F417">
        <v>0.60414212806134859</v>
      </c>
      <c r="G417">
        <v>100.9885933692062</v>
      </c>
      <c r="H417">
        <v>99.021084128195554</v>
      </c>
      <c r="I417">
        <f t="shared" si="6"/>
        <v>0.50245932705169472</v>
      </c>
    </row>
    <row r="418" spans="4:9">
      <c r="D418">
        <v>466</v>
      </c>
      <c r="E418">
        <v>6.2157574561580926</v>
      </c>
      <c r="F418">
        <v>0.59820012144807855</v>
      </c>
      <c r="G418">
        <v>100.9875268539402</v>
      </c>
      <c r="H418">
        <v>99.022129876131345</v>
      </c>
      <c r="I418">
        <f t="shared" si="6"/>
        <v>0.50245668691378231</v>
      </c>
    </row>
    <row r="419" spans="4:9">
      <c r="D419">
        <v>467</v>
      </c>
      <c r="E419">
        <v>6.2122750291539308</v>
      </c>
      <c r="F419">
        <v>0.59471769444391676</v>
      </c>
      <c r="G419">
        <v>100.9864637773547</v>
      </c>
      <c r="H419">
        <v>99.023172274323457</v>
      </c>
      <c r="I419">
        <f t="shared" si="6"/>
        <v>0.50245405525956788</v>
      </c>
    </row>
    <row r="420" spans="4:9">
      <c r="D420">
        <v>468</v>
      </c>
      <c r="E420">
        <v>6.2063660138412713</v>
      </c>
      <c r="F420">
        <v>0.58880867913125723</v>
      </c>
      <c r="G420">
        <v>100.98540412103135</v>
      </c>
      <c r="H420">
        <v>99.024211340630643</v>
      </c>
      <c r="I420">
        <f t="shared" si="6"/>
        <v>0.50245143204637677</v>
      </c>
    </row>
    <row r="421" spans="4:9">
      <c r="D421">
        <v>469</v>
      </c>
      <c r="E421">
        <v>6.2028963966098827</v>
      </c>
      <c r="F421">
        <v>0.58533906189986862</v>
      </c>
      <c r="G421">
        <v>100.98434786667279</v>
      </c>
      <c r="H421">
        <v>99.025247092777136</v>
      </c>
      <c r="I421">
        <f t="shared" si="6"/>
        <v>0.50244881722721391</v>
      </c>
    </row>
    <row r="422" spans="4:9">
      <c r="D422">
        <v>470</v>
      </c>
      <c r="E422">
        <v>6.1970200603000007</v>
      </c>
      <c r="F422">
        <v>0.57946272558998668</v>
      </c>
      <c r="G422">
        <v>100.98329499612765</v>
      </c>
      <c r="H422">
        <v>99.026279548347986</v>
      </c>
      <c r="I422">
        <f t="shared" si="6"/>
        <v>0.50244621075589957</v>
      </c>
    </row>
    <row r="423" spans="4:9">
      <c r="D423">
        <v>471</v>
      </c>
      <c r="E423">
        <v>6.1935631878365403</v>
      </c>
      <c r="F423">
        <v>0.57600585312652619</v>
      </c>
      <c r="G423">
        <v>100.9822454913822</v>
      </c>
      <c r="H423">
        <v>99.027308724811519</v>
      </c>
      <c r="I423">
        <f t="shared" si="6"/>
        <v>0.50244361259072334</v>
      </c>
    </row>
    <row r="424" spans="4:9">
      <c r="D424">
        <v>472</v>
      </c>
      <c r="E424">
        <v>6.1877192224076021</v>
      </c>
      <c r="F424">
        <v>0.57016188769758802</v>
      </c>
      <c r="G424">
        <v>100.98119933455378</v>
      </c>
      <c r="H424">
        <v>99.028334639498979</v>
      </c>
      <c r="I424">
        <f t="shared" si="6"/>
        <v>0.50244102268756774</v>
      </c>
    </row>
    <row r="425" spans="4:9">
      <c r="D425">
        <v>473</v>
      </c>
      <c r="E425">
        <v>6.184275029867651</v>
      </c>
      <c r="F425">
        <v>0.56671769515763692</v>
      </c>
      <c r="G425">
        <v>100.98015650788592</v>
      </c>
      <c r="H425">
        <v>99.029357309610219</v>
      </c>
      <c r="I425">
        <f t="shared" si="6"/>
        <v>0.50243844100011703</v>
      </c>
    </row>
    <row r="426" spans="4:9">
      <c r="D426">
        <v>474</v>
      </c>
      <c r="E426">
        <v>6.1784631313248477</v>
      </c>
      <c r="F426">
        <v>0.56090579661483364</v>
      </c>
      <c r="G426">
        <v>100.97911699376766</v>
      </c>
      <c r="H426">
        <v>99.030376752227198</v>
      </c>
      <c r="I426">
        <f t="shared" si="6"/>
        <v>0.50243586748825875</v>
      </c>
    </row>
    <row r="427" spans="4:9">
      <c r="D427">
        <v>475</v>
      </c>
      <c r="E427">
        <v>6.1750315540284859</v>
      </c>
      <c r="F427">
        <v>0.55747421931847185</v>
      </c>
      <c r="G427">
        <v>100.97808077470209</v>
      </c>
      <c r="H427">
        <v>99.031392984298975</v>
      </c>
      <c r="I427">
        <f t="shared" si="6"/>
        <v>0.50243330210621662</v>
      </c>
    </row>
    <row r="428" spans="4:9">
      <c r="D428">
        <v>476</v>
      </c>
      <c r="E428">
        <v>6.1692514224184976</v>
      </c>
      <c r="F428">
        <v>0.55169408770848349</v>
      </c>
      <c r="G428">
        <v>100.97704783333694</v>
      </c>
      <c r="H428">
        <v>99.032406022653987</v>
      </c>
      <c r="I428">
        <f t="shared" si="6"/>
        <v>0.50243074481351568</v>
      </c>
    </row>
    <row r="429" spans="4:9">
      <c r="D429">
        <v>477</v>
      </c>
      <c r="E429">
        <v>6.1658323958718899</v>
      </c>
      <c r="F429">
        <v>0.54827506116187585</v>
      </c>
      <c r="G429">
        <v>100.97601815243497</v>
      </c>
      <c r="H429">
        <v>99.0334158839987</v>
      </c>
      <c r="I429">
        <f t="shared" si="6"/>
        <v>0.50242819556709062</v>
      </c>
    </row>
    <row r="430" spans="4:9">
      <c r="D430">
        <v>478</v>
      </c>
      <c r="E430">
        <v>6.1600837352165909</v>
      </c>
      <c r="F430">
        <v>0.54252640050657686</v>
      </c>
      <c r="G430">
        <v>100.97499171488856</v>
      </c>
      <c r="H430">
        <v>99.034422584906295</v>
      </c>
      <c r="I430">
        <f t="shared" si="6"/>
        <v>0.50242565432207542</v>
      </c>
    </row>
    <row r="431" spans="4:9">
      <c r="D431">
        <v>479</v>
      </c>
      <c r="E431">
        <v>6.1566771951205999</v>
      </c>
      <c r="F431">
        <v>0.53911986041058579</v>
      </c>
      <c r="G431">
        <v>100.97396850372719</v>
      </c>
      <c r="H431">
        <v>99.03542614184893</v>
      </c>
      <c r="I431">
        <f t="shared" si="6"/>
        <v>0.50242312104209585</v>
      </c>
    </row>
    <row r="432" spans="4:9">
      <c r="D432">
        <v>480</v>
      </c>
      <c r="E432">
        <v>6.1509597133428642</v>
      </c>
      <c r="F432">
        <v>0.53340237863285012</v>
      </c>
      <c r="G432">
        <v>100.97294850208517</v>
      </c>
      <c r="H432">
        <v>99.036426571158941</v>
      </c>
      <c r="I432">
        <f t="shared" si="6"/>
        <v>0.50242059568094621</v>
      </c>
    </row>
    <row r="433" spans="4:9">
      <c r="D433">
        <v>481</v>
      </c>
      <c r="E433">
        <v>6.1475655955958661</v>
      </c>
      <c r="F433">
        <v>0.53000826088585207</v>
      </c>
      <c r="G433">
        <v>100.97193169323253</v>
      </c>
      <c r="H433">
        <v>99.037423889061728</v>
      </c>
      <c r="I433">
        <f t="shared" si="6"/>
        <v>0.50241807819903628</v>
      </c>
    </row>
    <row r="434" spans="4:9">
      <c r="D434">
        <v>482</v>
      </c>
      <c r="E434">
        <v>6.1418790044597626</v>
      </c>
      <c r="F434">
        <v>0.52432166974974859</v>
      </c>
      <c r="G434">
        <v>100.97091806055563</v>
      </c>
      <c r="H434">
        <v>99.038418111662992</v>
      </c>
      <c r="I434">
        <f t="shared" si="6"/>
        <v>0.50241556855511804</v>
      </c>
    </row>
    <row r="435" spans="4:9">
      <c r="D435">
        <v>483</v>
      </c>
      <c r="E435">
        <v>6.1384972451659596</v>
      </c>
      <c r="F435">
        <v>0.52093991045594557</v>
      </c>
      <c r="G435">
        <v>100.96990758756839</v>
      </c>
      <c r="H435">
        <v>99.039409254951011</v>
      </c>
      <c r="I435">
        <f t="shared" si="6"/>
        <v>0.50241306670976627</v>
      </c>
    </row>
    <row r="436" spans="4:9">
      <c r="D436">
        <v>484</v>
      </c>
      <c r="E436">
        <v>6.1328412602108227</v>
      </c>
      <c r="F436">
        <v>0.51528392550080859</v>
      </c>
      <c r="G436">
        <v>100.96890025789956</v>
      </c>
      <c r="H436">
        <v>99.040397334798072</v>
      </c>
      <c r="I436">
        <f t="shared" si="6"/>
        <v>0.50241057262248856</v>
      </c>
    </row>
    <row r="437" spans="4:9">
      <c r="D437">
        <v>485</v>
      </c>
      <c r="E437">
        <v>6.1294717956781204</v>
      </c>
      <c r="F437">
        <v>0.51191446096810633</v>
      </c>
      <c r="G437">
        <v>100.96789605529281</v>
      </c>
      <c r="H437">
        <v>99.041382366962779</v>
      </c>
      <c r="I437">
        <f t="shared" si="6"/>
        <v>0.50240808625233113</v>
      </c>
    </row>
    <row r="438" spans="4:9">
      <c r="D438">
        <v>486</v>
      </c>
      <c r="E438">
        <v>6.1238461361549037</v>
      </c>
      <c r="F438">
        <v>0.50628880144488964</v>
      </c>
      <c r="G438">
        <v>100.96689496361428</v>
      </c>
      <c r="H438">
        <v>99.042364367092603</v>
      </c>
      <c r="I438">
        <f t="shared" si="6"/>
        <v>0.50240560756051822</v>
      </c>
    </row>
    <row r="439" spans="4:9">
      <c r="D439">
        <v>487</v>
      </c>
      <c r="E439">
        <v>6.1204889029147411</v>
      </c>
      <c r="F439">
        <v>0.50293156820472706</v>
      </c>
      <c r="G439">
        <v>100.96589696684532</v>
      </c>
      <c r="H439">
        <v>99.04334335071448</v>
      </c>
      <c r="I439">
        <f t="shared" si="6"/>
        <v>0.50240313650612178</v>
      </c>
    </row>
    <row r="440" spans="4:9">
      <c r="D440">
        <v>488</v>
      </c>
      <c r="E440">
        <v>6.1148932917178644</v>
      </c>
      <c r="F440">
        <v>0.49733595700785038</v>
      </c>
      <c r="G440">
        <v>100.9649020490811</v>
      </c>
      <c r="H440">
        <v>99.04431933325391</v>
      </c>
      <c r="I440">
        <f t="shared" si="6"/>
        <v>0.50240067305068969</v>
      </c>
    </row>
    <row r="441" spans="4:9">
      <c r="D441">
        <v>489</v>
      </c>
      <c r="E441">
        <v>6.1115482265323724</v>
      </c>
      <c r="F441">
        <v>0.49399089182235834</v>
      </c>
      <c r="G441">
        <v>100.9639101945353</v>
      </c>
      <c r="H441">
        <v>99.045292330024296</v>
      </c>
      <c r="I441">
        <f t="shared" si="6"/>
        <v>0.5023982171566882</v>
      </c>
    </row>
    <row r="442" spans="4:9">
      <c r="D442">
        <v>490</v>
      </c>
      <c r="E442">
        <v>6.1059823901465027</v>
      </c>
      <c r="F442">
        <v>0.48842505543648862</v>
      </c>
      <c r="G442">
        <v>100.96292138752762</v>
      </c>
      <c r="H442">
        <v>99.046262356224744</v>
      </c>
      <c r="I442">
        <f t="shared" si="6"/>
        <v>0.50239576878369352</v>
      </c>
    </row>
    <row r="443" spans="4:9">
      <c r="D443">
        <v>491</v>
      </c>
      <c r="E443">
        <v>6.102649429992181</v>
      </c>
      <c r="F443">
        <v>0.4850920952821669</v>
      </c>
      <c r="G443">
        <v>100.96193561249606</v>
      </c>
      <c r="H443">
        <v>99.047229426953535</v>
      </c>
      <c r="I443">
        <f t="shared" si="6"/>
        <v>0.50239332789511038</v>
      </c>
    </row>
    <row r="444" spans="4:9">
      <c r="D444">
        <v>492</v>
      </c>
      <c r="E444">
        <v>6.097113098429638</v>
      </c>
      <c r="F444">
        <v>0.47955576371962394</v>
      </c>
      <c r="G444">
        <v>100.96095285398341</v>
      </c>
      <c r="H444">
        <v>99.0481935571908</v>
      </c>
      <c r="I444">
        <f t="shared" si="6"/>
        <v>0.50239089445011487</v>
      </c>
    </row>
    <row r="445" spans="4:9">
      <c r="D445">
        <v>493</v>
      </c>
      <c r="E445">
        <v>6.0937921805282018</v>
      </c>
      <c r="F445">
        <v>0.47623484581818776</v>
      </c>
      <c r="G445">
        <v>100.95997309665125</v>
      </c>
      <c r="H445">
        <v>99.049154761823488</v>
      </c>
      <c r="I445">
        <f t="shared" si="6"/>
        <v>0.5023884684138652</v>
      </c>
    </row>
    <row r="446" spans="4:9">
      <c r="D446">
        <v>494</v>
      </c>
      <c r="E446">
        <v>6.0882850872620997</v>
      </c>
      <c r="F446">
        <v>0.47072775255208565</v>
      </c>
      <c r="G446">
        <v>100.95899632526364</v>
      </c>
      <c r="H446">
        <v>99.050113055625047</v>
      </c>
      <c r="I446">
        <f t="shared" si="6"/>
        <v>0.50238604974792744</v>
      </c>
    </row>
    <row r="447" spans="4:9">
      <c r="D447">
        <v>495</v>
      </c>
      <c r="E447">
        <v>6.0849761490753878</v>
      </c>
      <c r="F447">
        <v>0.46741881436537369</v>
      </c>
      <c r="G447">
        <v>100.95802252469494</v>
      </c>
      <c r="H447">
        <v>99.05106845326776</v>
      </c>
      <c r="I447">
        <f t="shared" si="6"/>
        <v>0.50238363841555345</v>
      </c>
    </row>
    <row r="448" spans="4:9">
      <c r="D448">
        <v>496</v>
      </c>
      <c r="E448">
        <v>6.0794980309917221</v>
      </c>
      <c r="F448">
        <v>0.46194069628170809</v>
      </c>
      <c r="G448">
        <v>100.95705167992054</v>
      </c>
      <c r="H448">
        <v>99.052020969316288</v>
      </c>
      <c r="I448">
        <f t="shared" si="6"/>
        <v>0.5023812343775681</v>
      </c>
    </row>
    <row r="449" spans="4:9">
      <c r="D449">
        <v>497</v>
      </c>
      <c r="E449">
        <v>6.0762010102303829</v>
      </c>
      <c r="F449">
        <v>0.45864367552036889</v>
      </c>
      <c r="G449">
        <v>100.95608377603392</v>
      </c>
      <c r="H449">
        <v>99.0529706182393</v>
      </c>
      <c r="I449">
        <f t="shared" si="6"/>
        <v>0.50237883759989177</v>
      </c>
    </row>
    <row r="450" spans="4:9">
      <c r="D450">
        <v>498</v>
      </c>
      <c r="E450">
        <v>6.0707516075727126</v>
      </c>
      <c r="F450">
        <v>0.45319427286269853</v>
      </c>
      <c r="G450">
        <v>100.95511879822216</v>
      </c>
      <c r="H450">
        <v>99.053917414401312</v>
      </c>
      <c r="I450">
        <f t="shared" si="6"/>
        <v>0.50237644804500159</v>
      </c>
    </row>
    <row r="451" spans="4:9">
      <c r="D451">
        <v>499</v>
      </c>
      <c r="E451">
        <v>6.0674664421884499</v>
      </c>
      <c r="F451">
        <v>0.44990910747843582</v>
      </c>
      <c r="G451">
        <v>100.95415673178252</v>
      </c>
      <c r="H451">
        <v>99.054861372063684</v>
      </c>
      <c r="I451">
        <f>(G451-100)/(G451-H451)</f>
        <v>0.50237406567652987</v>
      </c>
    </row>
    <row r="452" spans="4:9">
      <c r="D452">
        <v>500</v>
      </c>
      <c r="E452">
        <v>6.0620454984897973</v>
      </c>
      <c r="F452">
        <v>0.44448816377978329</v>
      </c>
      <c r="G452">
        <v>100.95319756211293</v>
      </c>
      <c r="H452">
        <v>99.055802505386083</v>
      </c>
      <c r="I452">
        <f>(G452-100)/(G452-H452)</f>
        <v>0.50237169045716346</v>
      </c>
    </row>
  </sheetData>
  <mergeCells count="1">
    <mergeCell ref="K10:Q16"/>
  </mergeCells>
  <phoneticPr fontId="5" type="noConversion"/>
  <pageMargins left="0.75" right="0.75" top="1" bottom="1"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97"/>
  <sheetViews>
    <sheetView workbookViewId="0">
      <selection activeCell="I1" activeCellId="2" sqref="D1:D65536 F1:F65536 I1:I65536"/>
    </sheetView>
  </sheetViews>
  <sheetFormatPr baseColWidth="10" defaultColWidth="8.83203125" defaultRowHeight="13"/>
  <cols>
    <col min="1" max="1" width="15.5" customWidth="1"/>
    <col min="2" max="2" width="12.5" customWidth="1"/>
    <col min="4" max="4" width="15.33203125" customWidth="1"/>
    <col min="5" max="5" width="11.5" customWidth="1"/>
    <col min="6" max="6" width="14.1640625" customWidth="1"/>
    <col min="9" max="9" width="13" bestFit="1" customWidth="1"/>
  </cols>
  <sheetData>
    <row r="1" spans="1:16" ht="14">
      <c r="A1" s="5" t="s">
        <v>28</v>
      </c>
      <c r="B1" s="2"/>
      <c r="D1" s="5" t="s">
        <v>5</v>
      </c>
      <c r="E1" s="5" t="s">
        <v>15</v>
      </c>
      <c r="F1" s="5" t="s">
        <v>16</v>
      </c>
      <c r="G1" s="5" t="s">
        <v>35</v>
      </c>
      <c r="H1" s="5" t="s">
        <v>36</v>
      </c>
      <c r="I1" s="5" t="s">
        <v>37</v>
      </c>
    </row>
    <row r="2" spans="1:16" ht="14">
      <c r="A2" s="2" t="s">
        <v>0</v>
      </c>
      <c r="B2" s="2">
        <v>100</v>
      </c>
      <c r="D2">
        <v>50</v>
      </c>
      <c r="E2">
        <v>5.7873287584195792</v>
      </c>
      <c r="F2">
        <v>0.11622362411957887</v>
      </c>
      <c r="G2">
        <v>101.91548098015215</v>
      </c>
      <c r="H2">
        <v>98.120520099860514</v>
      </c>
      <c r="I2">
        <f>(G2-$B$3)/(G2-H2)</f>
        <v>0.50474327419284237</v>
      </c>
    </row>
    <row r="3" spans="1:16" ht="14">
      <c r="A3" s="2" t="s">
        <v>9</v>
      </c>
      <c r="B3" s="2">
        <v>100</v>
      </c>
      <c r="D3">
        <v>60</v>
      </c>
      <c r="E3">
        <v>5.6977451906982051</v>
      </c>
      <c r="F3">
        <v>2.664005639820477E-2</v>
      </c>
      <c r="G3">
        <v>101.74713778641197</v>
      </c>
      <c r="H3">
        <v>98.282862963595448</v>
      </c>
      <c r="I3">
        <f t="shared" ref="I3:I66" si="0">(G3-$B$3)/(G3-H3)</f>
        <v>0.50433001876898242</v>
      </c>
    </row>
    <row r="4" spans="1:16" ht="14">
      <c r="A4" s="2" t="s">
        <v>23</v>
      </c>
      <c r="B4" s="2">
        <v>95</v>
      </c>
      <c r="D4">
        <v>70</v>
      </c>
      <c r="E4">
        <v>5.6204307187212059</v>
      </c>
      <c r="F4">
        <v>-5.0674415578794374E-2</v>
      </c>
      <c r="G4">
        <v>101.6164935950472</v>
      </c>
      <c r="H4">
        <v>98.409221241692364</v>
      </c>
      <c r="I4">
        <f t="shared" si="0"/>
        <v>0.50400883272551977</v>
      </c>
    </row>
    <row r="5" spans="1:16" ht="12.75" customHeight="1">
      <c r="A5" s="2" t="s">
        <v>3</v>
      </c>
      <c r="B5" s="2">
        <v>0.3</v>
      </c>
      <c r="D5">
        <v>80</v>
      </c>
      <c r="E5">
        <v>5.5530934739961078</v>
      </c>
      <c r="F5">
        <v>-0.11801166030389254</v>
      </c>
      <c r="G5">
        <v>101.51130646157164</v>
      </c>
      <c r="H5">
        <v>98.511193960306258</v>
      </c>
      <c r="I5">
        <f t="shared" si="0"/>
        <v>0.5037499296890372</v>
      </c>
      <c r="L5" s="12" t="s">
        <v>58</v>
      </c>
      <c r="M5" s="12"/>
      <c r="N5" s="12"/>
      <c r="O5" s="12"/>
      <c r="P5" s="12"/>
    </row>
    <row r="6" spans="1:16" ht="14">
      <c r="A6" s="2" t="s">
        <v>4</v>
      </c>
      <c r="B6" s="2">
        <v>0.1</v>
      </c>
      <c r="D6">
        <v>90</v>
      </c>
      <c r="E6">
        <v>5.493881412329686</v>
      </c>
      <c r="F6">
        <v>-0.17722372197031433</v>
      </c>
      <c r="G6">
        <v>101.42426086996437</v>
      </c>
      <c r="H6">
        <v>98.595739463371729</v>
      </c>
      <c r="I6">
        <f t="shared" si="0"/>
        <v>0.50353547498164297</v>
      </c>
      <c r="L6" s="12"/>
      <c r="M6" s="12"/>
      <c r="N6" s="12"/>
      <c r="O6" s="12"/>
      <c r="P6" s="12"/>
    </row>
    <row r="7" spans="1:16" ht="14">
      <c r="A7" s="2" t="s">
        <v>1</v>
      </c>
      <c r="B7" s="2">
        <v>0.2</v>
      </c>
      <c r="D7">
        <v>100</v>
      </c>
      <c r="E7">
        <v>5.4413427503666885</v>
      </c>
      <c r="F7">
        <v>-0.22976238393331183</v>
      </c>
      <c r="G7">
        <v>101.35068117108636</v>
      </c>
      <c r="H7">
        <v>98.667319098915101</v>
      </c>
      <c r="I7">
        <f t="shared" si="0"/>
        <v>0.50335405165559721</v>
      </c>
      <c r="L7" s="12"/>
      <c r="M7" s="12"/>
      <c r="N7" s="12"/>
      <c r="O7" s="12"/>
      <c r="P7" s="12"/>
    </row>
    <row r="8" spans="1:16" ht="14">
      <c r="A8" s="2" t="s">
        <v>2</v>
      </c>
      <c r="B8" s="2">
        <v>0</v>
      </c>
      <c r="D8">
        <v>110</v>
      </c>
      <c r="E8">
        <v>5.890634294422191</v>
      </c>
      <c r="F8">
        <v>0.2195291601221907</v>
      </c>
      <c r="G8">
        <v>101.28742111556132</v>
      </c>
      <c r="H8">
        <v>98.72894274394362</v>
      </c>
      <c r="I8">
        <f t="shared" si="0"/>
        <v>0.50319796713672982</v>
      </c>
    </row>
    <row r="9" spans="1:16" ht="14">
      <c r="A9" s="2" t="s">
        <v>19</v>
      </c>
      <c r="B9" s="2">
        <f>(LN(B2/B3)+(B6+B5^2/2)*B7)/(B5*SQRT(B7))</f>
        <v>0.21615323782497975</v>
      </c>
      <c r="D9">
        <v>120</v>
      </c>
      <c r="E9">
        <v>5.8499966824477134</v>
      </c>
      <c r="F9">
        <v>0.17889154814771313</v>
      </c>
      <c r="G9">
        <v>101.23227558399334</v>
      </c>
      <c r="H9">
        <v>98.782724603507461</v>
      </c>
      <c r="I9">
        <f t="shared" si="0"/>
        <v>0.50306182390574861</v>
      </c>
    </row>
    <row r="10" spans="1:16" ht="14">
      <c r="A10" s="2" t="s">
        <v>20</v>
      </c>
      <c r="B10" s="2">
        <f>B9-B5*SQRT(B7)</f>
        <v>8.1989159174992388E-2</v>
      </c>
      <c r="D10">
        <v>130</v>
      </c>
      <c r="E10">
        <v>5.8117294138349482</v>
      </c>
      <c r="F10">
        <v>0.14062427953494794</v>
      </c>
      <c r="G10">
        <v>101.18364712236365</v>
      </c>
      <c r="H10">
        <v>98.830199191246209</v>
      </c>
      <c r="I10">
        <f t="shared" si="0"/>
        <v>0.50294170808429284</v>
      </c>
    </row>
    <row r="11" spans="1:16" ht="14">
      <c r="A11" s="2" t="s">
        <v>24</v>
      </c>
      <c r="B11" s="2">
        <f>(LN(B4^2/(B3*B2))+(B6+B5^2/2)*B7)/(B5*SQRT(B7))</f>
        <v>-0.54848204911149689</v>
      </c>
      <c r="D11">
        <v>140</v>
      </c>
      <c r="E11">
        <v>5.7756783378818337</v>
      </c>
      <c r="F11">
        <v>0.10457320358183342</v>
      </c>
      <c r="G11">
        <v>101.14034635720544</v>
      </c>
      <c r="H11">
        <v>98.872510923406409</v>
      </c>
      <c r="I11">
        <f t="shared" si="0"/>
        <v>0.50283470317559942</v>
      </c>
    </row>
    <row r="12" spans="1:16" ht="14">
      <c r="A12" s="2" t="s">
        <v>25</v>
      </c>
      <c r="B12" s="2">
        <f>B11-B5*SQRT(B7)</f>
        <v>-0.68264612776148426</v>
      </c>
      <c r="D12">
        <v>150</v>
      </c>
      <c r="E12">
        <v>5.7416831740451668</v>
      </c>
      <c r="F12">
        <v>7.0578039745166521E-2</v>
      </c>
      <c r="G12">
        <v>101.1014670840441</v>
      </c>
      <c r="H12">
        <v>98.910533035956149</v>
      </c>
      <c r="I12">
        <f t="shared" si="0"/>
        <v>0.50273858540167482</v>
      </c>
    </row>
    <row r="13" spans="1:16" ht="14">
      <c r="A13" s="2" t="s">
        <v>30</v>
      </c>
      <c r="B13" s="2">
        <v>0.04</v>
      </c>
      <c r="D13">
        <v>160</v>
      </c>
      <c r="E13">
        <v>5.7095872434729031</v>
      </c>
      <c r="F13">
        <v>3.8482109172902845E-2</v>
      </c>
      <c r="G13">
        <v>101.06630511200407</v>
      </c>
      <c r="H13">
        <v>98.944944993464674</v>
      </c>
      <c r="I13">
        <f t="shared" si="0"/>
        <v>0.5026516255704131</v>
      </c>
    </row>
    <row r="14" spans="1:16" ht="14">
      <c r="A14" s="2" t="s">
        <v>31</v>
      </c>
      <c r="B14" s="2">
        <v>0.08</v>
      </c>
      <c r="D14">
        <v>170</v>
      </c>
      <c r="E14">
        <v>5.6792423103498075</v>
      </c>
      <c r="F14">
        <v>8.1371760498072376E-3</v>
      </c>
      <c r="G14">
        <v>101.03430383398481</v>
      </c>
      <c r="H14">
        <v>98.976284494735125</v>
      </c>
      <c r="I14">
        <f t="shared" si="0"/>
        <v>0.50257245607900691</v>
      </c>
    </row>
    <row r="15" spans="1:16" ht="14">
      <c r="A15" s="2" t="s">
        <v>32</v>
      </c>
      <c r="B15" s="2">
        <v>0.12</v>
      </c>
      <c r="D15">
        <v>180</v>
      </c>
      <c r="E15">
        <v>5.6505107128257137</v>
      </c>
      <c r="F15">
        <v>-2.0594421474286584E-2</v>
      </c>
      <c r="G15">
        <v>101.00501670841631</v>
      </c>
      <c r="H15">
        <v>99.004983374916804</v>
      </c>
      <c r="I15">
        <f t="shared" si="0"/>
        <v>0.5024999791667506</v>
      </c>
    </row>
    <row r="16" spans="1:16" ht="14">
      <c r="A16" s="2" t="s">
        <v>33</v>
      </c>
      <c r="B16" s="2">
        <v>0.16</v>
      </c>
      <c r="D16">
        <v>190</v>
      </c>
      <c r="E16">
        <v>5.6232660001016068</v>
      </c>
      <c r="F16">
        <v>-4.7839134198393474E-2</v>
      </c>
      <c r="G16">
        <v>100.97808077470326</v>
      </c>
      <c r="H16">
        <v>99.031392984298975</v>
      </c>
      <c r="I16">
        <f t="shared" si="0"/>
        <v>0.50243330210651449</v>
      </c>
    </row>
    <row r="17" spans="1:9">
      <c r="D17">
        <v>200</v>
      </c>
      <c r="E17">
        <v>5.5973927633808565</v>
      </c>
      <c r="F17">
        <v>-7.3712370919143844E-2</v>
      </c>
      <c r="G17">
        <v>100.95319756211366</v>
      </c>
      <c r="H17">
        <v>99.055802505386083</v>
      </c>
      <c r="I17">
        <f t="shared" si="0"/>
        <v>0.50237169045735353</v>
      </c>
    </row>
    <row r="18" spans="1:9">
      <c r="D18">
        <v>210</v>
      </c>
      <c r="E18">
        <v>5.5727860524887456</v>
      </c>
      <c r="F18">
        <v>-9.8319081811254705E-2</v>
      </c>
      <c r="G18">
        <v>100.93011907072871</v>
      </c>
      <c r="H18">
        <v>99.078452419067489</v>
      </c>
      <c r="I18">
        <f t="shared" si="0"/>
        <v>0.50231453371709922</v>
      </c>
    </row>
    <row r="19" spans="1:9">
      <c r="B19" t="s">
        <v>34</v>
      </c>
      <c r="D19">
        <v>220</v>
      </c>
      <c r="E19">
        <v>5.5493506013436233</v>
      </c>
      <c r="F19">
        <v>-0.12175453295637695</v>
      </c>
      <c r="G19">
        <v>100.90863730532232</v>
      </c>
      <c r="H19">
        <v>99.099544568646039</v>
      </c>
      <c r="I19">
        <f t="shared" si="0"/>
        <v>0.50226131966661536</v>
      </c>
    </row>
    <row r="20" spans="1:9" ht="14">
      <c r="A20" s="3" t="s">
        <v>29</v>
      </c>
      <c r="B20" s="2">
        <v>5.6711051343000003</v>
      </c>
      <c r="D20">
        <v>230</v>
      </c>
      <c r="E20">
        <v>5.5269999884291217</v>
      </c>
      <c r="F20">
        <v>-0.14410514587087864</v>
      </c>
      <c r="G20">
        <v>100.88857634490842</v>
      </c>
      <c r="H20">
        <v>99.119249793088599</v>
      </c>
      <c r="I20">
        <f t="shared" si="0"/>
        <v>0.50221161491895461</v>
      </c>
    </row>
    <row r="21" spans="1:9">
      <c r="D21">
        <v>240</v>
      </c>
      <c r="E21">
        <v>5.5056558020173103</v>
      </c>
      <c r="F21">
        <v>-0.16544933228268999</v>
      </c>
      <c r="G21">
        <v>100.86978625258013</v>
      </c>
      <c r="H21">
        <v>99.13771379429528</v>
      </c>
      <c r="I21">
        <f t="shared" si="0"/>
        <v>0.50216504997799971</v>
      </c>
    </row>
    <row r="22" spans="1:9">
      <c r="D22">
        <v>250</v>
      </c>
      <c r="E22">
        <v>5.818777206901224</v>
      </c>
      <c r="F22">
        <v>0.14767207260122373</v>
      </c>
      <c r="G22">
        <v>100.8521383413982</v>
      </c>
      <c r="H22">
        <v>99.155061701802225</v>
      </c>
      <c r="I22">
        <f t="shared" si="0"/>
        <v>0.50212130761582496</v>
      </c>
    </row>
    <row r="23" spans="1:9">
      <c r="D23">
        <v>260</v>
      </c>
      <c r="E23">
        <v>5.7997665133012317</v>
      </c>
      <c r="F23">
        <v>0.12866137900123142</v>
      </c>
      <c r="G23">
        <v>100.83552145338339</v>
      </c>
      <c r="H23">
        <v>99.171401663480864</v>
      </c>
      <c r="I23">
        <f t="shared" si="0"/>
        <v>0.50208011373528072</v>
      </c>
    </row>
    <row r="24" spans="1:9">
      <c r="D24">
        <v>270</v>
      </c>
      <c r="E24">
        <v>5.781333851153664</v>
      </c>
      <c r="F24">
        <v>0.11022871685366376</v>
      </c>
      <c r="G24">
        <v>100.81983900499378</v>
      </c>
      <c r="H24">
        <v>99.186827698709692</v>
      </c>
      <c r="I24">
        <f t="shared" si="0"/>
        <v>0.50204123011206925</v>
      </c>
    </row>
    <row r="25" spans="1:9">
      <c r="D25">
        <v>280</v>
      </c>
      <c r="E25">
        <v>5.7634560995219939</v>
      </c>
      <c r="F25">
        <v>9.2350965221993597E-2</v>
      </c>
      <c r="G25">
        <v>100.80500661923853</v>
      </c>
      <c r="H25">
        <v>99.201421986629569</v>
      </c>
      <c r="I25">
        <f t="shared" si="0"/>
        <v>0.50200444857644833</v>
      </c>
    </row>
    <row r="26" spans="1:9">
      <c r="D26">
        <v>290</v>
      </c>
      <c r="E26">
        <v>5.7461105873468421</v>
      </c>
      <c r="F26">
        <v>7.5005453046841808E-2</v>
      </c>
      <c r="G26">
        <v>100.79095021156616</v>
      </c>
      <c r="H26">
        <v>99.215256717090128</v>
      </c>
      <c r="I26">
        <f t="shared" si="0"/>
        <v>0.50196958630534527</v>
      </c>
    </row>
    <row r="27" spans="1:9">
      <c r="D27">
        <v>300</v>
      </c>
      <c r="E27">
        <v>5.7292752640222986</v>
      </c>
      <c r="F27">
        <v>5.8170129722298292E-2</v>
      </c>
      <c r="G27">
        <v>100.77760443023145</v>
      </c>
      <c r="H27">
        <v>99.228395599769215</v>
      </c>
      <c r="I27">
        <f t="shared" si="0"/>
        <v>0.50193648199089891</v>
      </c>
    </row>
    <row r="28" spans="1:9">
      <c r="D28">
        <v>310</v>
      </c>
      <c r="E28">
        <v>5.7129288116883528</v>
      </c>
      <c r="F28">
        <v>4.1823677388352465E-2</v>
      </c>
      <c r="G28">
        <v>100.76491137607621</v>
      </c>
      <c r="H28">
        <v>99.240895103630862</v>
      </c>
      <c r="I28">
        <f t="shared" si="0"/>
        <v>0.50190499268677713</v>
      </c>
    </row>
    <row r="29" spans="1:9">
      <c r="D29">
        <v>320</v>
      </c>
      <c r="E29">
        <v>5.6970507146885803</v>
      </c>
      <c r="F29">
        <v>2.594558038857997E-2</v>
      </c>
      <c r="G29">
        <v>100.75281954445207</v>
      </c>
      <c r="H29">
        <v>99.252805481913839</v>
      </c>
      <c r="I29">
        <f t="shared" si="0"/>
        <v>0.50187499121054469</v>
      </c>
    </row>
    <row r="30" spans="1:9">
      <c r="D30">
        <v>330</v>
      </c>
      <c r="E30">
        <v>5.6816212976595359</v>
      </c>
      <c r="F30">
        <v>1.0516163359535646E-2</v>
      </c>
      <c r="G30">
        <v>100.74128294509963</v>
      </c>
      <c r="H30">
        <v>99.264171625149643</v>
      </c>
      <c r="I30">
        <f t="shared" si="0"/>
        <v>0.50184636397257287</v>
      </c>
    </row>
    <row r="31" spans="1:9">
      <c r="D31">
        <v>340</v>
      </c>
      <c r="E31">
        <v>5.6666217407532802</v>
      </c>
      <c r="F31">
        <v>-4.4833935467201158E-3</v>
      </c>
      <c r="G31">
        <v>100.73026036568842</v>
      </c>
      <c r="H31">
        <v>99.275033775316345</v>
      </c>
      <c r="I31">
        <f t="shared" si="0"/>
        <v>0.5018190091631759</v>
      </c>
    </row>
    <row r="32" spans="1:9">
      <c r="D32">
        <v>350</v>
      </c>
      <c r="E32">
        <v>5.6520340784066843</v>
      </c>
      <c r="F32">
        <v>-1.9071055893316036E-2</v>
      </c>
      <c r="G32">
        <v>100.71971475209737</v>
      </c>
      <c r="H32">
        <v>99.285428127085424</v>
      </c>
      <c r="I32">
        <f t="shared" si="0"/>
        <v>0.50179283523011164</v>
      </c>
    </row>
    <row r="33" spans="4:9">
      <c r="D33">
        <v>360</v>
      </c>
      <c r="E33">
        <v>5.6378411863300988</v>
      </c>
      <c r="F33">
        <v>-3.3263947969901508E-2</v>
      </c>
      <c r="G33">
        <v>100.70961268417243</v>
      </c>
      <c r="H33">
        <v>99.295387336658891</v>
      </c>
      <c r="I33">
        <f t="shared" si="0"/>
        <v>0.50176775958658526</v>
      </c>
    </row>
    <row r="34" spans="4:9">
      <c r="D34">
        <v>370</v>
      </c>
      <c r="E34">
        <v>5.6240267603239262</v>
      </c>
      <c r="F34">
        <v>-4.7078373976074062E-2</v>
      </c>
      <c r="G34">
        <v>100.69992393006031</v>
      </c>
      <c r="H34">
        <v>99.304940954526458</v>
      </c>
      <c r="I34">
        <f t="shared" si="0"/>
        <v>0.50174370751187991</v>
      </c>
    </row>
    <row r="35" spans="4:9">
      <c r="D35">
        <v>380</v>
      </c>
      <c r="E35">
        <v>5.6105752895070369</v>
      </c>
      <c r="F35">
        <v>-6.0529844792963416E-2</v>
      </c>
      <c r="G35">
        <v>100.69062106555677</v>
      </c>
      <c r="H35">
        <v>99.314115795247034</v>
      </c>
      <c r="I35">
        <f t="shared" si="0"/>
        <v>0.50172061121231193</v>
      </c>
    </row>
    <row r="36" spans="4:9">
      <c r="D36">
        <v>390</v>
      </c>
      <c r="E36">
        <v>5.5974720260123165</v>
      </c>
      <c r="F36">
        <v>-7.3633108287683768E-2</v>
      </c>
      <c r="G36">
        <v>100.68167914757626</v>
      </c>
      <c r="H36">
        <v>99.322936254790818</v>
      </c>
      <c r="I36">
        <f t="shared" si="0"/>
        <v>0.50169840901894902</v>
      </c>
    </row>
    <row r="37" spans="4:9">
      <c r="D37">
        <v>400</v>
      </c>
      <c r="E37">
        <v>5.5847029524852454</v>
      </c>
      <c r="F37">
        <v>-8.6402181814754897E-2</v>
      </c>
      <c r="G37">
        <v>100.67307543285062</v>
      </c>
      <c r="H37">
        <v>99.33142458402331</v>
      </c>
      <c r="I37">
        <f t="shared" si="0"/>
        <v>0.50167704469380647</v>
      </c>
    </row>
    <row r="38" spans="4:9">
      <c r="D38">
        <v>410</v>
      </c>
      <c r="E38">
        <v>5.5722547485978131</v>
      </c>
      <c r="F38">
        <v>-9.8850385702187182E-2</v>
      </c>
      <c r="G38">
        <v>100.6647891346544</v>
      </c>
      <c r="H38">
        <v>99.339601125309102</v>
      </c>
      <c r="I38">
        <f t="shared" si="0"/>
        <v>0.50165646683057052</v>
      </c>
    </row>
    <row r="39" spans="4:9">
      <c r="D39">
        <v>420</v>
      </c>
      <c r="E39">
        <v>5.5601147572646807</v>
      </c>
      <c r="F39">
        <v>-0.11099037703531955</v>
      </c>
      <c r="G39">
        <v>100.65680121161158</v>
      </c>
      <c r="H39">
        <v>99.347484517982352</v>
      </c>
      <c r="I39">
        <f t="shared" si="0"/>
        <v>0.50163662833246703</v>
      </c>
    </row>
    <row r="40" spans="4:9">
      <c r="D40">
        <v>430</v>
      </c>
      <c r="E40">
        <v>5.5482709511894637</v>
      </c>
      <c r="F40">
        <v>-0.12283418311053662</v>
      </c>
      <c r="G40">
        <v>100.6490941837172</v>
      </c>
      <c r="H40">
        <v>99.355091877398195</v>
      </c>
      <c r="I40">
        <f t="shared" si="0"/>
        <v>0.50161748595614897</v>
      </c>
    </row>
    <row r="41" spans="4:9">
      <c r="D41">
        <v>440</v>
      </c>
      <c r="E41">
        <v>5.7873868178274321</v>
      </c>
      <c r="F41">
        <v>0.11628168352743184</v>
      </c>
      <c r="G41">
        <v>100.64165197151812</v>
      </c>
      <c r="H41">
        <v>99.362438951520232</v>
      </c>
      <c r="I41">
        <f t="shared" si="0"/>
        <v>0.50159899992198109</v>
      </c>
    </row>
    <row r="42" spans="4:9">
      <c r="D42">
        <v>450</v>
      </c>
      <c r="E42">
        <v>5.7763650432491938</v>
      </c>
      <c r="F42">
        <v>0.10525990894919346</v>
      </c>
      <c r="G42">
        <v>100.63445975507901</v>
      </c>
      <c r="H42">
        <v>99.369540258256464</v>
      </c>
      <c r="I42">
        <f t="shared" si="0"/>
        <v>0.50158113356048306</v>
      </c>
    </row>
    <row r="43" spans="4:9">
      <c r="D43">
        <v>460</v>
      </c>
      <c r="E43">
        <v>5.7655459494268833</v>
      </c>
      <c r="F43">
        <v>9.444081512688296E-2</v>
      </c>
      <c r="G43">
        <v>100.62750384992816</v>
      </c>
      <c r="H43">
        <v>99.3764092063128</v>
      </c>
      <c r="I43">
        <f t="shared" si="0"/>
        <v>0.50156385300701678</v>
      </c>
    </row>
    <row r="44" spans="4:9">
      <c r="D44">
        <v>470</v>
      </c>
      <c r="E44">
        <v>5.7549243889032384</v>
      </c>
      <c r="F44">
        <v>8.3819254603238136E-2</v>
      </c>
      <c r="G44">
        <v>100.62077159761516</v>
      </c>
      <c r="H44">
        <v>99.383058201843014</v>
      </c>
      <c r="I44">
        <f t="shared" si="0"/>
        <v>0.50154712693231562</v>
      </c>
    </row>
    <row r="45" spans="4:9">
      <c r="D45">
        <v>480</v>
      </c>
      <c r="E45">
        <v>5.7444953073917384</v>
      </c>
      <c r="F45">
        <v>7.339017309173812E-2</v>
      </c>
      <c r="G45">
        <v>100.61425126888933</v>
      </c>
      <c r="H45">
        <v>99.389498742828692</v>
      </c>
      <c r="I45">
        <f t="shared" si="0"/>
        <v>0.50153092630479712</v>
      </c>
    </row>
    <row r="46" spans="4:9">
      <c r="D46">
        <v>490</v>
      </c>
      <c r="E46">
        <v>5.7342537528847792</v>
      </c>
      <c r="F46">
        <v>6.3148618584778937E-2</v>
      </c>
      <c r="G46">
        <v>100.60793197781913</v>
      </c>
      <c r="H46">
        <v>99.395741502816279</v>
      </c>
      <c r="I46">
        <f t="shared" si="0"/>
        <v>0.50151522417935379</v>
      </c>
    </row>
    <row r="47" spans="4:9">
      <c r="D47">
        <v>500</v>
      </c>
      <c r="E47">
        <v>5.7241948824417905</v>
      </c>
      <c r="F47">
        <v>5.3089748141790238E-2</v>
      </c>
      <c r="G47">
        <v>100.60180360540649</v>
      </c>
      <c r="H47">
        <v>99.401796405395288</v>
      </c>
      <c r="I47">
        <f t="shared" si="0"/>
        <v>0.50149999550075297</v>
      </c>
    </row>
    <row r="48" spans="4:9">
      <c r="D48">
        <v>510</v>
      </c>
      <c r="E48">
        <v>5.7143139671174605</v>
      </c>
      <c r="F48">
        <v>4.3208832817460241E-2</v>
      </c>
      <c r="G48">
        <v>100.59585673150093</v>
      </c>
      <c r="H48">
        <v>99.407672690642116</v>
      </c>
      <c r="I48">
        <f t="shared" si="0"/>
        <v>0.50148521694521964</v>
      </c>
    </row>
    <row r="49" spans="4:9">
      <c r="D49">
        <v>520</v>
      </c>
      <c r="E49">
        <v>5.7046063953090433</v>
      </c>
      <c r="F49">
        <v>3.3501261009043048E-2</v>
      </c>
      <c r="G49">
        <v>100.59008257396154</v>
      </c>
      <c r="H49">
        <v>99.413378974488651</v>
      </c>
      <c r="I49">
        <f t="shared" si="0"/>
        <v>0.50147086677211683</v>
      </c>
    </row>
    <row r="50" spans="4:9">
      <c r="D50">
        <v>530</v>
      </c>
      <c r="E50">
        <v>5.695067674824422</v>
      </c>
      <c r="F50">
        <v>2.3962540524421705E-2</v>
      </c>
      <c r="G50">
        <v>100.5844729341396</v>
      </c>
      <c r="H50">
        <v>99.418923301886878</v>
      </c>
      <c r="I50">
        <f t="shared" si="0"/>
        <v>0.50145692466991354</v>
      </c>
    </row>
    <row r="51" spans="4:9">
      <c r="D51">
        <v>540</v>
      </c>
      <c r="E51">
        <v>5.68569343388614</v>
      </c>
      <c r="F51">
        <v>1.4588299586139719E-2</v>
      </c>
      <c r="G51">
        <v>100.57902014799009</v>
      </c>
      <c r="H51">
        <v>99.424313194599833</v>
      </c>
      <c r="I51">
        <f t="shared" si="0"/>
        <v>0.50144337166245467</v>
      </c>
    </row>
    <row r="52" spans="4:9">
      <c r="D52">
        <v>550</v>
      </c>
      <c r="E52">
        <v>5.6764794212534717</v>
      </c>
      <c r="F52">
        <v>5.3742869534714188E-3</v>
      </c>
      <c r="G52">
        <v>100.57371704207148</v>
      </c>
      <c r="H52">
        <v>99.429555694123692</v>
      </c>
      <c r="I52">
        <f t="shared" si="0"/>
        <v>0.50143018998196431</v>
      </c>
    </row>
    <row r="53" spans="4:9">
      <c r="D53">
        <v>560</v>
      </c>
      <c r="E53">
        <v>5.6674215056778179</v>
      </c>
      <c r="F53">
        <v>-3.683628622182411E-3</v>
      </c>
      <c r="G53">
        <v>100.56855689389523</v>
      </c>
      <c r="H53">
        <v>99.434657400430297</v>
      </c>
      <c r="I53">
        <f t="shared" si="0"/>
        <v>0.50141736297796058</v>
      </c>
    </row>
    <row r="54" spans="4:9">
      <c r="D54">
        <v>570</v>
      </c>
      <c r="E54">
        <v>5.6585156747697516</v>
      </c>
      <c r="F54">
        <v>-1.2589459530248703E-2</v>
      </c>
      <c r="G54">
        <v>100.56353339611394</v>
      </c>
      <c r="H54">
        <v>99.439624506930457</v>
      </c>
      <c r="I54">
        <f t="shared" si="0"/>
        <v>0.50140487501913555</v>
      </c>
    </row>
    <row r="55" spans="4:9">
      <c r="D55">
        <v>580</v>
      </c>
      <c r="E55">
        <v>5.6497580333676556</v>
      </c>
      <c r="F55">
        <v>-2.1347100932344709E-2</v>
      </c>
      <c r="G55">
        <v>100.558640624164</v>
      </c>
      <c r="H55">
        <v>99.444462832136011</v>
      </c>
      <c r="I55">
        <f t="shared" si="0"/>
        <v>0.50139271143358621</v>
      </c>
    </row>
    <row r="56" spans="4:9">
      <c r="D56">
        <v>590</v>
      </c>
      <c r="E56">
        <v>5.6411448016037937</v>
      </c>
      <c r="F56">
        <v>-2.9960332696206571E-2</v>
      </c>
      <c r="G56">
        <v>100.55387300688304</v>
      </c>
      <c r="H56">
        <v>99.44917784833406</v>
      </c>
      <c r="I56">
        <f t="shared" si="0"/>
        <v>0.50138085841758573</v>
      </c>
    </row>
    <row r="57" spans="4:9">
      <c r="D57">
        <v>600</v>
      </c>
      <c r="E57">
        <v>5.6326723126670926</v>
      </c>
      <c r="F57">
        <v>-3.8432821632907732E-2</v>
      </c>
      <c r="G57">
        <v>100.54922529987206</v>
      </c>
      <c r="H57">
        <v>99.45377470762844</v>
      </c>
      <c r="I57">
        <f t="shared" si="0"/>
        <v>0.50136930297073423</v>
      </c>
    </row>
    <row r="58" spans="4:9">
      <c r="D58">
        <v>610</v>
      </c>
      <c r="E58">
        <v>5.6243370102893548</v>
      </c>
      <c r="F58">
        <v>-4.6768124010645451E-2</v>
      </c>
      <c r="G58">
        <v>100.54469256126978</v>
      </c>
      <c r="H58">
        <v>99.458258265661044</v>
      </c>
      <c r="I58">
        <f t="shared" si="0"/>
        <v>0.50135803285240299</v>
      </c>
    </row>
    <row r="59" spans="4:9">
      <c r="D59">
        <v>620</v>
      </c>
      <c r="E59">
        <v>5.6161354461789426</v>
      </c>
      <c r="F59">
        <v>-5.4969688121057736E-2</v>
      </c>
      <c r="G59">
        <v>100.54027012967151</v>
      </c>
      <c r="H59">
        <v>99.462633103157344</v>
      </c>
      <c r="I59">
        <f t="shared" si="0"/>
        <v>0.50134703650553269</v>
      </c>
    </row>
    <row r="60" spans="4:9">
      <c r="D60">
        <v>630</v>
      </c>
      <c r="E60">
        <v>5.608064277218296</v>
      </c>
      <c r="F60">
        <v>-6.304085708170426E-2</v>
      </c>
      <c r="G60">
        <v>100.53595360400358</v>
      </c>
      <c r="H60">
        <v>99.466903545657402</v>
      </c>
      <c r="I60">
        <f t="shared" si="0"/>
        <v>0.50133630302841148</v>
      </c>
    </row>
    <row r="61" spans="4:9">
      <c r="D61">
        <v>640</v>
      </c>
      <c r="E61">
        <v>5.6001202626495274</v>
      </c>
      <c r="F61">
        <v>-7.0984871650472847E-2</v>
      </c>
      <c r="G61">
        <v>100.53173882511159</v>
      </c>
      <c r="H61">
        <v>99.47107368148221</v>
      </c>
      <c r="I61">
        <f t="shared" si="0"/>
        <v>0.50132582210827381</v>
      </c>
    </row>
    <row r="62" spans="4:9">
      <c r="D62">
        <v>650</v>
      </c>
      <c r="E62">
        <v>5.5923002612222197</v>
      </c>
      <c r="F62">
        <v>-7.8804873077780613E-2</v>
      </c>
      <c r="G62">
        <v>100.52762185894353</v>
      </c>
      <c r="H62">
        <v>99.47514737822074</v>
      </c>
      <c r="I62">
        <f t="shared" si="0"/>
        <v>0.50131558399514409</v>
      </c>
    </row>
    <row r="63" spans="4:9">
      <c r="D63">
        <v>660</v>
      </c>
      <c r="E63">
        <v>5.5846012282292952</v>
      </c>
      <c r="F63">
        <v>-8.6503906070705128E-2</v>
      </c>
      <c r="G63">
        <v>100.52359898111698</v>
      </c>
      <c r="H63">
        <v>99.47912829780627</v>
      </c>
      <c r="I63">
        <f t="shared" si="0"/>
        <v>0.50130557945130672</v>
      </c>
    </row>
    <row r="64" spans="4:9">
      <c r="D64">
        <v>670</v>
      </c>
      <c r="E64">
        <v>5.5770202126530766</v>
      </c>
      <c r="F64">
        <v>-9.4084921646923725E-2</v>
      </c>
      <c r="G64">
        <v>100.519666662779</v>
      </c>
      <c r="H64">
        <v>99.483019910396962</v>
      </c>
      <c r="I64">
        <f t="shared" si="0"/>
        <v>0.50129579973592298</v>
      </c>
    </row>
    <row r="65" spans="4:9">
      <c r="D65">
        <v>680</v>
      </c>
      <c r="E65">
        <v>5.5695543542399788</v>
      </c>
      <c r="F65">
        <v>-0.10155078006002149</v>
      </c>
      <c r="G65">
        <v>100.51582155759469</v>
      </c>
      <c r="H65">
        <v>99.48682550706657</v>
      </c>
      <c r="I65">
        <f t="shared" si="0"/>
        <v>0.50128623655061766</v>
      </c>
    </row>
    <row r="66" spans="4:9">
      <c r="D66">
        <v>690</v>
      </c>
      <c r="E66">
        <v>5.7630206159201016</v>
      </c>
      <c r="F66">
        <v>9.1915481620101325E-2</v>
      </c>
      <c r="G66">
        <v>100.51206048978605</v>
      </c>
      <c r="H66">
        <v>99.490548211534275</v>
      </c>
      <c r="I66">
        <f t="shared" si="0"/>
        <v>0.50127688201887854</v>
      </c>
    </row>
    <row r="67" spans="4:9">
      <c r="D67">
        <v>700</v>
      </c>
      <c r="E67">
        <v>5.7559099066347503</v>
      </c>
      <c r="F67">
        <v>8.4804772334750034E-2</v>
      </c>
      <c r="G67">
        <v>100.50838044313453</v>
      </c>
      <c r="H67">
        <v>99.494190990949434</v>
      </c>
      <c r="I67">
        <f t="shared" ref="I67:I97" si="1">(G67-$B$3)/(G67-H67)</f>
        <v>0.50126772866668112</v>
      </c>
    </row>
    <row r="68" spans="4:9">
      <c r="D68">
        <v>710</v>
      </c>
      <c r="E68">
        <v>5.7488860462391083</v>
      </c>
      <c r="F68">
        <v>7.7780911939107966E-2</v>
      </c>
      <c r="G68">
        <v>100.50477855079022</v>
      </c>
      <c r="H68">
        <v>99.497756665829101</v>
      </c>
      <c r="I68">
        <f t="shared" si="1"/>
        <v>0.50125876937591052</v>
      </c>
    </row>
    <row r="69" spans="4:9">
      <c r="D69">
        <v>720</v>
      </c>
      <c r="E69">
        <v>5.7419475231339856</v>
      </c>
      <c r="F69">
        <v>7.0842388833985304E-2</v>
      </c>
      <c r="G69">
        <v>100.50125208593658</v>
      </c>
      <c r="H69">
        <v>99.501247919268238</v>
      </c>
      <c r="I69">
        <f t="shared" si="1"/>
        <v>0.50124999739408682</v>
      </c>
    </row>
    <row r="70" spans="4:9">
      <c r="D70">
        <v>730</v>
      </c>
      <c r="E70">
        <v>5.7350928481217531</v>
      </c>
      <c r="F70">
        <v>6.3987713821752834E-2</v>
      </c>
      <c r="G70">
        <v>100.49779845307701</v>
      </c>
      <c r="H70">
        <v>99.50466730540964</v>
      </c>
      <c r="I70">
        <f t="shared" si="1"/>
        <v>0.50124140627974556</v>
      </c>
    </row>
    <row r="71" spans="4:9">
      <c r="D71">
        <v>740</v>
      </c>
      <c r="E71">
        <v>5.7283205551636511</v>
      </c>
      <c r="F71">
        <v>5.7215420863650834E-2</v>
      </c>
      <c r="G71">
        <v>100.49441518004295</v>
      </c>
      <c r="H71">
        <v>99.508017257315871</v>
      </c>
      <c r="I71">
        <f t="shared" si="1"/>
        <v>0.50123298990335219</v>
      </c>
    </row>
    <row r="72" spans="4:9">
      <c r="D72">
        <v>750</v>
      </c>
      <c r="E72">
        <v>5.7216292019046495</v>
      </c>
      <c r="F72">
        <v>5.0524067604649225E-2</v>
      </c>
      <c r="G72">
        <v>100.49109991055079</v>
      </c>
      <c r="H72">
        <v>99.511300094250487</v>
      </c>
      <c r="I72">
        <f t="shared" si="1"/>
        <v>0.50122474242255732</v>
      </c>
    </row>
    <row r="73" spans="4:9">
      <c r="D73">
        <v>760</v>
      </c>
      <c r="E73">
        <v>5.7150173701769775</v>
      </c>
      <c r="F73">
        <v>4.3912235876977235E-2</v>
      </c>
      <c r="G73">
        <v>100.48785039730127</v>
      </c>
      <c r="H73">
        <v>99.514518028425911</v>
      </c>
      <c r="I73">
        <f t="shared" si="1"/>
        <v>0.50121665825719963</v>
      </c>
    </row>
    <row r="74" spans="4:9">
      <c r="D74">
        <v>770</v>
      </c>
      <c r="E74">
        <v>5.708483666272639</v>
      </c>
      <c r="F74">
        <v>3.737853197263874E-2</v>
      </c>
      <c r="G74">
        <v>100.4846644956052</v>
      </c>
      <c r="H74">
        <v>99.517673171289175</v>
      </c>
      <c r="I74">
        <f t="shared" si="1"/>
        <v>0.50120873209282946</v>
      </c>
    </row>
    <row r="75" spans="4:9">
      <c r="D75">
        <v>780</v>
      </c>
      <c r="E75">
        <v>5.7020267211505695</v>
      </c>
      <c r="F75">
        <v>3.0921586850569227E-2</v>
      </c>
      <c r="G75">
        <v>100.48154015742156</v>
      </c>
      <c r="H75">
        <v>99.520767539322847</v>
      </c>
      <c r="I75">
        <f t="shared" si="1"/>
        <v>0.50120095884340277</v>
      </c>
    </row>
    <row r="76" spans="4:9">
      <c r="D76">
        <v>790</v>
      </c>
      <c r="E76">
        <v>5.6956451905969567</v>
      </c>
      <c r="F76">
        <v>2.4540056296956436E-2</v>
      </c>
      <c r="G76">
        <v>100.47847542583909</v>
      </c>
      <c r="H76">
        <v>99.523803059499784</v>
      </c>
      <c r="I76">
        <f t="shared" si="1"/>
        <v>0.50119333366043362</v>
      </c>
    </row>
    <row r="77" spans="4:9">
      <c r="D77">
        <v>800</v>
      </c>
      <c r="E77">
        <v>5.6893377552258562</v>
      </c>
      <c r="F77">
        <v>1.8232620925855869E-2</v>
      </c>
      <c r="G77">
        <v>100.47546842991704</v>
      </c>
      <c r="H77">
        <v>99.526781574300941</v>
      </c>
      <c r="I77">
        <f t="shared" si="1"/>
        <v>0.50118585189868736</v>
      </c>
    </row>
    <row r="78" spans="4:9">
      <c r="D78">
        <v>810</v>
      </c>
      <c r="E78">
        <v>5.6831031204579485</v>
      </c>
      <c r="F78">
        <v>1.1997986157948226E-2</v>
      </c>
      <c r="G78">
        <v>100.47251737990437</v>
      </c>
      <c r="H78">
        <v>99.529704846434882</v>
      </c>
      <c r="I78">
        <f t="shared" si="1"/>
        <v>0.50117850912051343</v>
      </c>
    </row>
    <row r="79" spans="4:9">
      <c r="D79">
        <v>820</v>
      </c>
      <c r="E79">
        <v>5.6769400164367205</v>
      </c>
      <c r="F79">
        <v>5.8348821367202319E-3</v>
      </c>
      <c r="G79">
        <v>100.46962056275206</v>
      </c>
      <c r="H79">
        <v>99.532574563213387</v>
      </c>
      <c r="I79">
        <f t="shared" si="1"/>
        <v>0.50117130107087782</v>
      </c>
    </row>
    <row r="80" spans="4:9">
      <c r="D80">
        <v>830</v>
      </c>
      <c r="E80">
        <v>5.6708471978748607</v>
      </c>
      <c r="F80">
        <v>-2.5793642513960435E-4</v>
      </c>
      <c r="G80">
        <v>100.46677633794668</v>
      </c>
      <c r="H80">
        <v>99.53539234066541</v>
      </c>
      <c r="I80">
        <f t="shared" si="1"/>
        <v>0.50116422368133029</v>
      </c>
    </row>
    <row r="81" spans="4:9">
      <c r="D81">
        <v>840</v>
      </c>
      <c r="E81">
        <v>5.6648234438455658</v>
      </c>
      <c r="F81">
        <v>-6.2816904544344965E-3</v>
      </c>
      <c r="G81">
        <v>100.46398313362292</v>
      </c>
      <c r="H81">
        <v>99.538159727350759</v>
      </c>
      <c r="I81">
        <f t="shared" si="1"/>
        <v>0.50115727306047786</v>
      </c>
    </row>
    <row r="82" spans="4:9">
      <c r="D82">
        <v>850</v>
      </c>
      <c r="E82">
        <v>5.658867557592048</v>
      </c>
      <c r="F82">
        <v>-1.2237576707952336E-2</v>
      </c>
      <c r="G82">
        <v>100.46123944286921</v>
      </c>
      <c r="H82">
        <v>99.540878207927321</v>
      </c>
      <c r="I82">
        <f t="shared" si="1"/>
        <v>0.50115044545344678</v>
      </c>
    </row>
    <row r="83" spans="4:9">
      <c r="D83">
        <v>860</v>
      </c>
      <c r="E83">
        <v>5.6529783662077069</v>
      </c>
      <c r="F83">
        <v>-1.812676809229341E-2</v>
      </c>
      <c r="G83">
        <v>100.45854382036798</v>
      </c>
      <c r="H83">
        <v>99.543549206541968</v>
      </c>
      <c r="I83">
        <f t="shared" si="1"/>
        <v>0.50114373728452599</v>
      </c>
    </row>
    <row r="84" spans="4:9">
      <c r="D84">
        <v>870</v>
      </c>
      <c r="E84">
        <v>5.6471547203848589</v>
      </c>
      <c r="F84">
        <v>-2.3950413915141411E-2</v>
      </c>
      <c r="G84">
        <v>100.45589487916882</v>
      </c>
      <c r="H84">
        <v>99.546174089914544</v>
      </c>
      <c r="I84">
        <f t="shared" si="1"/>
        <v>0.50113714510419383</v>
      </c>
    </row>
    <row r="85" spans="4:9">
      <c r="D85">
        <v>880</v>
      </c>
      <c r="E85">
        <v>5.6413954940899771</v>
      </c>
      <c r="F85">
        <v>-2.9709640210023203E-2</v>
      </c>
      <c r="G85">
        <v>100.45329128770361</v>
      </c>
      <c r="H85">
        <v>99.548754170329431</v>
      </c>
      <c r="I85">
        <f t="shared" si="1"/>
        <v>0.50113066561545638</v>
      </c>
    </row>
    <row r="86" spans="4:9">
      <c r="D86">
        <v>890</v>
      </c>
      <c r="E86">
        <v>5.635699584198508</v>
      </c>
      <c r="F86">
        <v>-3.5405550101492267E-2</v>
      </c>
      <c r="G86">
        <v>100.45073176696009</v>
      </c>
      <c r="H86">
        <v>99.551290708353548</v>
      </c>
      <c r="I86">
        <f t="shared" si="1"/>
        <v>0.50112429563576455</v>
      </c>
    </row>
    <row r="87" spans="4:9">
      <c r="D87">
        <v>900</v>
      </c>
      <c r="E87">
        <v>5.6300659101496109</v>
      </c>
      <c r="F87">
        <v>-4.1039224150389408E-2</v>
      </c>
      <c r="G87">
        <v>100.44821508788011</v>
      </c>
      <c r="H87">
        <v>99.553784915458223</v>
      </c>
      <c r="I87">
        <f t="shared" si="1"/>
        <v>0.50111803212816641</v>
      </c>
    </row>
    <row r="88" spans="4:9">
      <c r="D88">
        <v>910</v>
      </c>
      <c r="E88">
        <v>5.6244934136172366</v>
      </c>
      <c r="F88">
        <v>-4.6611720682763647E-2</v>
      </c>
      <c r="G88">
        <v>100.4457400688248</v>
      </c>
      <c r="H88">
        <v>99.556237956414918</v>
      </c>
      <c r="I88">
        <f t="shared" si="1"/>
        <v>0.50111187214292474</v>
      </c>
    </row>
    <row r="89" spans="4:9">
      <c r="D89">
        <v>920</v>
      </c>
      <c r="E89">
        <v>5.6189810580671047</v>
      </c>
      <c r="F89">
        <v>-5.2124076232895611E-2</v>
      </c>
      <c r="G89">
        <v>100.44330557329279</v>
      </c>
      <c r="H89">
        <v>99.558650951631492</v>
      </c>
      <c r="I89">
        <f t="shared" si="1"/>
        <v>0.50110581286548161</v>
      </c>
    </row>
    <row r="90" spans="4:9">
      <c r="D90">
        <v>930</v>
      </c>
      <c r="E90">
        <v>5.6135278283936696</v>
      </c>
      <c r="F90">
        <v>-5.75773059063307E-2</v>
      </c>
      <c r="G90">
        <v>100.44091050772744</v>
      </c>
      <c r="H90">
        <v>99.561024979271949</v>
      </c>
      <c r="I90">
        <f t="shared" si="1"/>
        <v>0.50109985159250414</v>
      </c>
    </row>
    <row r="91" spans="4:9">
      <c r="D91">
        <v>940</v>
      </c>
      <c r="E91">
        <v>5.6081327305643667</v>
      </c>
      <c r="F91">
        <v>-6.297240373563362E-2</v>
      </c>
      <c r="G91">
        <v>100.43855381940637</v>
      </c>
      <c r="H91">
        <v>99.563361077261618</v>
      </c>
      <c r="I91">
        <f t="shared" si="1"/>
        <v>0.50109398568782171</v>
      </c>
    </row>
    <row r="92" spans="4:9">
      <c r="D92">
        <v>950</v>
      </c>
      <c r="E92">
        <v>5.6027947911483427</v>
      </c>
      <c r="F92">
        <v>-6.8310343151657626E-2</v>
      </c>
      <c r="G92">
        <v>100.4362344945708</v>
      </c>
      <c r="H92">
        <v>99.565660245268049</v>
      </c>
      <c r="I92">
        <f t="shared" si="1"/>
        <v>0.50108821265984138</v>
      </c>
    </row>
    <row r="93" spans="4:9">
      <c r="D93">
        <v>960</v>
      </c>
      <c r="E93">
        <v>5.5975130569628231</v>
      </c>
      <c r="F93">
        <v>-7.3592077337177209E-2</v>
      </c>
      <c r="G93">
        <v>100.43395155651581</v>
      </c>
      <c r="H93">
        <v>99.567923446406652</v>
      </c>
      <c r="I93">
        <f t="shared" si="1"/>
        <v>0.5010825300591133</v>
      </c>
    </row>
    <row r="94" spans="4:9">
      <c r="D94">
        <v>970</v>
      </c>
      <c r="E94">
        <v>5.592286594674591</v>
      </c>
      <c r="F94">
        <v>-7.8818539625409301E-2</v>
      </c>
      <c r="G94">
        <v>100.43170406395173</v>
      </c>
      <c r="H94">
        <v>99.570151609024492</v>
      </c>
      <c r="I94">
        <f t="shared" si="1"/>
        <v>0.50107693557461708</v>
      </c>
    </row>
    <row r="95" spans="4:9">
      <c r="D95">
        <v>980</v>
      </c>
      <c r="E95">
        <v>5.5871144903635477</v>
      </c>
      <c r="F95">
        <v>-8.3990643936452614E-2</v>
      </c>
      <c r="G95">
        <v>100.42949110927859</v>
      </c>
      <c r="H95">
        <v>99.572345628228618</v>
      </c>
      <c r="I95">
        <f t="shared" si="1"/>
        <v>0.50107142693265716</v>
      </c>
    </row>
    <row r="96" spans="4:9">
      <c r="D96">
        <v>990</v>
      </c>
      <c r="E96">
        <v>5.7494253124830008</v>
      </c>
      <c r="F96">
        <v>7.8320178183000522E-2</v>
      </c>
      <c r="G96">
        <v>100.42731181712445</v>
      </c>
      <c r="H96">
        <v>99.574506367451463</v>
      </c>
      <c r="I96">
        <f t="shared" si="1"/>
        <v>0.5010660019683314</v>
      </c>
    </row>
    <row r="97" spans="4:9">
      <c r="D97">
        <v>1000</v>
      </c>
      <c r="E97">
        <v>5.7444403944395468</v>
      </c>
      <c r="F97">
        <v>7.3335260139546499E-2</v>
      </c>
      <c r="G97">
        <v>100.42516534285528</v>
      </c>
      <c r="H97">
        <v>99.576634659845467</v>
      </c>
      <c r="I97">
        <f t="shared" si="1"/>
        <v>0.50106065858123283</v>
      </c>
    </row>
  </sheetData>
  <mergeCells count="1">
    <mergeCell ref="L5:P7"/>
  </mergeCells>
  <phoneticPr fontId="5" type="noConversion"/>
  <pageMargins left="0.75" right="0.75" top="1" bottom="1"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22</vt:i4>
      </vt:variant>
    </vt:vector>
  </HeadingPairs>
  <TitlesOfParts>
    <vt:vector size="22" baseType="lpstr">
      <vt:lpstr>European CRR</vt:lpstr>
      <vt:lpstr>European RB</vt:lpstr>
      <vt:lpstr>European LR</vt:lpstr>
      <vt:lpstr>Q1-Explanation of the diagram</vt:lpstr>
      <vt:lpstr>Q1-European CRR Extrapolation</vt:lpstr>
      <vt:lpstr>Q1-European RB Extrapolation</vt:lpstr>
      <vt:lpstr>Q1-European LR Extrapolation</vt:lpstr>
      <vt:lpstr>Q1-More effecient method</vt:lpstr>
      <vt:lpstr>Q2-Accurate Value</vt:lpstr>
      <vt:lpstr>American CRR</vt:lpstr>
      <vt:lpstr>American BD</vt:lpstr>
      <vt:lpstr>American LR</vt:lpstr>
      <vt:lpstr>Q2-Explanation of the diagram</vt:lpstr>
      <vt:lpstr>American Put Exercise Boundary</vt:lpstr>
      <vt:lpstr>American CRR Extrapolation</vt:lpstr>
      <vt:lpstr>derivative american option (2)</vt:lpstr>
      <vt:lpstr>derivative american option</vt:lpstr>
      <vt:lpstr>American LR Extrapolation</vt:lpstr>
      <vt:lpstr>American BD Extrapolation</vt:lpstr>
      <vt:lpstr>Q2-More effecient</vt:lpstr>
      <vt:lpstr>Q3-a,b&amp;c</vt:lpstr>
      <vt:lpstr>Q4-a&amp;b</vt:lpstr>
    </vt:vector>
  </TitlesOfParts>
  <Company>University of Illinois - CBA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pearson2</dc:creator>
  <cp:lastModifiedBy>Yisong Dong</cp:lastModifiedBy>
  <dcterms:created xsi:type="dcterms:W3CDTF">2002-02-24T18:19:42Z</dcterms:created>
  <dcterms:modified xsi:type="dcterms:W3CDTF">2018-02-01T23:26:00Z</dcterms:modified>
</cp:coreProperties>
</file>