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95" yWindow="360" windowWidth="18645" windowHeight="10425" activeTab="5"/>
  </bookViews>
  <sheets>
    <sheet name="EurCall" sheetId="1" r:id="rId1"/>
    <sheet name="EXP FD A" sheetId="2" r:id="rId2"/>
    <sheet name="EXP FD B" sheetId="6" r:id="rId3"/>
    <sheet name="EXP FD C" sheetId="7" r:id="rId4"/>
    <sheet name="Check(A+B+C)" sheetId="8" r:id="rId5"/>
    <sheet name="VBA" sheetId="9" r:id="rId6"/>
  </sheets>
  <definedNames>
    <definedName name="d">EurCall!$B$12</definedName>
    <definedName name="dS">EurCall!$B$5</definedName>
    <definedName name="dt">EurCall!$B$8</definedName>
    <definedName name="K">EurCall!$F$2</definedName>
    <definedName name="nS">EurCall!$B$4</definedName>
    <definedName name="nt">EurCall!$B$7</definedName>
    <definedName name="rate">EurCall!$B$11</definedName>
    <definedName name="S0">EurCall!$B$9</definedName>
    <definedName name="sigma">EurCall!$B$10</definedName>
    <definedName name="Smax">EurCall!$B$2</definedName>
    <definedName name="Smin">EurCall!$B$3</definedName>
    <definedName name="T">EurCall!$B$6</definedName>
  </definedNames>
  <calcPr calcId="145621" concurrentCalc="0"/>
</workbook>
</file>

<file path=xl/calcChain.xml><?xml version="1.0" encoding="utf-8"?>
<calcChain xmlns="http://schemas.openxmlformats.org/spreadsheetml/2006/main">
  <c r="I7" i="9" l="1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3" i="9"/>
  <c r="I4" i="9"/>
  <c r="I5" i="9"/>
  <c r="I6" i="9"/>
  <c r="I2" i="9"/>
  <c r="Q3" i="9"/>
  <c r="Q4" i="9"/>
  <c r="Q5" i="9"/>
  <c r="Q6" i="9"/>
  <c r="Q7" i="9"/>
  <c r="Q8" i="9"/>
  <c r="Q9" i="9"/>
  <c r="Q10" i="9"/>
  <c r="Q11" i="9"/>
  <c r="Q12" i="9"/>
  <c r="Q13" i="9"/>
  <c r="Q14" i="9"/>
  <c r="Q15" i="9"/>
  <c r="Q16" i="9"/>
  <c r="Q17" i="9"/>
  <c r="Q18" i="9"/>
  <c r="Q19" i="9"/>
  <c r="Q20" i="9"/>
  <c r="Q21" i="9"/>
  <c r="Q22" i="9"/>
  <c r="Q23" i="9"/>
  <c r="Q24" i="9"/>
  <c r="Q25" i="9"/>
  <c r="Q2" i="9"/>
  <c r="F9" i="1"/>
  <c r="B8" i="1"/>
  <c r="AG66" i="1"/>
  <c r="AG15" i="1"/>
  <c r="AO66" i="1"/>
  <c r="AO15" i="1"/>
  <c r="AS66" i="1"/>
  <c r="AS15" i="1"/>
  <c r="AW66" i="1"/>
  <c r="AW15" i="1"/>
  <c r="BA16" i="1"/>
  <c r="BA17" i="1"/>
  <c r="AZ16" i="6"/>
  <c r="BA18" i="1"/>
  <c r="AZ17" i="2"/>
  <c r="AZ17" i="6"/>
  <c r="AZ17" i="7"/>
  <c r="AZ17" i="8"/>
  <c r="AY16" i="2"/>
  <c r="AY16" i="6"/>
  <c r="AY16" i="7"/>
  <c r="BA19" i="1"/>
  <c r="AZ18" i="2"/>
  <c r="AZ18" i="6"/>
  <c r="AZ18" i="7"/>
  <c r="AY17" i="2"/>
  <c r="AY17" i="6"/>
  <c r="AY17" i="7"/>
  <c r="AX16" i="2"/>
  <c r="AX16" i="6"/>
  <c r="AX16" i="7"/>
  <c r="BA20" i="1"/>
  <c r="AZ19" i="2"/>
  <c r="AZ19" i="6"/>
  <c r="AZ19" i="7"/>
  <c r="AY18" i="2"/>
  <c r="AY18" i="6"/>
  <c r="AY18" i="7"/>
  <c r="AX17" i="2"/>
  <c r="AX17" i="6"/>
  <c r="AX17" i="7"/>
  <c r="AW16" i="2"/>
  <c r="AW16" i="6"/>
  <c r="AW16" i="7"/>
  <c r="AW16" i="8"/>
  <c r="BA21" i="1"/>
  <c r="AZ20" i="2"/>
  <c r="AZ20" i="6"/>
  <c r="AZ20" i="7"/>
  <c r="AY19" i="2"/>
  <c r="AY19" i="6"/>
  <c r="AY19" i="7"/>
  <c r="AX18" i="2"/>
  <c r="AX18" i="6"/>
  <c r="AX18" i="7"/>
  <c r="AW17" i="2"/>
  <c r="AW17" i="6"/>
  <c r="AW17" i="7"/>
  <c r="AV16" i="2"/>
  <c r="AV16" i="6"/>
  <c r="AV16" i="7"/>
  <c r="AV16" i="8"/>
  <c r="BA22" i="1"/>
  <c r="AZ21" i="2"/>
  <c r="AZ21" i="6"/>
  <c r="AZ21" i="7"/>
  <c r="AZ21" i="8"/>
  <c r="AY20" i="2"/>
  <c r="AY20" i="6"/>
  <c r="AY20" i="7"/>
  <c r="AX19" i="2"/>
  <c r="AX19" i="6"/>
  <c r="AX19" i="7"/>
  <c r="AW18" i="2"/>
  <c r="AW18" i="6"/>
  <c r="AW18" i="7"/>
  <c r="AV17" i="2"/>
  <c r="AV17" i="6"/>
  <c r="AV17" i="7"/>
  <c r="AU16" i="2"/>
  <c r="AU16" i="6"/>
  <c r="AU16" i="7"/>
  <c r="BA23" i="1"/>
  <c r="AZ22" i="2"/>
  <c r="AZ22" i="6"/>
  <c r="AZ22" i="7"/>
  <c r="AY21" i="2"/>
  <c r="AY21" i="6"/>
  <c r="AY21" i="7"/>
  <c r="AX20" i="2"/>
  <c r="AX20" i="6"/>
  <c r="AX20" i="7"/>
  <c r="AW19" i="2"/>
  <c r="AW19" i="6"/>
  <c r="AW19" i="7"/>
  <c r="AV18" i="2"/>
  <c r="AV18" i="6"/>
  <c r="AV18" i="7"/>
  <c r="AU17" i="2"/>
  <c r="AU17" i="6"/>
  <c r="AU17" i="7"/>
  <c r="AT16" i="2"/>
  <c r="AT16" i="6"/>
  <c r="AT16" i="7"/>
  <c r="BA24" i="1"/>
  <c r="AZ23" i="2"/>
  <c r="AZ23" i="6"/>
  <c r="AZ23" i="7"/>
  <c r="AY22" i="2"/>
  <c r="AY22" i="6"/>
  <c r="AY22" i="7"/>
  <c r="AX21" i="2"/>
  <c r="AX21" i="6"/>
  <c r="AX21" i="7"/>
  <c r="AW20" i="2"/>
  <c r="AW20" i="6"/>
  <c r="AW20" i="7"/>
  <c r="AV19" i="2"/>
  <c r="AV19" i="6"/>
  <c r="AV19" i="7"/>
  <c r="AU18" i="2"/>
  <c r="AU18" i="6"/>
  <c r="AU18" i="7"/>
  <c r="AT17" i="2"/>
  <c r="AT17" i="6"/>
  <c r="AT17" i="7"/>
  <c r="AS16" i="2"/>
  <c r="AS16" i="6"/>
  <c r="AS16" i="7"/>
  <c r="BA25" i="1"/>
  <c r="AZ24" i="2"/>
  <c r="AZ24" i="6"/>
  <c r="AZ24" i="7"/>
  <c r="AY23" i="2"/>
  <c r="AY23" i="6"/>
  <c r="AY23" i="7"/>
  <c r="AX22" i="2"/>
  <c r="AX22" i="6"/>
  <c r="AX22" i="7"/>
  <c r="AW21" i="2"/>
  <c r="AW21" i="6"/>
  <c r="AW21" i="7"/>
  <c r="AV20" i="2"/>
  <c r="AV20" i="6"/>
  <c r="AV20" i="7"/>
  <c r="AU19" i="2"/>
  <c r="AU19" i="6"/>
  <c r="AU19" i="7"/>
  <c r="AT18" i="2"/>
  <c r="AT18" i="6"/>
  <c r="AT18" i="7"/>
  <c r="AS17" i="2"/>
  <c r="AS17" i="6"/>
  <c r="AS17" i="7"/>
  <c r="AR16" i="2"/>
  <c r="AR16" i="6"/>
  <c r="AR16" i="7"/>
  <c r="BA26" i="1"/>
  <c r="AZ25" i="2"/>
  <c r="AZ25" i="6"/>
  <c r="AZ25" i="7"/>
  <c r="AY24" i="2"/>
  <c r="AY24" i="6"/>
  <c r="AY24" i="7"/>
  <c r="AX23" i="2"/>
  <c r="AX23" i="6"/>
  <c r="AX23" i="7"/>
  <c r="AW22" i="2"/>
  <c r="AW22" i="6"/>
  <c r="AW22" i="7"/>
  <c r="AV21" i="2"/>
  <c r="AV21" i="6"/>
  <c r="AV21" i="7"/>
  <c r="AU20" i="2"/>
  <c r="AU20" i="6"/>
  <c r="AU20" i="7"/>
  <c r="AT19" i="2"/>
  <c r="AT19" i="6"/>
  <c r="AT19" i="7"/>
  <c r="AS18" i="2"/>
  <c r="AS18" i="6"/>
  <c r="AS18" i="7"/>
  <c r="AR17" i="2"/>
  <c r="AR17" i="6"/>
  <c r="AR17" i="7"/>
  <c r="AQ16" i="2"/>
  <c r="AQ16" i="6"/>
  <c r="AQ16" i="7"/>
  <c r="BA27" i="1"/>
  <c r="AZ26" i="2"/>
  <c r="AZ26" i="6"/>
  <c r="AZ26" i="7"/>
  <c r="AY25" i="2"/>
  <c r="AY25" i="6"/>
  <c r="AY25" i="7"/>
  <c r="AX24" i="2"/>
  <c r="AX24" i="6"/>
  <c r="AX24" i="7"/>
  <c r="AW23" i="2"/>
  <c r="AW23" i="6"/>
  <c r="AW23" i="7"/>
  <c r="AV22" i="2"/>
  <c r="AV22" i="6"/>
  <c r="AV22" i="7"/>
  <c r="AU21" i="2"/>
  <c r="AU21" i="6"/>
  <c r="AU21" i="7"/>
  <c r="AT20" i="2"/>
  <c r="AT20" i="6"/>
  <c r="AT20" i="7"/>
  <c r="AS19" i="2"/>
  <c r="AS19" i="6"/>
  <c r="AS19" i="7"/>
  <c r="AR18" i="2"/>
  <c r="AR18" i="6"/>
  <c r="AR18" i="7"/>
  <c r="AQ17" i="2"/>
  <c r="AQ17" i="6"/>
  <c r="AQ17" i="7"/>
  <c r="AP16" i="2"/>
  <c r="AP16" i="6"/>
  <c r="AP16" i="7"/>
  <c r="BA28" i="1"/>
  <c r="AZ27" i="2"/>
  <c r="AZ27" i="6"/>
  <c r="AZ27" i="7"/>
  <c r="AY26" i="2"/>
  <c r="AY26" i="6"/>
  <c r="AY26" i="7"/>
  <c r="AX25" i="2"/>
  <c r="AX25" i="6"/>
  <c r="AX25" i="7"/>
  <c r="AW24" i="2"/>
  <c r="AW24" i="6"/>
  <c r="AW24" i="7"/>
  <c r="AW24" i="8"/>
  <c r="AV23" i="2"/>
  <c r="AV23" i="6"/>
  <c r="AV23" i="7"/>
  <c r="AU22" i="2"/>
  <c r="AU22" i="6"/>
  <c r="AU22" i="7"/>
  <c r="AT21" i="2"/>
  <c r="AT21" i="6"/>
  <c r="AT21" i="7"/>
  <c r="AS20" i="2"/>
  <c r="AS20" i="6"/>
  <c r="AS20" i="7"/>
  <c r="AR19" i="2"/>
  <c r="AR19" i="6"/>
  <c r="AR19" i="7"/>
  <c r="AQ18" i="2"/>
  <c r="AQ18" i="6"/>
  <c r="AQ18" i="7"/>
  <c r="AP17" i="2"/>
  <c r="AP17" i="6"/>
  <c r="AP17" i="7"/>
  <c r="AO16" i="2"/>
  <c r="AO16" i="6"/>
  <c r="AO16" i="7"/>
  <c r="BA29" i="1"/>
  <c r="AZ28" i="2"/>
  <c r="AZ28" i="6"/>
  <c r="AZ28" i="7"/>
  <c r="AY27" i="2"/>
  <c r="AY27" i="6"/>
  <c r="AY27" i="7"/>
  <c r="AX26" i="2"/>
  <c r="AX26" i="6"/>
  <c r="AX26" i="7"/>
  <c r="AW25" i="2"/>
  <c r="AW25" i="6"/>
  <c r="AW25" i="7"/>
  <c r="AV24" i="2"/>
  <c r="AV24" i="6"/>
  <c r="AV24" i="7"/>
  <c r="AU23" i="2"/>
  <c r="AU23" i="6"/>
  <c r="AU23" i="7"/>
  <c r="AT22" i="2"/>
  <c r="AT22" i="6"/>
  <c r="AT22" i="7"/>
  <c r="AS21" i="2"/>
  <c r="AS21" i="6"/>
  <c r="AS21" i="7"/>
  <c r="AR20" i="2"/>
  <c r="AR20" i="6"/>
  <c r="AR20" i="7"/>
  <c r="AQ19" i="2"/>
  <c r="AQ19" i="6"/>
  <c r="AQ19" i="7"/>
  <c r="AP18" i="2"/>
  <c r="AP18" i="6"/>
  <c r="AP18" i="7"/>
  <c r="AO17" i="2"/>
  <c r="AO17" i="6"/>
  <c r="AO17" i="7"/>
  <c r="AN16" i="2"/>
  <c r="AN16" i="6"/>
  <c r="AN16" i="7"/>
  <c r="BA30" i="1"/>
  <c r="AZ29" i="2"/>
  <c r="AZ29" i="6"/>
  <c r="AZ29" i="7"/>
  <c r="AY28" i="2"/>
  <c r="AY28" i="6"/>
  <c r="AY28" i="7"/>
  <c r="AX27" i="2"/>
  <c r="AX27" i="6"/>
  <c r="AX27" i="7"/>
  <c r="AW26" i="2"/>
  <c r="AW26" i="6"/>
  <c r="AW26" i="7"/>
  <c r="AV25" i="2"/>
  <c r="AV25" i="6"/>
  <c r="AV25" i="7"/>
  <c r="AV25" i="8"/>
  <c r="AU24" i="2"/>
  <c r="AU24" i="6"/>
  <c r="AU24" i="7"/>
  <c r="AT23" i="2"/>
  <c r="AT23" i="6"/>
  <c r="AT23" i="7"/>
  <c r="AS22" i="2"/>
  <c r="AS22" i="6"/>
  <c r="AS22" i="7"/>
  <c r="AR21" i="2"/>
  <c r="AR21" i="6"/>
  <c r="AR21" i="7"/>
  <c r="AQ20" i="2"/>
  <c r="AQ20" i="6"/>
  <c r="AQ20" i="7"/>
  <c r="AP19" i="2"/>
  <c r="AP19" i="6"/>
  <c r="AP19" i="7"/>
  <c r="AO18" i="2"/>
  <c r="AO18" i="6"/>
  <c r="AO18" i="7"/>
  <c r="AO18" i="8"/>
  <c r="AN17" i="2"/>
  <c r="AN17" i="6"/>
  <c r="AN17" i="7"/>
  <c r="AM16" i="2"/>
  <c r="AM16" i="6"/>
  <c r="AM16" i="7"/>
  <c r="BA31" i="1"/>
  <c r="AZ30" i="2"/>
  <c r="AZ30" i="6"/>
  <c r="AZ30" i="7"/>
  <c r="AY29" i="2"/>
  <c r="AY29" i="6"/>
  <c r="AY29" i="7"/>
  <c r="AX28" i="2"/>
  <c r="AX28" i="6"/>
  <c r="AX28" i="7"/>
  <c r="AW27" i="2"/>
  <c r="AW27" i="6"/>
  <c r="AW27" i="7"/>
  <c r="AV26" i="2"/>
  <c r="AV26" i="6"/>
  <c r="AV26" i="7"/>
  <c r="AU25" i="2"/>
  <c r="AU25" i="6"/>
  <c r="AU25" i="7"/>
  <c r="AT24" i="2"/>
  <c r="AT24" i="6"/>
  <c r="AT24" i="7"/>
  <c r="AS23" i="2"/>
  <c r="AS23" i="6"/>
  <c r="AS23" i="7"/>
  <c r="AR22" i="2"/>
  <c r="AR22" i="6"/>
  <c r="AR22" i="7"/>
  <c r="AQ21" i="2"/>
  <c r="AQ21" i="6"/>
  <c r="AQ21" i="7"/>
  <c r="AP20" i="2"/>
  <c r="AP20" i="6"/>
  <c r="AP20" i="7"/>
  <c r="AO19" i="2"/>
  <c r="AO19" i="6"/>
  <c r="AO19" i="7"/>
  <c r="AN18" i="2"/>
  <c r="AN18" i="6"/>
  <c r="AN18" i="7"/>
  <c r="AM17" i="2"/>
  <c r="AM17" i="6"/>
  <c r="AM17" i="7"/>
  <c r="AL16" i="2"/>
  <c r="AL16" i="6"/>
  <c r="AL16" i="7"/>
  <c r="BA32" i="1"/>
  <c r="AZ31" i="2"/>
  <c r="AZ31" i="6"/>
  <c r="AZ31" i="7"/>
  <c r="AY30" i="2"/>
  <c r="AY30" i="6"/>
  <c r="AY30" i="7"/>
  <c r="AX29" i="2"/>
  <c r="AX29" i="6"/>
  <c r="AX29" i="7"/>
  <c r="AW28" i="2"/>
  <c r="AW28" i="6"/>
  <c r="AW28" i="7"/>
  <c r="AV27" i="2"/>
  <c r="AV27" i="6"/>
  <c r="AV27" i="7"/>
  <c r="AU26" i="2"/>
  <c r="AU26" i="6"/>
  <c r="AU26" i="7"/>
  <c r="AT25" i="2"/>
  <c r="AT25" i="6"/>
  <c r="AT25" i="7"/>
  <c r="AS24" i="2"/>
  <c r="AS24" i="6"/>
  <c r="AS24" i="7"/>
  <c r="AR23" i="2"/>
  <c r="AR23" i="6"/>
  <c r="AR23" i="7"/>
  <c r="AQ22" i="2"/>
  <c r="AQ22" i="6"/>
  <c r="AQ22" i="7"/>
  <c r="AP21" i="2"/>
  <c r="AP21" i="6"/>
  <c r="AP21" i="7"/>
  <c r="AO20" i="2"/>
  <c r="AO20" i="6"/>
  <c r="AO20" i="7"/>
  <c r="AN19" i="2"/>
  <c r="AN19" i="6"/>
  <c r="AN19" i="7"/>
  <c r="AM18" i="2"/>
  <c r="AM18" i="6"/>
  <c r="AM18" i="7"/>
  <c r="AL17" i="2"/>
  <c r="AL17" i="6"/>
  <c r="AL17" i="7"/>
  <c r="AK16" i="2"/>
  <c r="AK16" i="6"/>
  <c r="AK16" i="7"/>
  <c r="BA33" i="1"/>
  <c r="AZ32" i="2"/>
  <c r="AZ32" i="6"/>
  <c r="AZ32" i="7"/>
  <c r="AY31" i="2"/>
  <c r="AY31" i="6"/>
  <c r="AY31" i="7"/>
  <c r="AX30" i="2"/>
  <c r="AX30" i="6"/>
  <c r="AX30" i="7"/>
  <c r="AW29" i="2"/>
  <c r="AW29" i="6"/>
  <c r="AW29" i="7"/>
  <c r="AV28" i="2"/>
  <c r="AV28" i="6"/>
  <c r="AV28" i="7"/>
  <c r="AU27" i="2"/>
  <c r="AU27" i="6"/>
  <c r="AU27" i="7"/>
  <c r="AT26" i="2"/>
  <c r="AT26" i="6"/>
  <c r="AT26" i="7"/>
  <c r="AS25" i="2"/>
  <c r="AS25" i="6"/>
  <c r="AS25" i="7"/>
  <c r="AR24" i="2"/>
  <c r="AR24" i="6"/>
  <c r="AR24" i="7"/>
  <c r="AQ23" i="2"/>
  <c r="AQ23" i="6"/>
  <c r="AQ23" i="7"/>
  <c r="AP22" i="2"/>
  <c r="AP22" i="6"/>
  <c r="AP22" i="7"/>
  <c r="AO21" i="2"/>
  <c r="AO21" i="6"/>
  <c r="AO21" i="7"/>
  <c r="AN20" i="2"/>
  <c r="AN20" i="6"/>
  <c r="AN20" i="7"/>
  <c r="AM19" i="2"/>
  <c r="AM19" i="6"/>
  <c r="AM19" i="7"/>
  <c r="AL18" i="2"/>
  <c r="AL18" i="6"/>
  <c r="AL18" i="7"/>
  <c r="AK17" i="2"/>
  <c r="AK17" i="6"/>
  <c r="AK17" i="7"/>
  <c r="AJ16" i="2"/>
  <c r="AJ16" i="6"/>
  <c r="AJ16" i="7"/>
  <c r="BA34" i="1"/>
  <c r="AZ33" i="2"/>
  <c r="AZ33" i="6"/>
  <c r="AZ33" i="7"/>
  <c r="AY32" i="2"/>
  <c r="AY32" i="6"/>
  <c r="AY32" i="7"/>
  <c r="AX31" i="2"/>
  <c r="AX31" i="6"/>
  <c r="AX31" i="7"/>
  <c r="AW30" i="2"/>
  <c r="AW30" i="6"/>
  <c r="AW30" i="7"/>
  <c r="AV29" i="2"/>
  <c r="AV29" i="6"/>
  <c r="AV29" i="7"/>
  <c r="AU28" i="2"/>
  <c r="AU28" i="6"/>
  <c r="AU28" i="7"/>
  <c r="AT27" i="2"/>
  <c r="AT27" i="6"/>
  <c r="AT27" i="7"/>
  <c r="AS26" i="2"/>
  <c r="AS26" i="6"/>
  <c r="AS26" i="7"/>
  <c r="AR25" i="2"/>
  <c r="AR25" i="6"/>
  <c r="AR25" i="7"/>
  <c r="AQ24" i="2"/>
  <c r="AQ24" i="6"/>
  <c r="AQ24" i="7"/>
  <c r="AP23" i="2"/>
  <c r="AP23" i="6"/>
  <c r="AP23" i="7"/>
  <c r="AO22" i="2"/>
  <c r="AO22" i="6"/>
  <c r="AO22" i="7"/>
  <c r="AN21" i="2"/>
  <c r="AN21" i="6"/>
  <c r="AN21" i="7"/>
  <c r="AM20" i="2"/>
  <c r="AM20" i="6"/>
  <c r="AM20" i="7"/>
  <c r="AL19" i="2"/>
  <c r="AL19" i="6"/>
  <c r="AL19" i="7"/>
  <c r="AK18" i="2"/>
  <c r="AK18" i="6"/>
  <c r="AK18" i="7"/>
  <c r="AJ17" i="2"/>
  <c r="AJ17" i="6"/>
  <c r="AJ17" i="7"/>
  <c r="AI16" i="2"/>
  <c r="AI16" i="6"/>
  <c r="AI16" i="7"/>
  <c r="BA35" i="1"/>
  <c r="AZ34" i="2"/>
  <c r="AZ34" i="6"/>
  <c r="AZ34" i="7"/>
  <c r="AY33" i="2"/>
  <c r="AY33" i="6"/>
  <c r="AY33" i="7"/>
  <c r="AX32" i="2"/>
  <c r="AX32" i="6"/>
  <c r="AX32" i="7"/>
  <c r="AW31" i="2"/>
  <c r="AW31" i="6"/>
  <c r="AW31" i="7"/>
  <c r="AV30" i="2"/>
  <c r="AV30" i="6"/>
  <c r="AV30" i="7"/>
  <c r="AU29" i="2"/>
  <c r="AU29" i="6"/>
  <c r="AU29" i="7"/>
  <c r="AU29" i="8"/>
  <c r="AT28" i="2"/>
  <c r="AT28" i="6"/>
  <c r="AT28" i="7"/>
  <c r="AS27" i="2"/>
  <c r="AS27" i="6"/>
  <c r="AS27" i="7"/>
  <c r="AR26" i="2"/>
  <c r="AR26" i="6"/>
  <c r="AR26" i="7"/>
  <c r="AQ25" i="2"/>
  <c r="AQ25" i="6"/>
  <c r="AQ25" i="7"/>
  <c r="AP24" i="2"/>
  <c r="AP24" i="6"/>
  <c r="AP24" i="7"/>
  <c r="AO23" i="2"/>
  <c r="AO23" i="6"/>
  <c r="AO23" i="7"/>
  <c r="AN22" i="2"/>
  <c r="AN22" i="6"/>
  <c r="AN22" i="7"/>
  <c r="AM21" i="2"/>
  <c r="AM21" i="6"/>
  <c r="AM21" i="7"/>
  <c r="AL20" i="2"/>
  <c r="AL20" i="6"/>
  <c r="AL20" i="7"/>
  <c r="AK19" i="2"/>
  <c r="AK19" i="6"/>
  <c r="AK19" i="7"/>
  <c r="AJ18" i="2"/>
  <c r="AJ18" i="6"/>
  <c r="AJ18" i="7"/>
  <c r="AI17" i="2"/>
  <c r="AI17" i="6"/>
  <c r="AI17" i="7"/>
  <c r="AH16" i="2"/>
  <c r="AH16" i="6"/>
  <c r="AH16" i="7"/>
  <c r="BA36" i="1"/>
  <c r="AZ35" i="2"/>
  <c r="AZ35" i="6"/>
  <c r="AZ35" i="7"/>
  <c r="AY34" i="2"/>
  <c r="AY34" i="6"/>
  <c r="AY34" i="7"/>
  <c r="AY34" i="8"/>
  <c r="AX33" i="2"/>
  <c r="AX33" i="6"/>
  <c r="AX33" i="7"/>
  <c r="AW32" i="2"/>
  <c r="AW32" i="6"/>
  <c r="AW32" i="7"/>
  <c r="AV31" i="2"/>
  <c r="AV31" i="6"/>
  <c r="AV31" i="7"/>
  <c r="AU30" i="2"/>
  <c r="AU30" i="6"/>
  <c r="AU30" i="7"/>
  <c r="AT29" i="2"/>
  <c r="AT29" i="6"/>
  <c r="AT29" i="7"/>
  <c r="AS28" i="2"/>
  <c r="AS28" i="6"/>
  <c r="AS28" i="7"/>
  <c r="AR27" i="2"/>
  <c r="AR27" i="6"/>
  <c r="AR27" i="7"/>
  <c r="AQ26" i="2"/>
  <c r="AQ26" i="6"/>
  <c r="AQ26" i="7"/>
  <c r="AQ26" i="8"/>
  <c r="AP25" i="2"/>
  <c r="AP25" i="6"/>
  <c r="AP25" i="7"/>
  <c r="AO24" i="2"/>
  <c r="AO24" i="6"/>
  <c r="AO24" i="7"/>
  <c r="AN23" i="2"/>
  <c r="AN23" i="6"/>
  <c r="AN23" i="7"/>
  <c r="AM22" i="2"/>
  <c r="AM22" i="6"/>
  <c r="AM22" i="7"/>
  <c r="AL21" i="2"/>
  <c r="AL21" i="6"/>
  <c r="AL21" i="7"/>
  <c r="AK20" i="2"/>
  <c r="AK20" i="6"/>
  <c r="AK20" i="7"/>
  <c r="AJ19" i="2"/>
  <c r="AJ19" i="6"/>
  <c r="AJ19" i="7"/>
  <c r="AI18" i="2"/>
  <c r="AI18" i="6"/>
  <c r="AI18" i="7"/>
  <c r="AH17" i="2"/>
  <c r="AH17" i="6"/>
  <c r="AH17" i="7"/>
  <c r="AG16" i="2"/>
  <c r="AG16" i="6"/>
  <c r="AG16" i="7"/>
  <c r="BA37" i="1"/>
  <c r="AZ36" i="2"/>
  <c r="AZ36" i="6"/>
  <c r="AZ36" i="7"/>
  <c r="AY35" i="2"/>
  <c r="AY35" i="6"/>
  <c r="AY35" i="7"/>
  <c r="AX34" i="2"/>
  <c r="AX34" i="6"/>
  <c r="AX34" i="7"/>
  <c r="AW33" i="2"/>
  <c r="AW33" i="6"/>
  <c r="AW33" i="7"/>
  <c r="AV32" i="2"/>
  <c r="AV32" i="6"/>
  <c r="AV32" i="7"/>
  <c r="AU31" i="2"/>
  <c r="AU31" i="6"/>
  <c r="AU31" i="7"/>
  <c r="AT30" i="2"/>
  <c r="AT30" i="6"/>
  <c r="AT30" i="7"/>
  <c r="AS29" i="2"/>
  <c r="AS29" i="6"/>
  <c r="AS29" i="7"/>
  <c r="AR28" i="2"/>
  <c r="AR28" i="6"/>
  <c r="AR28" i="7"/>
  <c r="AQ27" i="2"/>
  <c r="AQ27" i="6"/>
  <c r="AQ27" i="7"/>
  <c r="AP26" i="2"/>
  <c r="AP26" i="6"/>
  <c r="AP26" i="7"/>
  <c r="AO25" i="2"/>
  <c r="AO25" i="6"/>
  <c r="AO25" i="7"/>
  <c r="AN24" i="2"/>
  <c r="AN24" i="6"/>
  <c r="AN24" i="7"/>
  <c r="AM23" i="2"/>
  <c r="AM23" i="6"/>
  <c r="AM23" i="7"/>
  <c r="AL22" i="2"/>
  <c r="AL22" i="6"/>
  <c r="AL22" i="7"/>
  <c r="AK21" i="2"/>
  <c r="AK21" i="6"/>
  <c r="AK21" i="7"/>
  <c r="AJ20" i="2"/>
  <c r="AJ20" i="6"/>
  <c r="AJ20" i="7"/>
  <c r="AJ20" i="8"/>
  <c r="AI19" i="2"/>
  <c r="AI19" i="6"/>
  <c r="AI19" i="7"/>
  <c r="AH18" i="2"/>
  <c r="AH18" i="6"/>
  <c r="AH18" i="7"/>
  <c r="AG17" i="2"/>
  <c r="AG17" i="6"/>
  <c r="AG17" i="7"/>
  <c r="AF16" i="2"/>
  <c r="AF16" i="6"/>
  <c r="AF16" i="7"/>
  <c r="BA38" i="1"/>
  <c r="AZ37" i="2"/>
  <c r="AZ37" i="6"/>
  <c r="AZ37" i="7"/>
  <c r="AY36" i="2"/>
  <c r="AY36" i="6"/>
  <c r="AY36" i="7"/>
  <c r="AX35" i="2"/>
  <c r="AX35" i="6"/>
  <c r="AX35" i="7"/>
  <c r="AW34" i="2"/>
  <c r="AW34" i="6"/>
  <c r="AW34" i="7"/>
  <c r="AV33" i="2"/>
  <c r="AV33" i="6"/>
  <c r="AV33" i="7"/>
  <c r="AU32" i="2"/>
  <c r="AU32" i="6"/>
  <c r="AU32" i="7"/>
  <c r="AT31" i="2"/>
  <c r="AT31" i="6"/>
  <c r="AT31" i="7"/>
  <c r="AS30" i="2"/>
  <c r="AS30" i="6"/>
  <c r="AS30" i="7"/>
  <c r="AR29" i="2"/>
  <c r="AR29" i="6"/>
  <c r="AR29" i="7"/>
  <c r="AQ28" i="2"/>
  <c r="AQ28" i="6"/>
  <c r="AQ28" i="7"/>
  <c r="AP27" i="2"/>
  <c r="AP27" i="6"/>
  <c r="AP27" i="7"/>
  <c r="AO26" i="2"/>
  <c r="AO26" i="6"/>
  <c r="AO26" i="7"/>
  <c r="AN25" i="2"/>
  <c r="AN25" i="6"/>
  <c r="AN25" i="7"/>
  <c r="AM24" i="2"/>
  <c r="AM24" i="6"/>
  <c r="AM24" i="7"/>
  <c r="AL23" i="2"/>
  <c r="AL23" i="6"/>
  <c r="AL23" i="7"/>
  <c r="AK22" i="2"/>
  <c r="AK22" i="6"/>
  <c r="AK22" i="7"/>
  <c r="AJ21" i="2"/>
  <c r="AJ21" i="6"/>
  <c r="AJ21" i="7"/>
  <c r="AI20" i="2"/>
  <c r="AI20" i="6"/>
  <c r="AI20" i="7"/>
  <c r="AH19" i="2"/>
  <c r="AH19" i="6"/>
  <c r="AH19" i="7"/>
  <c r="AG18" i="2"/>
  <c r="AG18" i="6"/>
  <c r="AG18" i="7"/>
  <c r="AF17" i="2"/>
  <c r="AF17" i="6"/>
  <c r="AF17" i="7"/>
  <c r="BA39" i="1"/>
  <c r="AZ38" i="2"/>
  <c r="AZ38" i="6"/>
  <c r="AZ38" i="7"/>
  <c r="AY37" i="2"/>
  <c r="AY37" i="6"/>
  <c r="AY37" i="7"/>
  <c r="AX36" i="2"/>
  <c r="AX36" i="6"/>
  <c r="AX36" i="7"/>
  <c r="AW35" i="2"/>
  <c r="AW35" i="6"/>
  <c r="AW35" i="7"/>
  <c r="AV34" i="2"/>
  <c r="AV34" i="6"/>
  <c r="AV34" i="7"/>
  <c r="AU33" i="2"/>
  <c r="AU33" i="6"/>
  <c r="AU33" i="7"/>
  <c r="AT32" i="2"/>
  <c r="AT32" i="6"/>
  <c r="AT32" i="7"/>
  <c r="AS31" i="2"/>
  <c r="AS31" i="6"/>
  <c r="AS31" i="7"/>
  <c r="AR30" i="2"/>
  <c r="AR30" i="6"/>
  <c r="AR30" i="7"/>
  <c r="AQ29" i="2"/>
  <c r="AQ29" i="6"/>
  <c r="AQ29" i="7"/>
  <c r="AP28" i="2"/>
  <c r="AP28" i="6"/>
  <c r="AP28" i="7"/>
  <c r="AO27" i="2"/>
  <c r="AO27" i="6"/>
  <c r="AO27" i="7"/>
  <c r="AN26" i="2"/>
  <c r="AN26" i="6"/>
  <c r="AN26" i="7"/>
  <c r="AM25" i="2"/>
  <c r="AM25" i="6"/>
  <c r="AM25" i="7"/>
  <c r="AL24" i="2"/>
  <c r="AL24" i="6"/>
  <c r="AL24" i="7"/>
  <c r="AK23" i="2"/>
  <c r="AK23" i="6"/>
  <c r="AK23" i="7"/>
  <c r="AJ22" i="2"/>
  <c r="AJ22" i="6"/>
  <c r="AJ22" i="7"/>
  <c r="AJ22" i="8"/>
  <c r="AI21" i="2"/>
  <c r="AI21" i="6"/>
  <c r="AI21" i="7"/>
  <c r="AH20" i="2"/>
  <c r="AH20" i="6"/>
  <c r="AH20" i="7"/>
  <c r="AG19" i="2"/>
  <c r="AG19" i="6"/>
  <c r="AG19" i="7"/>
  <c r="AF18" i="2"/>
  <c r="AF18" i="6"/>
  <c r="AF18" i="7"/>
  <c r="AE17" i="2"/>
  <c r="AE17" i="6"/>
  <c r="AE17" i="7"/>
  <c r="BA40" i="1"/>
  <c r="AZ39" i="2"/>
  <c r="AZ39" i="6"/>
  <c r="AZ39" i="7"/>
  <c r="AY38" i="2"/>
  <c r="AY38" i="6"/>
  <c r="AY38" i="7"/>
  <c r="AX37" i="2"/>
  <c r="AX37" i="6"/>
  <c r="AX37" i="7"/>
  <c r="AW36" i="2"/>
  <c r="AW36" i="6"/>
  <c r="AW36" i="7"/>
  <c r="AV35" i="2"/>
  <c r="AV35" i="6"/>
  <c r="AV35" i="7"/>
  <c r="AU34" i="2"/>
  <c r="AU34" i="6"/>
  <c r="AU34" i="7"/>
  <c r="AT33" i="2"/>
  <c r="AT33" i="6"/>
  <c r="AT33" i="7"/>
  <c r="AS32" i="2"/>
  <c r="AS32" i="6"/>
  <c r="AS32" i="7"/>
  <c r="AR31" i="2"/>
  <c r="AR31" i="6"/>
  <c r="AR31" i="7"/>
  <c r="AQ30" i="2"/>
  <c r="AQ30" i="6"/>
  <c r="AQ30" i="7"/>
  <c r="AP29" i="2"/>
  <c r="AP29" i="6"/>
  <c r="AP29" i="7"/>
  <c r="AO28" i="2"/>
  <c r="AO28" i="6"/>
  <c r="AO28" i="7"/>
  <c r="AN27" i="2"/>
  <c r="AN27" i="6"/>
  <c r="AN27" i="7"/>
  <c r="AM26" i="2"/>
  <c r="AM26" i="6"/>
  <c r="AM26" i="7"/>
  <c r="AL25" i="2"/>
  <c r="AL25" i="6"/>
  <c r="AL25" i="7"/>
  <c r="AK24" i="2"/>
  <c r="AK24" i="6"/>
  <c r="AK24" i="7"/>
  <c r="AJ23" i="2"/>
  <c r="AJ23" i="6"/>
  <c r="AJ23" i="7"/>
  <c r="AI22" i="2"/>
  <c r="AI22" i="6"/>
  <c r="AI22" i="7"/>
  <c r="AH21" i="2"/>
  <c r="AH21" i="6"/>
  <c r="AH21" i="7"/>
  <c r="AG20" i="2"/>
  <c r="AG20" i="6"/>
  <c r="AG20" i="7"/>
  <c r="AF19" i="2"/>
  <c r="AF19" i="6"/>
  <c r="AF19" i="7"/>
  <c r="AE18" i="2"/>
  <c r="AE18" i="6"/>
  <c r="AE18" i="7"/>
  <c r="BA41" i="1"/>
  <c r="AZ40" i="2"/>
  <c r="AZ40" i="6"/>
  <c r="AZ40" i="7"/>
  <c r="AY39" i="2"/>
  <c r="AY39" i="6"/>
  <c r="AY39" i="7"/>
  <c r="AX38" i="2"/>
  <c r="AX38" i="6"/>
  <c r="AX38" i="7"/>
  <c r="AW37" i="2"/>
  <c r="AW37" i="6"/>
  <c r="AW37" i="7"/>
  <c r="AV36" i="2"/>
  <c r="AV36" i="6"/>
  <c r="AV36" i="7"/>
  <c r="AU35" i="2"/>
  <c r="AU35" i="6"/>
  <c r="AU35" i="7"/>
  <c r="AT34" i="2"/>
  <c r="AT34" i="6"/>
  <c r="AT34" i="7"/>
  <c r="AS33" i="2"/>
  <c r="AS33" i="6"/>
  <c r="AS33" i="7"/>
  <c r="AR32" i="2"/>
  <c r="AR32" i="6"/>
  <c r="AR32" i="7"/>
  <c r="AR32" i="8"/>
  <c r="AQ31" i="2"/>
  <c r="AQ31" i="6"/>
  <c r="AQ31" i="7"/>
  <c r="AP30" i="2"/>
  <c r="AP30" i="6"/>
  <c r="AP30" i="7"/>
  <c r="AO29" i="2"/>
  <c r="AO29" i="6"/>
  <c r="AO29" i="7"/>
  <c r="AN28" i="2"/>
  <c r="AN28" i="6"/>
  <c r="AN28" i="7"/>
  <c r="AM27" i="2"/>
  <c r="AM27" i="6"/>
  <c r="AM27" i="7"/>
  <c r="AL26" i="2"/>
  <c r="AL26" i="6"/>
  <c r="AL26" i="7"/>
  <c r="AK25" i="2"/>
  <c r="AK25" i="6"/>
  <c r="AK25" i="7"/>
  <c r="AJ24" i="2"/>
  <c r="AJ24" i="6"/>
  <c r="AJ24" i="7"/>
  <c r="AI23" i="2"/>
  <c r="AI23" i="6"/>
  <c r="AI23" i="7"/>
  <c r="AH22" i="2"/>
  <c r="AH22" i="6"/>
  <c r="AH22" i="7"/>
  <c r="AG21" i="2"/>
  <c r="AG21" i="6"/>
  <c r="AG21" i="7"/>
  <c r="AF20" i="2"/>
  <c r="AF20" i="6"/>
  <c r="AF20" i="7"/>
  <c r="AE19" i="2"/>
  <c r="AE19" i="6"/>
  <c r="AE19" i="7"/>
  <c r="AD18" i="2"/>
  <c r="AD18" i="6"/>
  <c r="AD18" i="7"/>
  <c r="BA42" i="1"/>
  <c r="AZ41" i="2"/>
  <c r="AZ41" i="6"/>
  <c r="AZ41" i="7"/>
  <c r="AY40" i="2"/>
  <c r="AY40" i="6"/>
  <c r="AY40" i="7"/>
  <c r="AX39" i="2"/>
  <c r="AX39" i="6"/>
  <c r="AX39" i="7"/>
  <c r="AW38" i="2"/>
  <c r="AW38" i="6"/>
  <c r="AW38" i="7"/>
  <c r="AV37" i="2"/>
  <c r="AV37" i="6"/>
  <c r="AV37" i="7"/>
  <c r="AU36" i="2"/>
  <c r="AU36" i="6"/>
  <c r="AU36" i="7"/>
  <c r="AT35" i="2"/>
  <c r="AT35" i="6"/>
  <c r="AT35" i="7"/>
  <c r="AS34" i="2"/>
  <c r="AS34" i="6"/>
  <c r="AS34" i="7"/>
  <c r="AR33" i="2"/>
  <c r="AR33" i="6"/>
  <c r="AR33" i="7"/>
  <c r="AQ32" i="2"/>
  <c r="AQ32" i="6"/>
  <c r="AQ32" i="7"/>
  <c r="AP31" i="2"/>
  <c r="AP31" i="6"/>
  <c r="AP31" i="7"/>
  <c r="AP31" i="8"/>
  <c r="AO30" i="2"/>
  <c r="AO30" i="6"/>
  <c r="AO30" i="7"/>
  <c r="AN29" i="2"/>
  <c r="AN29" i="6"/>
  <c r="AN29" i="7"/>
  <c r="AM28" i="2"/>
  <c r="AM28" i="6"/>
  <c r="AM28" i="7"/>
  <c r="AL27" i="2"/>
  <c r="AL27" i="6"/>
  <c r="AL27" i="7"/>
  <c r="AK26" i="2"/>
  <c r="AK26" i="6"/>
  <c r="AK26" i="7"/>
  <c r="AJ25" i="2"/>
  <c r="AJ25" i="6"/>
  <c r="AJ25" i="7"/>
  <c r="AI24" i="2"/>
  <c r="AI24" i="6"/>
  <c r="AI24" i="7"/>
  <c r="AH23" i="2"/>
  <c r="AH23" i="6"/>
  <c r="AH23" i="7"/>
  <c r="AG22" i="2"/>
  <c r="AG22" i="6"/>
  <c r="AG22" i="7"/>
  <c r="AF21" i="2"/>
  <c r="AF21" i="6"/>
  <c r="AF21" i="7"/>
  <c r="AE20" i="2"/>
  <c r="AE20" i="6"/>
  <c r="AE20" i="7"/>
  <c r="AD19" i="2"/>
  <c r="AD19" i="6"/>
  <c r="AD19" i="7"/>
  <c r="BA43" i="1"/>
  <c r="AZ42" i="2"/>
  <c r="AZ42" i="6"/>
  <c r="AZ42" i="7"/>
  <c r="AY41" i="2"/>
  <c r="AY41" i="6"/>
  <c r="AY41" i="7"/>
  <c r="AX40" i="2"/>
  <c r="AX40" i="6"/>
  <c r="AX40" i="7"/>
  <c r="AW39" i="2"/>
  <c r="AW39" i="6"/>
  <c r="AW39" i="7"/>
  <c r="AV38" i="2"/>
  <c r="AV38" i="6"/>
  <c r="AV38" i="7"/>
  <c r="AV38" i="8"/>
  <c r="AU37" i="2"/>
  <c r="AU37" i="6"/>
  <c r="AU37" i="7"/>
  <c r="AT36" i="2"/>
  <c r="AT36" i="6"/>
  <c r="AT36" i="7"/>
  <c r="AS35" i="2"/>
  <c r="AS35" i="6"/>
  <c r="AS35" i="7"/>
  <c r="AR34" i="2"/>
  <c r="AR34" i="6"/>
  <c r="AR34" i="7"/>
  <c r="AQ33" i="2"/>
  <c r="AQ33" i="6"/>
  <c r="AQ33" i="7"/>
  <c r="AP32" i="2"/>
  <c r="AP32" i="6"/>
  <c r="AP32" i="7"/>
  <c r="AO31" i="2"/>
  <c r="AO31" i="6"/>
  <c r="AO31" i="7"/>
  <c r="AN30" i="2"/>
  <c r="AN30" i="6"/>
  <c r="AN30" i="7"/>
  <c r="AM29" i="2"/>
  <c r="AM29" i="6"/>
  <c r="AM29" i="7"/>
  <c r="AL28" i="2"/>
  <c r="AL28" i="6"/>
  <c r="AL28" i="7"/>
  <c r="AK27" i="2"/>
  <c r="AK27" i="6"/>
  <c r="AK27" i="7"/>
  <c r="AJ26" i="2"/>
  <c r="AJ26" i="6"/>
  <c r="AJ26" i="7"/>
  <c r="AI25" i="2"/>
  <c r="AI25" i="6"/>
  <c r="AI25" i="7"/>
  <c r="AH24" i="2"/>
  <c r="AH24" i="6"/>
  <c r="AH24" i="7"/>
  <c r="AG23" i="2"/>
  <c r="AG23" i="6"/>
  <c r="AG23" i="7"/>
  <c r="AF22" i="2"/>
  <c r="AF22" i="6"/>
  <c r="AF22" i="7"/>
  <c r="AE21" i="2"/>
  <c r="AE21" i="6"/>
  <c r="AE21" i="7"/>
  <c r="AD20" i="2"/>
  <c r="AD20" i="6"/>
  <c r="AD20" i="7"/>
  <c r="AC19" i="2"/>
  <c r="AC19" i="6"/>
  <c r="AC19" i="7"/>
  <c r="BA44" i="1"/>
  <c r="AZ43" i="2"/>
  <c r="AZ43" i="6"/>
  <c r="AZ43" i="7"/>
  <c r="AY42" i="2"/>
  <c r="AY42" i="6"/>
  <c r="AY42" i="7"/>
  <c r="AX41" i="2"/>
  <c r="AX41" i="6"/>
  <c r="AX41" i="7"/>
  <c r="AW40" i="2"/>
  <c r="AW40" i="6"/>
  <c r="AW40" i="7"/>
  <c r="AV39" i="2"/>
  <c r="AV39" i="6"/>
  <c r="AV39" i="7"/>
  <c r="AU38" i="2"/>
  <c r="AU38" i="6"/>
  <c r="AU38" i="7"/>
  <c r="AT37" i="2"/>
  <c r="AT37" i="6"/>
  <c r="AT37" i="7"/>
  <c r="AS36" i="2"/>
  <c r="AS36" i="6"/>
  <c r="AS36" i="7"/>
  <c r="AR35" i="2"/>
  <c r="AR35" i="6"/>
  <c r="AR35" i="7"/>
  <c r="AQ34" i="2"/>
  <c r="AQ34" i="6"/>
  <c r="AQ34" i="7"/>
  <c r="AP33" i="2"/>
  <c r="AP33" i="6"/>
  <c r="AP33" i="7"/>
  <c r="AO32" i="2"/>
  <c r="AO32" i="6"/>
  <c r="AO32" i="7"/>
  <c r="AN31" i="2"/>
  <c r="AN31" i="6"/>
  <c r="AN31" i="7"/>
  <c r="AM30" i="2"/>
  <c r="AM30" i="6"/>
  <c r="AM30" i="7"/>
  <c r="AL29" i="2"/>
  <c r="AL29" i="6"/>
  <c r="AL29" i="7"/>
  <c r="AK28" i="2"/>
  <c r="AK28" i="6"/>
  <c r="AK28" i="7"/>
  <c r="AJ27" i="2"/>
  <c r="AJ27" i="6"/>
  <c r="AJ27" i="7"/>
  <c r="AI26" i="2"/>
  <c r="AI26" i="6"/>
  <c r="AI26" i="7"/>
  <c r="AH25" i="2"/>
  <c r="AH25" i="6"/>
  <c r="AH25" i="7"/>
  <c r="AG24" i="2"/>
  <c r="AG24" i="6"/>
  <c r="AG24" i="7"/>
  <c r="AF23" i="2"/>
  <c r="AF23" i="6"/>
  <c r="AF23" i="7"/>
  <c r="AE22" i="2"/>
  <c r="AE22" i="6"/>
  <c r="AE22" i="7"/>
  <c r="AD21" i="2"/>
  <c r="AD21" i="6"/>
  <c r="AD21" i="7"/>
  <c r="AC20" i="2"/>
  <c r="AC20" i="6"/>
  <c r="AC20" i="7"/>
  <c r="BA45" i="1"/>
  <c r="AZ44" i="2"/>
  <c r="AZ44" i="6"/>
  <c r="AZ44" i="7"/>
  <c r="AY43" i="2"/>
  <c r="AY43" i="6"/>
  <c r="AY43" i="7"/>
  <c r="AX42" i="2"/>
  <c r="AX42" i="6"/>
  <c r="AX42" i="7"/>
  <c r="AW41" i="2"/>
  <c r="AW41" i="6"/>
  <c r="AW41" i="7"/>
  <c r="AV40" i="2"/>
  <c r="AV40" i="6"/>
  <c r="AV40" i="7"/>
  <c r="AU39" i="2"/>
  <c r="AU39" i="6"/>
  <c r="AU39" i="7"/>
  <c r="AT38" i="2"/>
  <c r="AT38" i="6"/>
  <c r="AT38" i="7"/>
  <c r="AS37" i="2"/>
  <c r="AS37" i="6"/>
  <c r="AS37" i="7"/>
  <c r="AR36" i="2"/>
  <c r="AR36" i="6"/>
  <c r="AR36" i="7"/>
  <c r="AQ35" i="2"/>
  <c r="AQ35" i="6"/>
  <c r="AQ35" i="7"/>
  <c r="AP34" i="2"/>
  <c r="AP34" i="6"/>
  <c r="AP34" i="7"/>
  <c r="AO33" i="2"/>
  <c r="AO33" i="6"/>
  <c r="AO33" i="7"/>
  <c r="AN32" i="2"/>
  <c r="AN32" i="6"/>
  <c r="AN32" i="7"/>
  <c r="AM31" i="2"/>
  <c r="AM31" i="6"/>
  <c r="AM31" i="7"/>
  <c r="AL30" i="2"/>
  <c r="AL30" i="6"/>
  <c r="AL30" i="7"/>
  <c r="AK29" i="2"/>
  <c r="AK29" i="6"/>
  <c r="AK29" i="7"/>
  <c r="AJ28" i="2"/>
  <c r="AJ28" i="6"/>
  <c r="AJ28" i="7"/>
  <c r="AI27" i="2"/>
  <c r="AI27" i="6"/>
  <c r="AI27" i="7"/>
  <c r="AH26" i="2"/>
  <c r="AH26" i="6"/>
  <c r="AH26" i="7"/>
  <c r="AG25" i="2"/>
  <c r="AG25" i="6"/>
  <c r="AG25" i="7"/>
  <c r="AF24" i="2"/>
  <c r="AF24" i="6"/>
  <c r="AF24" i="7"/>
  <c r="AE23" i="2"/>
  <c r="AE23" i="6"/>
  <c r="AE23" i="7"/>
  <c r="AD22" i="2"/>
  <c r="AD22" i="6"/>
  <c r="AD22" i="7"/>
  <c r="AC21" i="2"/>
  <c r="AC21" i="6"/>
  <c r="AC21" i="7"/>
  <c r="AB20" i="2"/>
  <c r="AB20" i="6"/>
  <c r="AB20" i="7"/>
  <c r="BA46" i="1"/>
  <c r="AZ45" i="2"/>
  <c r="AZ45" i="6"/>
  <c r="AZ45" i="7"/>
  <c r="AY44" i="2"/>
  <c r="AY44" i="6"/>
  <c r="AY44" i="7"/>
  <c r="AX43" i="2"/>
  <c r="AX43" i="6"/>
  <c r="AX43" i="7"/>
  <c r="AW42" i="2"/>
  <c r="AW42" i="6"/>
  <c r="AW42" i="7"/>
  <c r="AV41" i="2"/>
  <c r="AV41" i="6"/>
  <c r="AV41" i="7"/>
  <c r="AU40" i="2"/>
  <c r="AU40" i="6"/>
  <c r="AU40" i="7"/>
  <c r="AT39" i="2"/>
  <c r="AT39" i="6"/>
  <c r="AT39" i="7"/>
  <c r="AS38" i="2"/>
  <c r="AS38" i="6"/>
  <c r="AS38" i="7"/>
  <c r="AR37" i="2"/>
  <c r="AR37" i="6"/>
  <c r="AR37" i="7"/>
  <c r="AR37" i="8"/>
  <c r="AQ36" i="2"/>
  <c r="AQ36" i="6"/>
  <c r="AQ36" i="7"/>
  <c r="AP35" i="2"/>
  <c r="AP35" i="6"/>
  <c r="AP35" i="7"/>
  <c r="AO34" i="2"/>
  <c r="AO34" i="6"/>
  <c r="AO34" i="7"/>
  <c r="AN33" i="2"/>
  <c r="AN33" i="6"/>
  <c r="AN33" i="7"/>
  <c r="AM32" i="2"/>
  <c r="AM32" i="6"/>
  <c r="AM32" i="7"/>
  <c r="AL31" i="2"/>
  <c r="AL31" i="6"/>
  <c r="AL31" i="7"/>
  <c r="AK30" i="2"/>
  <c r="AK30" i="6"/>
  <c r="AK30" i="7"/>
  <c r="AJ29" i="2"/>
  <c r="AJ29" i="6"/>
  <c r="AJ29" i="7"/>
  <c r="AI28" i="2"/>
  <c r="AI28" i="6"/>
  <c r="AI28" i="7"/>
  <c r="AH27" i="2"/>
  <c r="AH27" i="6"/>
  <c r="AH27" i="7"/>
  <c r="AG26" i="2"/>
  <c r="AG26" i="6"/>
  <c r="AG26" i="7"/>
  <c r="AF25" i="2"/>
  <c r="AF25" i="6"/>
  <c r="AF25" i="7"/>
  <c r="AF25" i="8"/>
  <c r="AE24" i="2"/>
  <c r="AE24" i="6"/>
  <c r="AE24" i="7"/>
  <c r="AD23" i="2"/>
  <c r="AD23" i="6"/>
  <c r="AD23" i="7"/>
  <c r="AD23" i="8"/>
  <c r="AC22" i="2"/>
  <c r="AC22" i="6"/>
  <c r="AC22" i="7"/>
  <c r="AB21" i="2"/>
  <c r="AB21" i="6"/>
  <c r="AB21" i="7"/>
  <c r="BA47" i="1"/>
  <c r="AZ46" i="2"/>
  <c r="AZ46" i="6"/>
  <c r="AZ46" i="7"/>
  <c r="AY45" i="2"/>
  <c r="AY45" i="6"/>
  <c r="AY45" i="7"/>
  <c r="AX44" i="2"/>
  <c r="AX44" i="6"/>
  <c r="AX44" i="7"/>
  <c r="AW43" i="2"/>
  <c r="AW43" i="6"/>
  <c r="AW43" i="7"/>
  <c r="AV42" i="2"/>
  <c r="AV42" i="6"/>
  <c r="AV42" i="7"/>
  <c r="AU41" i="2"/>
  <c r="AU41" i="6"/>
  <c r="AU41" i="7"/>
  <c r="AT40" i="2"/>
  <c r="AT40" i="6"/>
  <c r="AT40" i="7"/>
  <c r="AS39" i="2"/>
  <c r="AS39" i="6"/>
  <c r="AS39" i="7"/>
  <c r="AR38" i="2"/>
  <c r="AR38" i="6"/>
  <c r="AR38" i="7"/>
  <c r="AQ37" i="2"/>
  <c r="AQ37" i="6"/>
  <c r="AQ37" i="7"/>
  <c r="AP36" i="2"/>
  <c r="AP36" i="6"/>
  <c r="AP36" i="7"/>
  <c r="AP36" i="8"/>
  <c r="AO35" i="2"/>
  <c r="AO35" i="6"/>
  <c r="AO35" i="7"/>
  <c r="AN34" i="2"/>
  <c r="AN34" i="6"/>
  <c r="AN34" i="7"/>
  <c r="AM33" i="2"/>
  <c r="AM33" i="6"/>
  <c r="AM33" i="7"/>
  <c r="AL32" i="2"/>
  <c r="AL32" i="6"/>
  <c r="AL32" i="7"/>
  <c r="AK31" i="2"/>
  <c r="AK31" i="6"/>
  <c r="AK31" i="7"/>
  <c r="AJ30" i="2"/>
  <c r="AJ30" i="6"/>
  <c r="AJ30" i="7"/>
  <c r="AI29" i="2"/>
  <c r="AI29" i="6"/>
  <c r="AI29" i="7"/>
  <c r="AH28" i="2"/>
  <c r="AH28" i="6"/>
  <c r="AH28" i="7"/>
  <c r="AG27" i="2"/>
  <c r="AG27" i="6"/>
  <c r="AG27" i="7"/>
  <c r="AF26" i="2"/>
  <c r="AF26" i="6"/>
  <c r="AF26" i="7"/>
  <c r="AE25" i="2"/>
  <c r="AE25" i="6"/>
  <c r="AE25" i="7"/>
  <c r="AD24" i="2"/>
  <c r="AD24" i="6"/>
  <c r="AD24" i="7"/>
  <c r="AC23" i="2"/>
  <c r="AC23" i="6"/>
  <c r="AC23" i="7"/>
  <c r="AB22" i="2"/>
  <c r="AB22" i="6"/>
  <c r="AB22" i="7"/>
  <c r="AA21" i="2"/>
  <c r="AA21" i="6"/>
  <c r="AA21" i="7"/>
  <c r="BA48" i="1"/>
  <c r="AZ47" i="2"/>
  <c r="AZ47" i="6"/>
  <c r="AZ47" i="7"/>
  <c r="AY46" i="2"/>
  <c r="AY46" i="6"/>
  <c r="AY46" i="7"/>
  <c r="AX45" i="2"/>
  <c r="AX45" i="6"/>
  <c r="AX45" i="7"/>
  <c r="AW44" i="2"/>
  <c r="AW44" i="6"/>
  <c r="AW44" i="7"/>
  <c r="AV43" i="2"/>
  <c r="AV43" i="6"/>
  <c r="AV43" i="7"/>
  <c r="AU42" i="2"/>
  <c r="AU42" i="6"/>
  <c r="AU42" i="7"/>
  <c r="AT41" i="2"/>
  <c r="AT41" i="6"/>
  <c r="AT41" i="7"/>
  <c r="AS40" i="2"/>
  <c r="AS40" i="6"/>
  <c r="AS40" i="7"/>
  <c r="AR39" i="2"/>
  <c r="AR39" i="6"/>
  <c r="AR39" i="7"/>
  <c r="AQ38" i="2"/>
  <c r="AQ38" i="6"/>
  <c r="AQ38" i="7"/>
  <c r="AP37" i="2"/>
  <c r="AP37" i="6"/>
  <c r="AP37" i="7"/>
  <c r="AO36" i="2"/>
  <c r="AO36" i="6"/>
  <c r="AO36" i="7"/>
  <c r="AN35" i="2"/>
  <c r="AN35" i="6"/>
  <c r="AN35" i="7"/>
  <c r="AM34" i="2"/>
  <c r="AM34" i="6"/>
  <c r="AM34" i="7"/>
  <c r="AM34" i="8"/>
  <c r="AL33" i="2"/>
  <c r="AL33" i="6"/>
  <c r="AL33" i="7"/>
  <c r="AK32" i="2"/>
  <c r="AK32" i="6"/>
  <c r="AK32" i="7"/>
  <c r="AJ31" i="2"/>
  <c r="AJ31" i="6"/>
  <c r="AJ31" i="7"/>
  <c r="AI30" i="2"/>
  <c r="AI30" i="6"/>
  <c r="AI30" i="7"/>
  <c r="AH29" i="2"/>
  <c r="AH29" i="6"/>
  <c r="AH29" i="7"/>
  <c r="AH29" i="8"/>
  <c r="AG28" i="2"/>
  <c r="AG28" i="6"/>
  <c r="AG28" i="7"/>
  <c r="AG28" i="8"/>
  <c r="AF27" i="2"/>
  <c r="AF27" i="6"/>
  <c r="AF27" i="7"/>
  <c r="AE26" i="2"/>
  <c r="AE26" i="6"/>
  <c r="AE26" i="7"/>
  <c r="AD25" i="2"/>
  <c r="AD25" i="6"/>
  <c r="AD25" i="7"/>
  <c r="AC24" i="2"/>
  <c r="AC24" i="6"/>
  <c r="AC24" i="7"/>
  <c r="AB23" i="2"/>
  <c r="AB23" i="6"/>
  <c r="AB23" i="7"/>
  <c r="AA22" i="2"/>
  <c r="AA22" i="6"/>
  <c r="AA22" i="7"/>
  <c r="BA49" i="1"/>
  <c r="AZ48" i="2"/>
  <c r="AZ48" i="6"/>
  <c r="AZ48" i="7"/>
  <c r="AZ48" i="8"/>
  <c r="AY47" i="2"/>
  <c r="AY47" i="6"/>
  <c r="AY47" i="7"/>
  <c r="AY47" i="8"/>
  <c r="AX46" i="2"/>
  <c r="AX46" i="6"/>
  <c r="AX46" i="7"/>
  <c r="AW45" i="2"/>
  <c r="AW45" i="6"/>
  <c r="AW45" i="7"/>
  <c r="AV44" i="2"/>
  <c r="AV44" i="6"/>
  <c r="AV44" i="7"/>
  <c r="AU43" i="2"/>
  <c r="AU43" i="6"/>
  <c r="AU43" i="7"/>
  <c r="AT42" i="2"/>
  <c r="AT42" i="6"/>
  <c r="AT42" i="7"/>
  <c r="AS41" i="2"/>
  <c r="AS41" i="6"/>
  <c r="AS41" i="7"/>
  <c r="AR40" i="2"/>
  <c r="AR40" i="6"/>
  <c r="AR40" i="7"/>
  <c r="AQ39" i="2"/>
  <c r="AQ39" i="6"/>
  <c r="AQ39" i="7"/>
  <c r="AP38" i="2"/>
  <c r="AP38" i="6"/>
  <c r="AP38" i="7"/>
  <c r="AO37" i="2"/>
  <c r="AO37" i="6"/>
  <c r="AO37" i="7"/>
  <c r="AN36" i="2"/>
  <c r="AN36" i="6"/>
  <c r="AN36" i="7"/>
  <c r="AM35" i="2"/>
  <c r="AM35" i="6"/>
  <c r="AM35" i="7"/>
  <c r="AL34" i="2"/>
  <c r="AL34" i="6"/>
  <c r="AL34" i="7"/>
  <c r="AK33" i="2"/>
  <c r="AK33" i="6"/>
  <c r="AK33" i="7"/>
  <c r="AJ32" i="2"/>
  <c r="AJ32" i="6"/>
  <c r="AJ32" i="7"/>
  <c r="AI31" i="2"/>
  <c r="AI31" i="6"/>
  <c r="AI31" i="7"/>
  <c r="AH30" i="2"/>
  <c r="AH30" i="6"/>
  <c r="AH30" i="7"/>
  <c r="AG29" i="2"/>
  <c r="AG29" i="6"/>
  <c r="AG29" i="7"/>
  <c r="AF28" i="2"/>
  <c r="AF28" i="6"/>
  <c r="AF28" i="7"/>
  <c r="AE27" i="2"/>
  <c r="AE27" i="6"/>
  <c r="AE27" i="7"/>
  <c r="AD26" i="2"/>
  <c r="AD26" i="6"/>
  <c r="AD26" i="7"/>
  <c r="AC25" i="2"/>
  <c r="AC25" i="6"/>
  <c r="AC25" i="7"/>
  <c r="AB24" i="2"/>
  <c r="AB24" i="6"/>
  <c r="AB24" i="7"/>
  <c r="AA23" i="2"/>
  <c r="AA23" i="6"/>
  <c r="AA23" i="7"/>
  <c r="Z22" i="2"/>
  <c r="Z22" i="6"/>
  <c r="Z22" i="7"/>
  <c r="BA50" i="1"/>
  <c r="AZ49" i="2"/>
  <c r="AZ49" i="6"/>
  <c r="AZ49" i="7"/>
  <c r="AY48" i="2"/>
  <c r="AY48" i="6"/>
  <c r="AY48" i="7"/>
  <c r="AX47" i="2"/>
  <c r="AX47" i="6"/>
  <c r="AX47" i="7"/>
  <c r="AW46" i="2"/>
  <c r="AW46" i="6"/>
  <c r="AW46" i="7"/>
  <c r="AV45" i="2"/>
  <c r="AV45" i="6"/>
  <c r="AV45" i="7"/>
  <c r="AV45" i="8"/>
  <c r="AU44" i="2"/>
  <c r="AU44" i="6"/>
  <c r="AU44" i="7"/>
  <c r="AT43" i="2"/>
  <c r="AT43" i="6"/>
  <c r="AT43" i="7"/>
  <c r="AS42" i="2"/>
  <c r="AS42" i="6"/>
  <c r="AS42" i="7"/>
  <c r="AR41" i="2"/>
  <c r="AR41" i="6"/>
  <c r="AR41" i="7"/>
  <c r="AQ40" i="2"/>
  <c r="AQ40" i="6"/>
  <c r="AQ40" i="7"/>
  <c r="AP39" i="2"/>
  <c r="AP39" i="6"/>
  <c r="AP39" i="7"/>
  <c r="AO38" i="2"/>
  <c r="AO38" i="6"/>
  <c r="AO38" i="7"/>
  <c r="AN37" i="2"/>
  <c r="AN37" i="6"/>
  <c r="AN37" i="7"/>
  <c r="AM36" i="2"/>
  <c r="AM36" i="6"/>
  <c r="AM36" i="7"/>
  <c r="AL35" i="2"/>
  <c r="AL35" i="6"/>
  <c r="AL35" i="7"/>
  <c r="AK34" i="2"/>
  <c r="AK34" i="6"/>
  <c r="AK34" i="7"/>
  <c r="AJ33" i="2"/>
  <c r="AJ33" i="6"/>
  <c r="AJ33" i="7"/>
  <c r="AI32" i="2"/>
  <c r="AI32" i="6"/>
  <c r="AI32" i="7"/>
  <c r="AH31" i="2"/>
  <c r="AH31" i="6"/>
  <c r="AH31" i="7"/>
  <c r="AG30" i="2"/>
  <c r="AG30" i="6"/>
  <c r="AG30" i="7"/>
  <c r="AF29" i="2"/>
  <c r="AF29" i="6"/>
  <c r="AF29" i="7"/>
  <c r="AE28" i="2"/>
  <c r="AE28" i="6"/>
  <c r="AE28" i="7"/>
  <c r="AD27" i="2"/>
  <c r="AD27" i="6"/>
  <c r="AD27" i="7"/>
  <c r="AC26" i="2"/>
  <c r="AC26" i="6"/>
  <c r="AC26" i="7"/>
  <c r="AB25" i="2"/>
  <c r="AB25" i="6"/>
  <c r="AB25" i="7"/>
  <c r="AA24" i="2"/>
  <c r="AA24" i="6"/>
  <c r="AA24" i="7"/>
  <c r="Z23" i="2"/>
  <c r="Z23" i="6"/>
  <c r="Z23" i="7"/>
  <c r="BA51" i="1"/>
  <c r="AZ50" i="2"/>
  <c r="AZ50" i="6"/>
  <c r="AZ50" i="7"/>
  <c r="AY49" i="2"/>
  <c r="AY49" i="6"/>
  <c r="AY49" i="7"/>
  <c r="AX48" i="2"/>
  <c r="AX48" i="6"/>
  <c r="AX48" i="7"/>
  <c r="AW47" i="2"/>
  <c r="AW47" i="6"/>
  <c r="AW47" i="7"/>
  <c r="AV46" i="2"/>
  <c r="AV46" i="6"/>
  <c r="AV46" i="7"/>
  <c r="AU45" i="2"/>
  <c r="AU45" i="6"/>
  <c r="AU45" i="7"/>
  <c r="AT44" i="2"/>
  <c r="AT44" i="6"/>
  <c r="AT44" i="7"/>
  <c r="AS43" i="2"/>
  <c r="AS43" i="6"/>
  <c r="AS43" i="7"/>
  <c r="AR42" i="2"/>
  <c r="AR42" i="6"/>
  <c r="AR42" i="7"/>
  <c r="AQ41" i="2"/>
  <c r="AQ41" i="6"/>
  <c r="AQ41" i="7"/>
  <c r="AP40" i="2"/>
  <c r="AP40" i="6"/>
  <c r="AP40" i="7"/>
  <c r="AO39" i="2"/>
  <c r="AO39" i="6"/>
  <c r="AO39" i="7"/>
  <c r="AN38" i="2"/>
  <c r="AN38" i="6"/>
  <c r="AN38" i="7"/>
  <c r="AM37" i="2"/>
  <c r="AM37" i="6"/>
  <c r="AM37" i="7"/>
  <c r="AL36" i="2"/>
  <c r="AL36" i="6"/>
  <c r="AL36" i="7"/>
  <c r="AK35" i="2"/>
  <c r="AK35" i="6"/>
  <c r="AK35" i="7"/>
  <c r="AJ34" i="2"/>
  <c r="AJ34" i="6"/>
  <c r="AJ34" i="7"/>
  <c r="AI33" i="2"/>
  <c r="AI33" i="6"/>
  <c r="AI33" i="7"/>
  <c r="AH32" i="2"/>
  <c r="AH32" i="6"/>
  <c r="AH32" i="7"/>
  <c r="AG31" i="2"/>
  <c r="AG31" i="6"/>
  <c r="AG31" i="7"/>
  <c r="AF30" i="2"/>
  <c r="AF30" i="6"/>
  <c r="AF30" i="7"/>
  <c r="AE29" i="2"/>
  <c r="AE29" i="6"/>
  <c r="AE29" i="7"/>
  <c r="AD28" i="2"/>
  <c r="AD28" i="6"/>
  <c r="AD28" i="7"/>
  <c r="AC27" i="2"/>
  <c r="AC27" i="6"/>
  <c r="AC27" i="7"/>
  <c r="AB26" i="2"/>
  <c r="AB26" i="6"/>
  <c r="AB26" i="7"/>
  <c r="AA25" i="2"/>
  <c r="AA25" i="6"/>
  <c r="AA25" i="7"/>
  <c r="Z24" i="2"/>
  <c r="Z24" i="6"/>
  <c r="Z24" i="7"/>
  <c r="Y23" i="2"/>
  <c r="Y23" i="6"/>
  <c r="Y23" i="7"/>
  <c r="BA52" i="1"/>
  <c r="AZ51" i="2"/>
  <c r="AZ51" i="6"/>
  <c r="AZ51" i="7"/>
  <c r="AY50" i="2"/>
  <c r="AY50" i="6"/>
  <c r="AY50" i="7"/>
  <c r="AX49" i="2"/>
  <c r="AX49" i="6"/>
  <c r="AX49" i="7"/>
  <c r="AW48" i="2"/>
  <c r="AW48" i="6"/>
  <c r="AW48" i="7"/>
  <c r="AV47" i="2"/>
  <c r="AV47" i="6"/>
  <c r="AV47" i="7"/>
  <c r="AU46" i="2"/>
  <c r="AU46" i="6"/>
  <c r="AU46" i="7"/>
  <c r="AT45" i="2"/>
  <c r="AT45" i="6"/>
  <c r="AT45" i="7"/>
  <c r="AS44" i="2"/>
  <c r="AS44" i="6"/>
  <c r="AS44" i="7"/>
  <c r="AR43" i="2"/>
  <c r="AR43" i="6"/>
  <c r="AR43" i="7"/>
  <c r="AQ42" i="2"/>
  <c r="AQ42" i="6"/>
  <c r="AQ42" i="7"/>
  <c r="AP41" i="2"/>
  <c r="AP41" i="6"/>
  <c r="AP41" i="7"/>
  <c r="AO40" i="2"/>
  <c r="AO40" i="6"/>
  <c r="AO40" i="7"/>
  <c r="AN39" i="2"/>
  <c r="AN39" i="6"/>
  <c r="AN39" i="7"/>
  <c r="AM38" i="2"/>
  <c r="AM38" i="6"/>
  <c r="AM38" i="7"/>
  <c r="AL37" i="2"/>
  <c r="AL37" i="6"/>
  <c r="AL37" i="7"/>
  <c r="AK36" i="2"/>
  <c r="AK36" i="6"/>
  <c r="AK36" i="7"/>
  <c r="AJ35" i="2"/>
  <c r="AJ35" i="6"/>
  <c r="AJ35" i="7"/>
  <c r="AI34" i="2"/>
  <c r="AI34" i="6"/>
  <c r="AI34" i="7"/>
  <c r="AH33" i="2"/>
  <c r="AH33" i="6"/>
  <c r="AH33" i="7"/>
  <c r="AG32" i="2"/>
  <c r="AG32" i="6"/>
  <c r="AG32" i="7"/>
  <c r="AF31" i="2"/>
  <c r="AF31" i="6"/>
  <c r="AF31" i="7"/>
  <c r="AE30" i="2"/>
  <c r="AE30" i="6"/>
  <c r="AE30" i="7"/>
  <c r="AD29" i="2"/>
  <c r="AD29" i="6"/>
  <c r="AD29" i="7"/>
  <c r="AC28" i="2"/>
  <c r="AC28" i="6"/>
  <c r="AC28" i="7"/>
  <c r="AB27" i="2"/>
  <c r="AB27" i="6"/>
  <c r="AB27" i="7"/>
  <c r="AA26" i="2"/>
  <c r="AA26" i="6"/>
  <c r="AA26" i="7"/>
  <c r="Z25" i="2"/>
  <c r="Z25" i="6"/>
  <c r="Z25" i="7"/>
  <c r="Y24" i="2"/>
  <c r="Y24" i="6"/>
  <c r="Y24" i="7"/>
  <c r="BA53" i="1"/>
  <c r="AZ52" i="2"/>
  <c r="AZ52" i="6"/>
  <c r="AZ52" i="7"/>
  <c r="AY51" i="2"/>
  <c r="AY51" i="6"/>
  <c r="AY51" i="7"/>
  <c r="AX50" i="2"/>
  <c r="AX50" i="6"/>
  <c r="AX50" i="7"/>
  <c r="AW49" i="2"/>
  <c r="AW49" i="6"/>
  <c r="AW49" i="7"/>
  <c r="AV48" i="2"/>
  <c r="AV48" i="6"/>
  <c r="AV48" i="7"/>
  <c r="AU47" i="2"/>
  <c r="AU47" i="6"/>
  <c r="AU47" i="7"/>
  <c r="AT46" i="2"/>
  <c r="AT46" i="6"/>
  <c r="AT46" i="7"/>
  <c r="AS45" i="2"/>
  <c r="AS45" i="6"/>
  <c r="AS45" i="7"/>
  <c r="AR44" i="2"/>
  <c r="AR44" i="6"/>
  <c r="AR44" i="7"/>
  <c r="AR44" i="8"/>
  <c r="AQ43" i="2"/>
  <c r="AQ43" i="6"/>
  <c r="AQ43" i="7"/>
  <c r="AP42" i="2"/>
  <c r="AP42" i="6"/>
  <c r="AP42" i="7"/>
  <c r="AO41" i="2"/>
  <c r="AO41" i="6"/>
  <c r="AO41" i="7"/>
  <c r="AN40" i="2"/>
  <c r="AN40" i="6"/>
  <c r="AN40" i="7"/>
  <c r="AN40" i="8"/>
  <c r="AM39" i="2"/>
  <c r="AM39" i="6"/>
  <c r="AM39" i="7"/>
  <c r="AL38" i="2"/>
  <c r="AL38" i="6"/>
  <c r="AL38" i="7"/>
  <c r="AK37" i="2"/>
  <c r="AK37" i="6"/>
  <c r="AK37" i="7"/>
  <c r="AJ36" i="2"/>
  <c r="AJ36" i="6"/>
  <c r="AJ36" i="7"/>
  <c r="AJ36" i="8"/>
  <c r="AI35" i="2"/>
  <c r="AI35" i="6"/>
  <c r="AI35" i="7"/>
  <c r="AH34" i="2"/>
  <c r="AH34" i="6"/>
  <c r="AH34" i="7"/>
  <c r="AG33" i="2"/>
  <c r="AG33" i="6"/>
  <c r="AG33" i="7"/>
  <c r="AF32" i="2"/>
  <c r="AF32" i="6"/>
  <c r="AF32" i="7"/>
  <c r="AF32" i="8"/>
  <c r="AE31" i="2"/>
  <c r="AE31" i="6"/>
  <c r="AE31" i="7"/>
  <c r="AD30" i="2"/>
  <c r="AD30" i="6"/>
  <c r="AD30" i="7"/>
  <c r="AC29" i="2"/>
  <c r="AC29" i="6"/>
  <c r="AC29" i="7"/>
  <c r="AB28" i="2"/>
  <c r="AB28" i="6"/>
  <c r="AB28" i="7"/>
  <c r="AB28" i="8"/>
  <c r="AA27" i="2"/>
  <c r="AA27" i="6"/>
  <c r="AA27" i="7"/>
  <c r="Z26" i="2"/>
  <c r="Z26" i="6"/>
  <c r="Z26" i="7"/>
  <c r="Y25" i="2"/>
  <c r="Y25" i="6"/>
  <c r="Y25" i="7"/>
  <c r="X24" i="2"/>
  <c r="X24" i="6"/>
  <c r="X24" i="7"/>
  <c r="X24" i="8"/>
  <c r="BA54" i="1"/>
  <c r="AZ53" i="2"/>
  <c r="AZ53" i="6"/>
  <c r="AZ53" i="7"/>
  <c r="AZ53" i="8"/>
  <c r="AY52" i="2"/>
  <c r="AY52" i="6"/>
  <c r="AY52" i="7"/>
  <c r="AX51" i="2"/>
  <c r="AX51" i="6"/>
  <c r="AX51" i="7"/>
  <c r="AW50" i="2"/>
  <c r="AW50" i="6"/>
  <c r="AW50" i="7"/>
  <c r="AV49" i="2"/>
  <c r="AV49" i="6"/>
  <c r="AV49" i="7"/>
  <c r="AU48" i="2"/>
  <c r="AU48" i="6"/>
  <c r="AU48" i="7"/>
  <c r="AT47" i="2"/>
  <c r="AT47" i="6"/>
  <c r="AT47" i="7"/>
  <c r="AS46" i="2"/>
  <c r="AS46" i="6"/>
  <c r="AS46" i="7"/>
  <c r="AR45" i="2"/>
  <c r="AR45" i="6"/>
  <c r="AR45" i="7"/>
  <c r="AR45" i="8"/>
  <c r="AQ44" i="2"/>
  <c r="AQ44" i="6"/>
  <c r="AQ44" i="7"/>
  <c r="AP43" i="2"/>
  <c r="AP43" i="6"/>
  <c r="AP43" i="7"/>
  <c r="AO42" i="2"/>
  <c r="AO42" i="6"/>
  <c r="AO42" i="7"/>
  <c r="AO42" i="8"/>
  <c r="AN41" i="2"/>
  <c r="AN41" i="6"/>
  <c r="AN41" i="7"/>
  <c r="AN41" i="8"/>
  <c r="AM40" i="2"/>
  <c r="AM40" i="6"/>
  <c r="AM40" i="7"/>
  <c r="AL39" i="2"/>
  <c r="AL39" i="6"/>
  <c r="AL39" i="7"/>
  <c r="AK38" i="2"/>
  <c r="AK38" i="6"/>
  <c r="AK38" i="7"/>
  <c r="AJ37" i="2"/>
  <c r="AJ37" i="6"/>
  <c r="AJ37" i="7"/>
  <c r="AJ37" i="8"/>
  <c r="AI36" i="2"/>
  <c r="AI36" i="6"/>
  <c r="AI36" i="7"/>
  <c r="AH35" i="2"/>
  <c r="AH35" i="6"/>
  <c r="AH35" i="7"/>
  <c r="AG34" i="2"/>
  <c r="AG34" i="6"/>
  <c r="AG34" i="7"/>
  <c r="AF33" i="2"/>
  <c r="AF33" i="6"/>
  <c r="AF33" i="7"/>
  <c r="AF33" i="8"/>
  <c r="AE32" i="2"/>
  <c r="AE32" i="6"/>
  <c r="AE32" i="7"/>
  <c r="AD31" i="2"/>
  <c r="AD31" i="6"/>
  <c r="AD31" i="7"/>
  <c r="AC30" i="2"/>
  <c r="AC30" i="6"/>
  <c r="AC30" i="7"/>
  <c r="AB29" i="2"/>
  <c r="AB29" i="6"/>
  <c r="AB29" i="7"/>
  <c r="AB29" i="8"/>
  <c r="AA28" i="2"/>
  <c r="AA28" i="6"/>
  <c r="AA28" i="7"/>
  <c r="Z27" i="2"/>
  <c r="Z27" i="6"/>
  <c r="Z27" i="7"/>
  <c r="Y26" i="2"/>
  <c r="Y26" i="6"/>
  <c r="Y26" i="7"/>
  <c r="X25" i="2"/>
  <c r="X25" i="6"/>
  <c r="X25" i="7"/>
  <c r="BA55" i="1"/>
  <c r="AZ54" i="2"/>
  <c r="AZ54" i="6"/>
  <c r="AZ54" i="7"/>
  <c r="AY53" i="2"/>
  <c r="AY53" i="6"/>
  <c r="AY53" i="7"/>
  <c r="AX52" i="2"/>
  <c r="AX52" i="6"/>
  <c r="AX52" i="7"/>
  <c r="AW51" i="2"/>
  <c r="AW51" i="6"/>
  <c r="AW51" i="7"/>
  <c r="AV50" i="2"/>
  <c r="AV50" i="6"/>
  <c r="AV50" i="7"/>
  <c r="AV50" i="8"/>
  <c r="AU49" i="2"/>
  <c r="AU49" i="6"/>
  <c r="AU49" i="7"/>
  <c r="AT48" i="2"/>
  <c r="AT48" i="6"/>
  <c r="AT48" i="7"/>
  <c r="AS47" i="2"/>
  <c r="AS47" i="6"/>
  <c r="AS47" i="7"/>
  <c r="AR46" i="2"/>
  <c r="AR46" i="6"/>
  <c r="AR46" i="7"/>
  <c r="AR46" i="8"/>
  <c r="AQ45" i="2"/>
  <c r="AQ45" i="6"/>
  <c r="AQ45" i="7"/>
  <c r="AP44" i="2"/>
  <c r="AP44" i="6"/>
  <c r="AP44" i="7"/>
  <c r="AO43" i="2"/>
  <c r="AO43" i="6"/>
  <c r="AO43" i="7"/>
  <c r="AN42" i="2"/>
  <c r="AN42" i="6"/>
  <c r="AN42" i="7"/>
  <c r="AN42" i="8"/>
  <c r="AM41" i="2"/>
  <c r="AM41" i="6"/>
  <c r="AM41" i="7"/>
  <c r="AL40" i="2"/>
  <c r="AL40" i="6"/>
  <c r="AL40" i="7"/>
  <c r="AK39" i="2"/>
  <c r="AK39" i="6"/>
  <c r="AK39" i="7"/>
  <c r="AJ38" i="2"/>
  <c r="AJ38" i="6"/>
  <c r="AJ38" i="7"/>
  <c r="AI37" i="2"/>
  <c r="AI37" i="6"/>
  <c r="AI37" i="7"/>
  <c r="AH36" i="2"/>
  <c r="AH36" i="6"/>
  <c r="AH36" i="7"/>
  <c r="AG35" i="2"/>
  <c r="AG35" i="6"/>
  <c r="AG35" i="7"/>
  <c r="AF34" i="2"/>
  <c r="AF34" i="6"/>
  <c r="AF34" i="7"/>
  <c r="AE33" i="2"/>
  <c r="AE33" i="6"/>
  <c r="AE33" i="7"/>
  <c r="AD32" i="2"/>
  <c r="AD32" i="6"/>
  <c r="AD32" i="7"/>
  <c r="AC31" i="2"/>
  <c r="AC31" i="6"/>
  <c r="AC31" i="7"/>
  <c r="AB30" i="2"/>
  <c r="AB30" i="6"/>
  <c r="AB30" i="7"/>
  <c r="AA29" i="2"/>
  <c r="AA29" i="6"/>
  <c r="AA29" i="7"/>
  <c r="Z28" i="2"/>
  <c r="Z28" i="6"/>
  <c r="Z28" i="7"/>
  <c r="Y27" i="2"/>
  <c r="Y27" i="6"/>
  <c r="Y27" i="7"/>
  <c r="X26" i="2"/>
  <c r="X26" i="6"/>
  <c r="X26" i="7"/>
  <c r="W25" i="2"/>
  <c r="W25" i="6"/>
  <c r="W25" i="7"/>
  <c r="BA56" i="1"/>
  <c r="AZ55" i="2"/>
  <c r="AZ55" i="6"/>
  <c r="AZ55" i="7"/>
  <c r="AY54" i="2"/>
  <c r="AY54" i="6"/>
  <c r="AY54" i="7"/>
  <c r="AX53" i="2"/>
  <c r="AX53" i="6"/>
  <c r="AX53" i="7"/>
  <c r="AW52" i="2"/>
  <c r="AW52" i="6"/>
  <c r="AW52" i="7"/>
  <c r="AV51" i="2"/>
  <c r="AV51" i="6"/>
  <c r="AV51" i="7"/>
  <c r="AU50" i="2"/>
  <c r="AU50" i="6"/>
  <c r="AU50" i="7"/>
  <c r="AT49" i="2"/>
  <c r="AT49" i="6"/>
  <c r="AT49" i="7"/>
  <c r="AS48" i="2"/>
  <c r="AS48" i="6"/>
  <c r="AS48" i="7"/>
  <c r="AR47" i="2"/>
  <c r="AR47" i="6"/>
  <c r="AR47" i="7"/>
  <c r="AQ46" i="2"/>
  <c r="AQ46" i="6"/>
  <c r="AQ46" i="7"/>
  <c r="AP45" i="2"/>
  <c r="AP45" i="6"/>
  <c r="AP45" i="7"/>
  <c r="AO44" i="2"/>
  <c r="AO44" i="6"/>
  <c r="AO44" i="7"/>
  <c r="AO44" i="8"/>
  <c r="AN43" i="2"/>
  <c r="AN43" i="6"/>
  <c r="AN43" i="7"/>
  <c r="AM42" i="2"/>
  <c r="AM42" i="6"/>
  <c r="AM42" i="7"/>
  <c r="AL41" i="2"/>
  <c r="AL41" i="6"/>
  <c r="AL41" i="7"/>
  <c r="AK40" i="2"/>
  <c r="AK40" i="6"/>
  <c r="AK40" i="7"/>
  <c r="AK40" i="8"/>
  <c r="AJ39" i="2"/>
  <c r="AJ39" i="6"/>
  <c r="AJ39" i="7"/>
  <c r="AI38" i="2"/>
  <c r="AI38" i="6"/>
  <c r="AI38" i="7"/>
  <c r="AH37" i="2"/>
  <c r="AH37" i="6"/>
  <c r="AH37" i="7"/>
  <c r="AG36" i="2"/>
  <c r="AG36" i="6"/>
  <c r="AG36" i="7"/>
  <c r="AF35" i="2"/>
  <c r="AF35" i="6"/>
  <c r="AF35" i="7"/>
  <c r="AE34" i="2"/>
  <c r="AE34" i="6"/>
  <c r="AE34" i="7"/>
  <c r="AD33" i="2"/>
  <c r="AD33" i="6"/>
  <c r="AD33" i="7"/>
  <c r="AC32" i="2"/>
  <c r="AC32" i="6"/>
  <c r="AC32" i="7"/>
  <c r="AB31" i="2"/>
  <c r="AB31" i="6"/>
  <c r="AB31" i="7"/>
  <c r="AA30" i="2"/>
  <c r="AA30" i="6"/>
  <c r="AA30" i="7"/>
  <c r="Z29" i="2"/>
  <c r="Z29" i="6"/>
  <c r="Z29" i="7"/>
  <c r="Y28" i="2"/>
  <c r="Y28" i="6"/>
  <c r="Y28" i="7"/>
  <c r="X27" i="2"/>
  <c r="X27" i="6"/>
  <c r="X27" i="7"/>
  <c r="W26" i="2"/>
  <c r="W26" i="6"/>
  <c r="W26" i="7"/>
  <c r="BA57" i="1"/>
  <c r="AZ56" i="2"/>
  <c r="AZ56" i="6"/>
  <c r="AZ56" i="7"/>
  <c r="AY55" i="2"/>
  <c r="AY55" i="6"/>
  <c r="AY55" i="7"/>
  <c r="AX54" i="2"/>
  <c r="AX54" i="6"/>
  <c r="AX54" i="7"/>
  <c r="AW53" i="2"/>
  <c r="AW53" i="6"/>
  <c r="AW53" i="7"/>
  <c r="AV52" i="2"/>
  <c r="AV52" i="6"/>
  <c r="AV52" i="7"/>
  <c r="AU51" i="2"/>
  <c r="AU51" i="6"/>
  <c r="AU51" i="7"/>
  <c r="AT50" i="2"/>
  <c r="AT50" i="6"/>
  <c r="AT50" i="7"/>
  <c r="AS49" i="2"/>
  <c r="AS49" i="6"/>
  <c r="AS49" i="7"/>
  <c r="AR48" i="2"/>
  <c r="AR48" i="6"/>
  <c r="AR48" i="7"/>
  <c r="AQ47" i="2"/>
  <c r="AQ47" i="6"/>
  <c r="AQ47" i="7"/>
  <c r="AP46" i="2"/>
  <c r="AP46" i="6"/>
  <c r="AP46" i="7"/>
  <c r="AP46" i="8"/>
  <c r="AO45" i="2"/>
  <c r="AO45" i="6"/>
  <c r="AO45" i="7"/>
  <c r="AN44" i="2"/>
  <c r="AN44" i="6"/>
  <c r="AN44" i="7"/>
  <c r="AM43" i="2"/>
  <c r="AM43" i="6"/>
  <c r="AM43" i="7"/>
  <c r="AL42" i="2"/>
  <c r="AL42" i="6"/>
  <c r="AL42" i="7"/>
  <c r="AL42" i="8"/>
  <c r="AK41" i="2"/>
  <c r="AK41" i="6"/>
  <c r="AK41" i="7"/>
  <c r="AJ40" i="2"/>
  <c r="AJ40" i="6"/>
  <c r="AJ40" i="7"/>
  <c r="AI39" i="2"/>
  <c r="AI39" i="6"/>
  <c r="AI39" i="7"/>
  <c r="AH38" i="2"/>
  <c r="AH38" i="6"/>
  <c r="AH38" i="7"/>
  <c r="AG37" i="2"/>
  <c r="AG37" i="6"/>
  <c r="AG37" i="7"/>
  <c r="AF36" i="2"/>
  <c r="AF36" i="6"/>
  <c r="AF36" i="7"/>
  <c r="AE35" i="2"/>
  <c r="AE35" i="6"/>
  <c r="AE35" i="7"/>
  <c r="AD34" i="2"/>
  <c r="AD34" i="6"/>
  <c r="AD34" i="7"/>
  <c r="AC33" i="2"/>
  <c r="AC33" i="6"/>
  <c r="AC33" i="7"/>
  <c r="AB32" i="2"/>
  <c r="AB32" i="6"/>
  <c r="AB32" i="7"/>
  <c r="AA31" i="2"/>
  <c r="AA31" i="6"/>
  <c r="AA31" i="7"/>
  <c r="Z30" i="2"/>
  <c r="Z30" i="6"/>
  <c r="Z30" i="7"/>
  <c r="Y29" i="2"/>
  <c r="Y29" i="6"/>
  <c r="Y29" i="7"/>
  <c r="X28" i="2"/>
  <c r="X28" i="6"/>
  <c r="X28" i="7"/>
  <c r="W27" i="2"/>
  <c r="W27" i="6"/>
  <c r="W27" i="7"/>
  <c r="V26" i="2"/>
  <c r="V26" i="6"/>
  <c r="V26" i="7"/>
  <c r="BA58" i="1"/>
  <c r="AZ57" i="2"/>
  <c r="AZ57" i="6"/>
  <c r="AZ57" i="7"/>
  <c r="AY56" i="2"/>
  <c r="AY56" i="6"/>
  <c r="AY56" i="7"/>
  <c r="AX55" i="2"/>
  <c r="AX55" i="6"/>
  <c r="AX55" i="7"/>
  <c r="AW54" i="2"/>
  <c r="AW54" i="6"/>
  <c r="AW54" i="7"/>
  <c r="AV53" i="2"/>
  <c r="AV53" i="6"/>
  <c r="AV53" i="7"/>
  <c r="AV53" i="8"/>
  <c r="AU52" i="2"/>
  <c r="AU52" i="6"/>
  <c r="AU52" i="7"/>
  <c r="AT51" i="2"/>
  <c r="AT51" i="6"/>
  <c r="AT51" i="7"/>
  <c r="AS50" i="2"/>
  <c r="AS50" i="6"/>
  <c r="AS50" i="7"/>
  <c r="AR49" i="2"/>
  <c r="AR49" i="6"/>
  <c r="AR49" i="7"/>
  <c r="AR49" i="8"/>
  <c r="AQ48" i="2"/>
  <c r="AQ48" i="6"/>
  <c r="AQ48" i="7"/>
  <c r="AP47" i="2"/>
  <c r="AP47" i="6"/>
  <c r="AP47" i="7"/>
  <c r="AO46" i="2"/>
  <c r="AO46" i="6"/>
  <c r="AO46" i="7"/>
  <c r="AN45" i="2"/>
  <c r="AN45" i="6"/>
  <c r="AN45" i="7"/>
  <c r="AM44" i="2"/>
  <c r="AM44" i="6"/>
  <c r="AM44" i="7"/>
  <c r="AL43" i="2"/>
  <c r="AL43" i="6"/>
  <c r="AL43" i="7"/>
  <c r="AK42" i="2"/>
  <c r="AK42" i="6"/>
  <c r="AK42" i="7"/>
  <c r="AJ41" i="2"/>
  <c r="AJ41" i="6"/>
  <c r="AJ41" i="7"/>
  <c r="AI40" i="2"/>
  <c r="AI40" i="6"/>
  <c r="AI40" i="7"/>
  <c r="AH39" i="2"/>
  <c r="AH39" i="6"/>
  <c r="AH39" i="7"/>
  <c r="AG38" i="2"/>
  <c r="AG38" i="6"/>
  <c r="AG38" i="7"/>
  <c r="AF37" i="2"/>
  <c r="AF37" i="6"/>
  <c r="AF37" i="7"/>
  <c r="AE36" i="2"/>
  <c r="AE36" i="6"/>
  <c r="AE36" i="7"/>
  <c r="AD35" i="2"/>
  <c r="AD35" i="6"/>
  <c r="AD35" i="7"/>
  <c r="AC34" i="2"/>
  <c r="AC34" i="6"/>
  <c r="AC34" i="7"/>
  <c r="AB33" i="2"/>
  <c r="AB33" i="6"/>
  <c r="AB33" i="7"/>
  <c r="AA32" i="2"/>
  <c r="AA32" i="6"/>
  <c r="AA32" i="7"/>
  <c r="Z31" i="2"/>
  <c r="Z31" i="6"/>
  <c r="Z31" i="7"/>
  <c r="Y30" i="2"/>
  <c r="Y30" i="6"/>
  <c r="Y30" i="7"/>
  <c r="X29" i="2"/>
  <c r="X29" i="6"/>
  <c r="X29" i="7"/>
  <c r="W28" i="2"/>
  <c r="W28" i="6"/>
  <c r="W28" i="7"/>
  <c r="V27" i="2"/>
  <c r="V27" i="6"/>
  <c r="V27" i="7"/>
  <c r="BA59" i="1"/>
  <c r="AZ58" i="2"/>
  <c r="AZ58" i="6"/>
  <c r="AZ58" i="7"/>
  <c r="AY57" i="2"/>
  <c r="AY57" i="6"/>
  <c r="AY57" i="7"/>
  <c r="AX56" i="2"/>
  <c r="AX56" i="6"/>
  <c r="AX56" i="7"/>
  <c r="AW55" i="2"/>
  <c r="AW55" i="6"/>
  <c r="AW55" i="7"/>
  <c r="AV54" i="2"/>
  <c r="AV54" i="6"/>
  <c r="AV54" i="7"/>
  <c r="AU53" i="2"/>
  <c r="AU53" i="6"/>
  <c r="AU53" i="7"/>
  <c r="AT52" i="2"/>
  <c r="AT52" i="6"/>
  <c r="AT52" i="7"/>
  <c r="AS51" i="2"/>
  <c r="AS51" i="6"/>
  <c r="AS51" i="7"/>
  <c r="AR50" i="2"/>
  <c r="AR50" i="6"/>
  <c r="AR50" i="7"/>
  <c r="AQ49" i="2"/>
  <c r="AQ49" i="6"/>
  <c r="AQ49" i="7"/>
  <c r="AP48" i="2"/>
  <c r="AP48" i="6"/>
  <c r="AP48" i="7"/>
  <c r="AO47" i="2"/>
  <c r="AO47" i="6"/>
  <c r="AO47" i="7"/>
  <c r="AN46" i="2"/>
  <c r="AN46" i="6"/>
  <c r="AN46" i="7"/>
  <c r="AM45" i="2"/>
  <c r="AM45" i="6"/>
  <c r="AM45" i="7"/>
  <c r="AL44" i="2"/>
  <c r="AL44" i="6"/>
  <c r="AL44" i="7"/>
  <c r="AK43" i="2"/>
  <c r="AK43" i="6"/>
  <c r="AK43" i="7"/>
  <c r="AJ42" i="2"/>
  <c r="AJ42" i="6"/>
  <c r="AJ42" i="7"/>
  <c r="AI41" i="2"/>
  <c r="AI41" i="6"/>
  <c r="AI41" i="7"/>
  <c r="AH40" i="2"/>
  <c r="AH40" i="6"/>
  <c r="AH40" i="7"/>
  <c r="AG39" i="2"/>
  <c r="AG39" i="6"/>
  <c r="AG39" i="7"/>
  <c r="AF38" i="2"/>
  <c r="AF38" i="6"/>
  <c r="AF38" i="7"/>
  <c r="AE37" i="2"/>
  <c r="AE37" i="6"/>
  <c r="AE37" i="7"/>
  <c r="AD36" i="2"/>
  <c r="AD36" i="6"/>
  <c r="AD36" i="7"/>
  <c r="AC35" i="2"/>
  <c r="AC35" i="6"/>
  <c r="AC35" i="7"/>
  <c r="AB34" i="2"/>
  <c r="AB34" i="6"/>
  <c r="AB34" i="7"/>
  <c r="AA33" i="2"/>
  <c r="AA33" i="6"/>
  <c r="AA33" i="7"/>
  <c r="Z32" i="2"/>
  <c r="Z32" i="6"/>
  <c r="Z32" i="7"/>
  <c r="Y31" i="2"/>
  <c r="Y31" i="6"/>
  <c r="Y31" i="7"/>
  <c r="X30" i="2"/>
  <c r="X30" i="6"/>
  <c r="X30" i="7"/>
  <c r="W29" i="2"/>
  <c r="W29" i="6"/>
  <c r="W29" i="7"/>
  <c r="V28" i="2"/>
  <c r="V28" i="6"/>
  <c r="V28" i="7"/>
  <c r="U27" i="2"/>
  <c r="U27" i="6"/>
  <c r="U27" i="7"/>
  <c r="BA60" i="1"/>
  <c r="AZ59" i="2"/>
  <c r="AZ59" i="6"/>
  <c r="AZ59" i="7"/>
  <c r="AY58" i="2"/>
  <c r="AY58" i="6"/>
  <c r="AY58" i="7"/>
  <c r="AX57" i="2"/>
  <c r="AX57" i="6"/>
  <c r="AX57" i="7"/>
  <c r="AW56" i="2"/>
  <c r="AW56" i="6"/>
  <c r="AW56" i="7"/>
  <c r="AV55" i="2"/>
  <c r="AV55" i="6"/>
  <c r="AV55" i="7"/>
  <c r="AU54" i="2"/>
  <c r="AU54" i="6"/>
  <c r="AU54" i="7"/>
  <c r="AT53" i="2"/>
  <c r="AT53" i="6"/>
  <c r="AT53" i="7"/>
  <c r="AS52" i="2"/>
  <c r="AS52" i="6"/>
  <c r="AS52" i="7"/>
  <c r="AR51" i="2"/>
  <c r="AR51" i="6"/>
  <c r="AR51" i="7"/>
  <c r="AQ50" i="2"/>
  <c r="AQ50" i="6"/>
  <c r="AQ50" i="7"/>
  <c r="AP49" i="2"/>
  <c r="AP49" i="6"/>
  <c r="AP49" i="7"/>
  <c r="AO48" i="2"/>
  <c r="AO48" i="6"/>
  <c r="AO48" i="7"/>
  <c r="AN47" i="2"/>
  <c r="AN47" i="6"/>
  <c r="AN47" i="7"/>
  <c r="AM46" i="2"/>
  <c r="AM46" i="6"/>
  <c r="AM46" i="7"/>
  <c r="AL45" i="2"/>
  <c r="AL45" i="6"/>
  <c r="AL45" i="7"/>
  <c r="AK44" i="2"/>
  <c r="AK44" i="6"/>
  <c r="AK44" i="7"/>
  <c r="AJ43" i="2"/>
  <c r="AJ43" i="6"/>
  <c r="AJ43" i="7"/>
  <c r="AI42" i="2"/>
  <c r="AI42" i="6"/>
  <c r="AI42" i="7"/>
  <c r="AH41" i="2"/>
  <c r="AH41" i="6"/>
  <c r="AH41" i="7"/>
  <c r="AG40" i="2"/>
  <c r="AG40" i="6"/>
  <c r="AG40" i="7"/>
  <c r="AF39" i="2"/>
  <c r="AF39" i="6"/>
  <c r="AF39" i="7"/>
  <c r="AE38" i="2"/>
  <c r="AE38" i="6"/>
  <c r="AE38" i="7"/>
  <c r="AD37" i="2"/>
  <c r="AD37" i="6"/>
  <c r="AD37" i="7"/>
  <c r="AC36" i="2"/>
  <c r="AC36" i="6"/>
  <c r="AC36" i="7"/>
  <c r="AB35" i="2"/>
  <c r="AB35" i="6"/>
  <c r="AB35" i="7"/>
  <c r="AA34" i="2"/>
  <c r="AA34" i="6"/>
  <c r="AA34" i="7"/>
  <c r="Z33" i="2"/>
  <c r="Z33" i="6"/>
  <c r="Z33" i="7"/>
  <c r="Y32" i="2"/>
  <c r="Y32" i="6"/>
  <c r="Y32" i="7"/>
  <c r="Y32" i="8"/>
  <c r="X31" i="2"/>
  <c r="X31" i="6"/>
  <c r="X31" i="7"/>
  <c r="W30" i="2"/>
  <c r="W30" i="6"/>
  <c r="W30" i="7"/>
  <c r="V29" i="2"/>
  <c r="V29" i="6"/>
  <c r="V29" i="7"/>
  <c r="U28" i="2"/>
  <c r="U28" i="6"/>
  <c r="U28" i="7"/>
  <c r="BA61" i="1"/>
  <c r="AZ60" i="2"/>
  <c r="AZ60" i="6"/>
  <c r="AZ60" i="7"/>
  <c r="AY59" i="2"/>
  <c r="AY59" i="6"/>
  <c r="AY59" i="7"/>
  <c r="AX58" i="2"/>
  <c r="AX58" i="6"/>
  <c r="AX58" i="7"/>
  <c r="AW57" i="2"/>
  <c r="AW57" i="6"/>
  <c r="AW57" i="7"/>
  <c r="AV56" i="2"/>
  <c r="AV56" i="6"/>
  <c r="AV56" i="7"/>
  <c r="AV56" i="8"/>
  <c r="AU55" i="2"/>
  <c r="AU55" i="6"/>
  <c r="AU55" i="7"/>
  <c r="AT54" i="2"/>
  <c r="AT54" i="6"/>
  <c r="AT54" i="7"/>
  <c r="AS53" i="2"/>
  <c r="AS53" i="6"/>
  <c r="AS53" i="7"/>
  <c r="AR52" i="2"/>
  <c r="AR52" i="6"/>
  <c r="AR52" i="7"/>
  <c r="AQ51" i="2"/>
  <c r="AQ51" i="6"/>
  <c r="AQ51" i="7"/>
  <c r="AP50" i="2"/>
  <c r="AP50" i="6"/>
  <c r="AP50" i="7"/>
  <c r="AO49" i="2"/>
  <c r="AO49" i="6"/>
  <c r="AO49" i="7"/>
  <c r="AN48" i="2"/>
  <c r="AN48" i="6"/>
  <c r="AN48" i="7"/>
  <c r="AM47" i="2"/>
  <c r="AM47" i="6"/>
  <c r="AM47" i="7"/>
  <c r="AL46" i="2"/>
  <c r="AL46" i="6"/>
  <c r="AL46" i="7"/>
  <c r="AK45" i="2"/>
  <c r="AK45" i="6"/>
  <c r="AK45" i="7"/>
  <c r="AJ44" i="2"/>
  <c r="AJ44" i="6"/>
  <c r="AJ44" i="7"/>
  <c r="AJ44" i="8"/>
  <c r="AI43" i="2"/>
  <c r="AI43" i="6"/>
  <c r="AI43" i="7"/>
  <c r="AH42" i="2"/>
  <c r="AH42" i="6"/>
  <c r="AH42" i="7"/>
  <c r="AG41" i="2"/>
  <c r="AG41" i="6"/>
  <c r="AG41" i="7"/>
  <c r="AF40" i="2"/>
  <c r="AF40" i="6"/>
  <c r="AF40" i="7"/>
  <c r="AF40" i="8"/>
  <c r="AE39" i="2"/>
  <c r="AE39" i="6"/>
  <c r="AE39" i="7"/>
  <c r="AD38" i="2"/>
  <c r="AD38" i="6"/>
  <c r="AD38" i="7"/>
  <c r="AC37" i="2"/>
  <c r="AC37" i="6"/>
  <c r="AC37" i="7"/>
  <c r="AB36" i="2"/>
  <c r="AB36" i="6"/>
  <c r="AB36" i="7"/>
  <c r="AA35" i="2"/>
  <c r="AA35" i="6"/>
  <c r="AA35" i="7"/>
  <c r="Z34" i="2"/>
  <c r="Z34" i="6"/>
  <c r="Z34" i="7"/>
  <c r="Y33" i="2"/>
  <c r="Y33" i="6"/>
  <c r="Y33" i="7"/>
  <c r="X32" i="2"/>
  <c r="X32" i="6"/>
  <c r="X32" i="7"/>
  <c r="W31" i="2"/>
  <c r="W31" i="6"/>
  <c r="W31" i="7"/>
  <c r="V30" i="2"/>
  <c r="V30" i="6"/>
  <c r="V30" i="7"/>
  <c r="U29" i="2"/>
  <c r="U29" i="6"/>
  <c r="U29" i="7"/>
  <c r="T28" i="2"/>
  <c r="T28" i="6"/>
  <c r="T28" i="7"/>
  <c r="BA62" i="1"/>
  <c r="AZ61" i="2"/>
  <c r="AZ61" i="6"/>
  <c r="AZ61" i="7"/>
  <c r="AY60" i="2"/>
  <c r="AY60" i="6"/>
  <c r="AY60" i="7"/>
  <c r="AX59" i="2"/>
  <c r="AX59" i="6"/>
  <c r="AX59" i="7"/>
  <c r="AW58" i="2"/>
  <c r="AW58" i="6"/>
  <c r="AW58" i="7"/>
  <c r="AV57" i="2"/>
  <c r="AV57" i="6"/>
  <c r="AV57" i="7"/>
  <c r="AU56" i="2"/>
  <c r="AU56" i="6"/>
  <c r="AU56" i="7"/>
  <c r="AT55" i="2"/>
  <c r="AT55" i="6"/>
  <c r="AT55" i="7"/>
  <c r="AS54" i="2"/>
  <c r="AS54" i="6"/>
  <c r="AS54" i="7"/>
  <c r="AR53" i="2"/>
  <c r="AR53" i="6"/>
  <c r="AR53" i="7"/>
  <c r="AQ52" i="2"/>
  <c r="AQ52" i="6"/>
  <c r="AQ52" i="7"/>
  <c r="AP51" i="2"/>
  <c r="AP51" i="6"/>
  <c r="AP51" i="7"/>
  <c r="AO50" i="2"/>
  <c r="AO50" i="6"/>
  <c r="AO50" i="7"/>
  <c r="AN49" i="2"/>
  <c r="AN49" i="6"/>
  <c r="AN49" i="7"/>
  <c r="AM48" i="2"/>
  <c r="AM48" i="6"/>
  <c r="AM48" i="7"/>
  <c r="AL47" i="2"/>
  <c r="AL47" i="6"/>
  <c r="AL47" i="7"/>
  <c r="AK46" i="2"/>
  <c r="AK46" i="6"/>
  <c r="AK46" i="7"/>
  <c r="AJ45" i="2"/>
  <c r="AJ45" i="6"/>
  <c r="AJ45" i="7"/>
  <c r="AI44" i="2"/>
  <c r="AI44" i="6"/>
  <c r="AI44" i="7"/>
  <c r="AH43" i="2"/>
  <c r="AH43" i="6"/>
  <c r="AH43" i="7"/>
  <c r="AG42" i="2"/>
  <c r="AG42" i="6"/>
  <c r="AG42" i="7"/>
  <c r="AF41" i="2"/>
  <c r="AF41" i="6"/>
  <c r="AF41" i="7"/>
  <c r="AF41" i="8"/>
  <c r="AE40" i="2"/>
  <c r="AE40" i="6"/>
  <c r="AE40" i="7"/>
  <c r="AD39" i="2"/>
  <c r="AD39" i="6"/>
  <c r="AD39" i="7"/>
  <c r="AC38" i="2"/>
  <c r="AC38" i="6"/>
  <c r="AC38" i="7"/>
  <c r="AB37" i="2"/>
  <c r="AB37" i="6"/>
  <c r="AB37" i="7"/>
  <c r="AA36" i="2"/>
  <c r="AA36" i="6"/>
  <c r="AA36" i="7"/>
  <c r="Z35" i="2"/>
  <c r="Z35" i="6"/>
  <c r="Z35" i="7"/>
  <c r="Y34" i="2"/>
  <c r="Y34" i="6"/>
  <c r="Y34" i="7"/>
  <c r="X33" i="2"/>
  <c r="X33" i="6"/>
  <c r="X33" i="7"/>
  <c r="W32" i="2"/>
  <c r="W32" i="6"/>
  <c r="W32" i="7"/>
  <c r="V31" i="2"/>
  <c r="V31" i="6"/>
  <c r="V31" i="7"/>
  <c r="U30" i="2"/>
  <c r="U30" i="6"/>
  <c r="U30" i="7"/>
  <c r="T29" i="2"/>
  <c r="T29" i="6"/>
  <c r="T29" i="7"/>
  <c r="BA63" i="1"/>
  <c r="AZ62" i="2"/>
  <c r="AZ62" i="6"/>
  <c r="AZ62" i="7"/>
  <c r="AY61" i="2"/>
  <c r="AY61" i="6"/>
  <c r="AY61" i="7"/>
  <c r="AX60" i="2"/>
  <c r="AX60" i="6"/>
  <c r="AX60" i="7"/>
  <c r="AW59" i="2"/>
  <c r="AW59" i="6"/>
  <c r="AW59" i="7"/>
  <c r="AV58" i="2"/>
  <c r="AV58" i="6"/>
  <c r="AV58" i="7"/>
  <c r="AU57" i="2"/>
  <c r="AU57" i="6"/>
  <c r="AU57" i="7"/>
  <c r="AT56" i="2"/>
  <c r="AT56" i="6"/>
  <c r="AT56" i="7"/>
  <c r="AS55" i="2"/>
  <c r="AS55" i="6"/>
  <c r="AS55" i="7"/>
  <c r="AR54" i="2"/>
  <c r="AR54" i="6"/>
  <c r="AR54" i="7"/>
  <c r="AQ53" i="2"/>
  <c r="AQ53" i="6"/>
  <c r="AQ53" i="7"/>
  <c r="AP52" i="2"/>
  <c r="AP52" i="6"/>
  <c r="AP52" i="7"/>
  <c r="AO51" i="2"/>
  <c r="AO51" i="6"/>
  <c r="AO51" i="7"/>
  <c r="AN50" i="2"/>
  <c r="AN50" i="6"/>
  <c r="AN50" i="7"/>
  <c r="AM49" i="2"/>
  <c r="AM49" i="6"/>
  <c r="AM49" i="7"/>
  <c r="AL48" i="2"/>
  <c r="AL48" i="6"/>
  <c r="AL48" i="7"/>
  <c r="AK47" i="2"/>
  <c r="AK47" i="6"/>
  <c r="AK47" i="7"/>
  <c r="AJ46" i="2"/>
  <c r="AJ46" i="6"/>
  <c r="AJ46" i="7"/>
  <c r="AI45" i="2"/>
  <c r="AI45" i="6"/>
  <c r="AI45" i="7"/>
  <c r="AH44" i="2"/>
  <c r="AH44" i="6"/>
  <c r="AH44" i="7"/>
  <c r="AG43" i="2"/>
  <c r="AG43" i="6"/>
  <c r="AG43" i="7"/>
  <c r="AF42" i="2"/>
  <c r="AF42" i="6"/>
  <c r="AF42" i="7"/>
  <c r="AE41" i="2"/>
  <c r="AE41" i="6"/>
  <c r="AE41" i="7"/>
  <c r="AD40" i="2"/>
  <c r="AD40" i="6"/>
  <c r="AD40" i="7"/>
  <c r="AC39" i="2"/>
  <c r="AC39" i="6"/>
  <c r="AC39" i="7"/>
  <c r="AB38" i="2"/>
  <c r="AB38" i="6"/>
  <c r="AB38" i="7"/>
  <c r="AA37" i="2"/>
  <c r="AA37" i="6"/>
  <c r="AA37" i="7"/>
  <c r="Z36" i="2"/>
  <c r="Z36" i="6"/>
  <c r="Z36" i="7"/>
  <c r="Y35" i="2"/>
  <c r="Y35" i="6"/>
  <c r="Y35" i="7"/>
  <c r="X34" i="2"/>
  <c r="X34" i="6"/>
  <c r="X34" i="7"/>
  <c r="W33" i="2"/>
  <c r="W33" i="6"/>
  <c r="W33" i="7"/>
  <c r="V32" i="2"/>
  <c r="V32" i="6"/>
  <c r="V32" i="7"/>
  <c r="U31" i="2"/>
  <c r="U31" i="6"/>
  <c r="U31" i="7"/>
  <c r="T30" i="2"/>
  <c r="T30" i="6"/>
  <c r="T30" i="7"/>
  <c r="S29" i="2"/>
  <c r="S29" i="6"/>
  <c r="S29" i="7"/>
  <c r="BA64" i="1"/>
  <c r="AZ63" i="2"/>
  <c r="AZ63" i="6"/>
  <c r="AZ63" i="7"/>
  <c r="AY62" i="2"/>
  <c r="AY62" i="6"/>
  <c r="AY62" i="7"/>
  <c r="AX61" i="2"/>
  <c r="AX61" i="6"/>
  <c r="AX61" i="7"/>
  <c r="AW60" i="2"/>
  <c r="AW60" i="6"/>
  <c r="AW60" i="7"/>
  <c r="AV59" i="2"/>
  <c r="AV59" i="6"/>
  <c r="AV59" i="7"/>
  <c r="AU58" i="2"/>
  <c r="AU58" i="6"/>
  <c r="AU58" i="7"/>
  <c r="AT57" i="2"/>
  <c r="AT57" i="6"/>
  <c r="AT57" i="7"/>
  <c r="AS56" i="2"/>
  <c r="AS56" i="6"/>
  <c r="AS56" i="7"/>
  <c r="AR55" i="2"/>
  <c r="AR55" i="6"/>
  <c r="AR55" i="7"/>
  <c r="AQ54" i="2"/>
  <c r="AQ54" i="6"/>
  <c r="AQ54" i="7"/>
  <c r="AP53" i="2"/>
  <c r="AP53" i="6"/>
  <c r="AP53" i="7"/>
  <c r="AO52" i="2"/>
  <c r="AO52" i="6"/>
  <c r="AO52" i="7"/>
  <c r="AN51" i="2"/>
  <c r="AN51" i="6"/>
  <c r="AN51" i="7"/>
  <c r="AM50" i="2"/>
  <c r="AM50" i="6"/>
  <c r="AM50" i="7"/>
  <c r="AL49" i="2"/>
  <c r="AL49" i="6"/>
  <c r="AL49" i="7"/>
  <c r="AK48" i="2"/>
  <c r="AK48" i="6"/>
  <c r="AK48" i="7"/>
  <c r="AJ47" i="2"/>
  <c r="AJ47" i="6"/>
  <c r="AJ47" i="7"/>
  <c r="AI46" i="2"/>
  <c r="AI46" i="6"/>
  <c r="AI46" i="7"/>
  <c r="AH45" i="2"/>
  <c r="AH45" i="6"/>
  <c r="AH45" i="7"/>
  <c r="AG44" i="2"/>
  <c r="AG44" i="6"/>
  <c r="AG44" i="7"/>
  <c r="AF43" i="2"/>
  <c r="AF43" i="6"/>
  <c r="AF43" i="7"/>
  <c r="AE42" i="2"/>
  <c r="AE42" i="6"/>
  <c r="AE42" i="7"/>
  <c r="AD41" i="2"/>
  <c r="AD41" i="6"/>
  <c r="AD41" i="7"/>
  <c r="AC40" i="2"/>
  <c r="AC40" i="6"/>
  <c r="AC40" i="7"/>
  <c r="AB39" i="2"/>
  <c r="AB39" i="6"/>
  <c r="AB39" i="7"/>
  <c r="AA38" i="2"/>
  <c r="AA38" i="6"/>
  <c r="AA38" i="7"/>
  <c r="Z37" i="2"/>
  <c r="Z37" i="6"/>
  <c r="Z37" i="7"/>
  <c r="Y36" i="2"/>
  <c r="Y36" i="6"/>
  <c r="Y36" i="7"/>
  <c r="X35" i="2"/>
  <c r="X35" i="6"/>
  <c r="X35" i="7"/>
  <c r="W34" i="2"/>
  <c r="W34" i="6"/>
  <c r="W34" i="7"/>
  <c r="V33" i="2"/>
  <c r="V33" i="6"/>
  <c r="V33" i="7"/>
  <c r="U32" i="2"/>
  <c r="U32" i="6"/>
  <c r="U32" i="7"/>
  <c r="T31" i="2"/>
  <c r="T31" i="6"/>
  <c r="T31" i="7"/>
  <c r="S30" i="2"/>
  <c r="S30" i="6"/>
  <c r="S30" i="7"/>
  <c r="AZ64" i="2"/>
  <c r="AZ64" i="6"/>
  <c r="AZ64" i="7"/>
  <c r="AY63" i="2"/>
  <c r="AY63" i="6"/>
  <c r="AY63" i="7"/>
  <c r="AX62" i="2"/>
  <c r="AX62" i="6"/>
  <c r="AX62" i="7"/>
  <c r="AW61" i="2"/>
  <c r="AW61" i="6"/>
  <c r="AW61" i="7"/>
  <c r="AV60" i="2"/>
  <c r="AV60" i="6"/>
  <c r="AV60" i="7"/>
  <c r="AU59" i="2"/>
  <c r="AU59" i="6"/>
  <c r="AU59" i="7"/>
  <c r="AT58" i="2"/>
  <c r="AT58" i="6"/>
  <c r="AT58" i="7"/>
  <c r="AS57" i="2"/>
  <c r="AS57" i="6"/>
  <c r="AS57" i="7"/>
  <c r="AR56" i="2"/>
  <c r="AR56" i="6"/>
  <c r="AR56" i="7"/>
  <c r="AQ55" i="2"/>
  <c r="AQ55" i="6"/>
  <c r="AQ55" i="7"/>
  <c r="AQ55" i="8"/>
  <c r="AP54" i="2"/>
  <c r="AP54" i="6"/>
  <c r="AP54" i="7"/>
  <c r="AO53" i="2"/>
  <c r="AO53" i="6"/>
  <c r="AO53" i="7"/>
  <c r="AN52" i="2"/>
  <c r="AN52" i="6"/>
  <c r="AN52" i="7"/>
  <c r="AM51" i="2"/>
  <c r="AM51" i="6"/>
  <c r="AM51" i="7"/>
  <c r="AL50" i="2"/>
  <c r="AL50" i="6"/>
  <c r="AL50" i="7"/>
  <c r="AK49" i="2"/>
  <c r="AK49" i="6"/>
  <c r="AK49" i="7"/>
  <c r="AJ48" i="2"/>
  <c r="AJ48" i="6"/>
  <c r="AJ48" i="7"/>
  <c r="AI47" i="2"/>
  <c r="AI47" i="6"/>
  <c r="AI47" i="7"/>
  <c r="AI47" i="8"/>
  <c r="AH46" i="2"/>
  <c r="AH46" i="6"/>
  <c r="AH46" i="7"/>
  <c r="AG45" i="2"/>
  <c r="AG45" i="6"/>
  <c r="AG45" i="7"/>
  <c r="AF44" i="2"/>
  <c r="AF44" i="6"/>
  <c r="AF44" i="7"/>
  <c r="AE43" i="2"/>
  <c r="AE43" i="6"/>
  <c r="AE43" i="7"/>
  <c r="AE43" i="8"/>
  <c r="AD42" i="2"/>
  <c r="AD42" i="6"/>
  <c r="AD42" i="7"/>
  <c r="AC41" i="2"/>
  <c r="AC41" i="6"/>
  <c r="AC41" i="7"/>
  <c r="AB40" i="2"/>
  <c r="AB40" i="6"/>
  <c r="AB40" i="7"/>
  <c r="AA39" i="2"/>
  <c r="AA39" i="6"/>
  <c r="AA39" i="7"/>
  <c r="Z38" i="2"/>
  <c r="Z38" i="6"/>
  <c r="Z38" i="7"/>
  <c r="Y37" i="2"/>
  <c r="Y37" i="6"/>
  <c r="Y37" i="7"/>
  <c r="X36" i="2"/>
  <c r="X36" i="6"/>
  <c r="X36" i="7"/>
  <c r="W35" i="2"/>
  <c r="W35" i="6"/>
  <c r="W35" i="7"/>
  <c r="V34" i="2"/>
  <c r="V34" i="6"/>
  <c r="V34" i="7"/>
  <c r="U33" i="2"/>
  <c r="U33" i="6"/>
  <c r="U33" i="7"/>
  <c r="T32" i="2"/>
  <c r="T32" i="6"/>
  <c r="T32" i="7"/>
  <c r="S31" i="2"/>
  <c r="S31" i="6"/>
  <c r="S31" i="7"/>
  <c r="R30" i="2"/>
  <c r="R30" i="6"/>
  <c r="R30" i="7"/>
  <c r="AY64" i="2"/>
  <c r="AY64" i="6"/>
  <c r="AY64" i="7"/>
  <c r="AX63" i="2"/>
  <c r="AX63" i="6"/>
  <c r="AX63" i="7"/>
  <c r="AW62" i="2"/>
  <c r="AW62" i="6"/>
  <c r="AW62" i="7"/>
  <c r="AV61" i="2"/>
  <c r="AV61" i="6"/>
  <c r="AV61" i="7"/>
  <c r="AU60" i="2"/>
  <c r="AU60" i="6"/>
  <c r="AU60" i="7"/>
  <c r="AT59" i="2"/>
  <c r="AT59" i="6"/>
  <c r="AT59" i="7"/>
  <c r="AS58" i="2"/>
  <c r="AS58" i="6"/>
  <c r="AS58" i="7"/>
  <c r="AR57" i="2"/>
  <c r="AR57" i="6"/>
  <c r="AR57" i="7"/>
  <c r="AQ56" i="2"/>
  <c r="AQ56" i="6"/>
  <c r="AQ56" i="7"/>
  <c r="AP55" i="2"/>
  <c r="AP55" i="6"/>
  <c r="AP55" i="7"/>
  <c r="AO54" i="2"/>
  <c r="AO54" i="6"/>
  <c r="AO54" i="7"/>
  <c r="AO54" i="8"/>
  <c r="AN53" i="2"/>
  <c r="AN53" i="6"/>
  <c r="AN53" i="7"/>
  <c r="AM52" i="2"/>
  <c r="AM52" i="6"/>
  <c r="AM52" i="7"/>
  <c r="AL51" i="2"/>
  <c r="AL51" i="6"/>
  <c r="AL51" i="7"/>
  <c r="AK50" i="2"/>
  <c r="AK50" i="6"/>
  <c r="AK50" i="7"/>
  <c r="AJ49" i="2"/>
  <c r="AJ49" i="6"/>
  <c r="AJ49" i="7"/>
  <c r="AI48" i="2"/>
  <c r="AI48" i="6"/>
  <c r="AI48" i="7"/>
  <c r="AH47" i="2"/>
  <c r="AH47" i="6"/>
  <c r="AH47" i="7"/>
  <c r="AG46" i="2"/>
  <c r="AG46" i="6"/>
  <c r="AG46" i="7"/>
  <c r="AF45" i="2"/>
  <c r="AF45" i="6"/>
  <c r="AF45" i="7"/>
  <c r="AE44" i="2"/>
  <c r="AE44" i="6"/>
  <c r="AE44" i="7"/>
  <c r="AD43" i="2"/>
  <c r="AD43" i="6"/>
  <c r="AD43" i="7"/>
  <c r="AC42" i="2"/>
  <c r="AC42" i="6"/>
  <c r="AC42" i="7"/>
  <c r="AB41" i="2"/>
  <c r="AB41" i="6"/>
  <c r="AB41" i="7"/>
  <c r="AA40" i="2"/>
  <c r="AA40" i="6"/>
  <c r="AA40" i="7"/>
  <c r="Z39" i="2"/>
  <c r="Z39" i="6"/>
  <c r="Z39" i="7"/>
  <c r="Y38" i="2"/>
  <c r="Y38" i="6"/>
  <c r="Y38" i="7"/>
  <c r="Y38" i="8"/>
  <c r="X37" i="2"/>
  <c r="X37" i="6"/>
  <c r="X37" i="7"/>
  <c r="W36" i="2"/>
  <c r="W36" i="6"/>
  <c r="W36" i="7"/>
  <c r="V35" i="2"/>
  <c r="V35" i="6"/>
  <c r="V35" i="7"/>
  <c r="U34" i="2"/>
  <c r="U34" i="6"/>
  <c r="U34" i="7"/>
  <c r="T33" i="2"/>
  <c r="T33" i="6"/>
  <c r="T33" i="7"/>
  <c r="S32" i="2"/>
  <c r="S32" i="6"/>
  <c r="S32" i="7"/>
  <c r="R31" i="2"/>
  <c r="R31" i="6"/>
  <c r="R31" i="7"/>
  <c r="AX64" i="2"/>
  <c r="AX64" i="6"/>
  <c r="AX64" i="7"/>
  <c r="AX64" i="8"/>
  <c r="AW63" i="2"/>
  <c r="AW63" i="6"/>
  <c r="AW63" i="7"/>
  <c r="AV62" i="2"/>
  <c r="AV62" i="6"/>
  <c r="AV62" i="7"/>
  <c r="AU61" i="2"/>
  <c r="AU61" i="6"/>
  <c r="AU61" i="7"/>
  <c r="AT60" i="2"/>
  <c r="AT60" i="6"/>
  <c r="AT60" i="7"/>
  <c r="AS59" i="2"/>
  <c r="AS59" i="6"/>
  <c r="AS59" i="7"/>
  <c r="AR58" i="2"/>
  <c r="AR58" i="6"/>
  <c r="AR58" i="7"/>
  <c r="AQ57" i="2"/>
  <c r="AQ57" i="6"/>
  <c r="AQ57" i="7"/>
  <c r="AP56" i="2"/>
  <c r="AP56" i="6"/>
  <c r="AP56" i="7"/>
  <c r="AO55" i="2"/>
  <c r="AO55" i="6"/>
  <c r="AO55" i="7"/>
  <c r="AN54" i="2"/>
  <c r="AN54" i="6"/>
  <c r="AN54" i="7"/>
  <c r="AM53" i="2"/>
  <c r="AM53" i="6"/>
  <c r="AM53" i="7"/>
  <c r="AL52" i="2"/>
  <c r="AL52" i="6"/>
  <c r="AL52" i="7"/>
  <c r="AK51" i="2"/>
  <c r="AK51" i="6"/>
  <c r="AK51" i="7"/>
  <c r="AJ50" i="2"/>
  <c r="AJ50" i="6"/>
  <c r="AJ50" i="7"/>
  <c r="AI49" i="2"/>
  <c r="AI49" i="6"/>
  <c r="AI49" i="7"/>
  <c r="AH48" i="2"/>
  <c r="AH48" i="6"/>
  <c r="AH48" i="7"/>
  <c r="AG47" i="2"/>
  <c r="AG47" i="6"/>
  <c r="AG47" i="7"/>
  <c r="AF46" i="2"/>
  <c r="AF46" i="6"/>
  <c r="AF46" i="7"/>
  <c r="AE45" i="2"/>
  <c r="AE45" i="6"/>
  <c r="AE45" i="7"/>
  <c r="AD44" i="2"/>
  <c r="AD44" i="6"/>
  <c r="AD44" i="7"/>
  <c r="AC43" i="2"/>
  <c r="AC43" i="6"/>
  <c r="AC43" i="7"/>
  <c r="AB42" i="2"/>
  <c r="AB42" i="6"/>
  <c r="AB42" i="7"/>
  <c r="AA41" i="2"/>
  <c r="AA41" i="6"/>
  <c r="AA41" i="7"/>
  <c r="Z40" i="2"/>
  <c r="Z40" i="6"/>
  <c r="Z40" i="7"/>
  <c r="Y39" i="2"/>
  <c r="Y39" i="6"/>
  <c r="Y39" i="7"/>
  <c r="X38" i="2"/>
  <c r="X38" i="6"/>
  <c r="X38" i="7"/>
  <c r="W37" i="2"/>
  <c r="W37" i="6"/>
  <c r="W37" i="7"/>
  <c r="V36" i="2"/>
  <c r="V36" i="6"/>
  <c r="V36" i="7"/>
  <c r="U35" i="2"/>
  <c r="U35" i="6"/>
  <c r="U35" i="7"/>
  <c r="T34" i="2"/>
  <c r="T34" i="6"/>
  <c r="T34" i="7"/>
  <c r="S33" i="2"/>
  <c r="S33" i="6"/>
  <c r="S33" i="7"/>
  <c r="R32" i="2"/>
  <c r="R32" i="6"/>
  <c r="R32" i="7"/>
  <c r="Q31" i="2"/>
  <c r="Q31" i="6"/>
  <c r="Q31" i="7"/>
  <c r="AW64" i="2"/>
  <c r="AW64" i="6"/>
  <c r="AW64" i="7"/>
  <c r="AV63" i="2"/>
  <c r="AV63" i="6"/>
  <c r="AV63" i="7"/>
  <c r="AU62" i="2"/>
  <c r="AU62" i="6"/>
  <c r="AU62" i="7"/>
  <c r="AT61" i="2"/>
  <c r="AT61" i="6"/>
  <c r="AT61" i="7"/>
  <c r="AS60" i="2"/>
  <c r="AS60" i="6"/>
  <c r="AS60" i="7"/>
  <c r="AR59" i="2"/>
  <c r="AR59" i="6"/>
  <c r="AR59" i="7"/>
  <c r="AQ58" i="2"/>
  <c r="AQ58" i="6"/>
  <c r="AQ58" i="7"/>
  <c r="AQ58" i="8"/>
  <c r="AP57" i="2"/>
  <c r="AP57" i="6"/>
  <c r="AP57" i="7"/>
  <c r="AO56" i="2"/>
  <c r="AO56" i="6"/>
  <c r="AO56" i="7"/>
  <c r="AN55" i="2"/>
  <c r="AN55" i="6"/>
  <c r="AN55" i="7"/>
  <c r="AM54" i="2"/>
  <c r="AM54" i="6"/>
  <c r="AM54" i="7"/>
  <c r="AL53" i="2"/>
  <c r="AL53" i="6"/>
  <c r="AL53" i="7"/>
  <c r="AK52" i="2"/>
  <c r="AK52" i="6"/>
  <c r="AK52" i="7"/>
  <c r="AJ51" i="2"/>
  <c r="AJ51" i="6"/>
  <c r="AJ51" i="7"/>
  <c r="AI50" i="2"/>
  <c r="AI50" i="6"/>
  <c r="AI50" i="7"/>
  <c r="AH49" i="2"/>
  <c r="AH49" i="6"/>
  <c r="AH49" i="7"/>
  <c r="AG48" i="2"/>
  <c r="AG48" i="6"/>
  <c r="AG48" i="7"/>
  <c r="AF47" i="2"/>
  <c r="AF47" i="6"/>
  <c r="AF47" i="7"/>
  <c r="AE46" i="2"/>
  <c r="AE46" i="6"/>
  <c r="AE46" i="7"/>
  <c r="AE46" i="8"/>
  <c r="AD45" i="2"/>
  <c r="AD45" i="6"/>
  <c r="AD45" i="7"/>
  <c r="AC44" i="2"/>
  <c r="AC44" i="6"/>
  <c r="AC44" i="7"/>
  <c r="AB43" i="2"/>
  <c r="AB43" i="6"/>
  <c r="AB43" i="7"/>
  <c r="AA42" i="2"/>
  <c r="AA42" i="6"/>
  <c r="AA42" i="7"/>
  <c r="Z41" i="2"/>
  <c r="Z41" i="6"/>
  <c r="Z41" i="7"/>
  <c r="Y40" i="2"/>
  <c r="Y40" i="6"/>
  <c r="Y40" i="7"/>
  <c r="X39" i="2"/>
  <c r="X39" i="6"/>
  <c r="X39" i="7"/>
  <c r="W38" i="2"/>
  <c r="W38" i="6"/>
  <c r="W38" i="7"/>
  <c r="V37" i="2"/>
  <c r="V37" i="6"/>
  <c r="V37" i="7"/>
  <c r="U36" i="2"/>
  <c r="U36" i="6"/>
  <c r="U36" i="7"/>
  <c r="T35" i="2"/>
  <c r="T35" i="6"/>
  <c r="T35" i="7"/>
  <c r="S34" i="2"/>
  <c r="S34" i="6"/>
  <c r="S34" i="7"/>
  <c r="R33" i="2"/>
  <c r="R33" i="6"/>
  <c r="R33" i="7"/>
  <c r="Q32" i="2"/>
  <c r="Q32" i="6"/>
  <c r="Q32" i="7"/>
  <c r="AV64" i="2"/>
  <c r="AV64" i="6"/>
  <c r="AV64" i="7"/>
  <c r="AU63" i="2"/>
  <c r="AU63" i="6"/>
  <c r="AU63" i="7"/>
  <c r="AT62" i="2"/>
  <c r="AT62" i="6"/>
  <c r="AT62" i="7"/>
  <c r="AS61" i="2"/>
  <c r="AS61" i="6"/>
  <c r="AS61" i="7"/>
  <c r="AR60" i="2"/>
  <c r="AR60" i="6"/>
  <c r="AR60" i="7"/>
  <c r="AQ59" i="2"/>
  <c r="AQ59" i="6"/>
  <c r="AQ59" i="7"/>
  <c r="AP58" i="2"/>
  <c r="AP58" i="6"/>
  <c r="AP58" i="7"/>
  <c r="AO57" i="2"/>
  <c r="AO57" i="6"/>
  <c r="AO57" i="7"/>
  <c r="AN56" i="2"/>
  <c r="AN56" i="6"/>
  <c r="AN56" i="7"/>
  <c r="AM55" i="2"/>
  <c r="AM55" i="6"/>
  <c r="AM55" i="7"/>
  <c r="AL54" i="2"/>
  <c r="AL54" i="6"/>
  <c r="AL54" i="7"/>
  <c r="AK53" i="2"/>
  <c r="AK53" i="6"/>
  <c r="AK53" i="7"/>
  <c r="AJ52" i="2"/>
  <c r="AJ52" i="6"/>
  <c r="AJ52" i="7"/>
  <c r="AI51" i="2"/>
  <c r="AI51" i="6"/>
  <c r="AI51" i="7"/>
  <c r="AH50" i="2"/>
  <c r="AH50" i="6"/>
  <c r="AH50" i="7"/>
  <c r="AG49" i="2"/>
  <c r="AG49" i="6"/>
  <c r="AG49" i="7"/>
  <c r="AF48" i="2"/>
  <c r="AF48" i="6"/>
  <c r="AF48" i="7"/>
  <c r="AE47" i="2"/>
  <c r="AE47" i="6"/>
  <c r="AE47" i="7"/>
  <c r="AD46" i="2"/>
  <c r="AD46" i="6"/>
  <c r="AD46" i="7"/>
  <c r="AC45" i="2"/>
  <c r="AC45" i="6"/>
  <c r="AC45" i="7"/>
  <c r="AB44" i="2"/>
  <c r="AB44" i="6"/>
  <c r="AB44" i="7"/>
  <c r="AA43" i="2"/>
  <c r="AA43" i="6"/>
  <c r="AA43" i="7"/>
  <c r="Z42" i="2"/>
  <c r="Z42" i="6"/>
  <c r="Z42" i="7"/>
  <c r="Y41" i="2"/>
  <c r="Y41" i="6"/>
  <c r="Y41" i="7"/>
  <c r="X40" i="2"/>
  <c r="X40" i="6"/>
  <c r="X40" i="7"/>
  <c r="W39" i="2"/>
  <c r="W39" i="6"/>
  <c r="W39" i="7"/>
  <c r="V38" i="2"/>
  <c r="V38" i="6"/>
  <c r="V38" i="7"/>
  <c r="U37" i="2"/>
  <c r="U37" i="6"/>
  <c r="U37" i="7"/>
  <c r="T36" i="2"/>
  <c r="T36" i="6"/>
  <c r="T36" i="7"/>
  <c r="S35" i="2"/>
  <c r="S35" i="6"/>
  <c r="S35" i="7"/>
  <c r="R34" i="2"/>
  <c r="R34" i="6"/>
  <c r="R34" i="7"/>
  <c r="Q33" i="2"/>
  <c r="Q33" i="6"/>
  <c r="Q33" i="7"/>
  <c r="P32" i="2"/>
  <c r="P32" i="6"/>
  <c r="P32" i="7"/>
  <c r="AU64" i="2"/>
  <c r="AU64" i="6"/>
  <c r="AU64" i="7"/>
  <c r="AT63" i="2"/>
  <c r="AT63" i="6"/>
  <c r="AT63" i="7"/>
  <c r="AS62" i="2"/>
  <c r="AS62" i="6"/>
  <c r="AS62" i="7"/>
  <c r="AR61" i="2"/>
  <c r="AR61" i="6"/>
  <c r="AR61" i="7"/>
  <c r="AQ60" i="2"/>
  <c r="AQ60" i="6"/>
  <c r="AQ60" i="7"/>
  <c r="AP59" i="2"/>
  <c r="AP59" i="6"/>
  <c r="AP59" i="7"/>
  <c r="AO58" i="2"/>
  <c r="AO58" i="6"/>
  <c r="AO58" i="7"/>
  <c r="AN57" i="2"/>
  <c r="AN57" i="6"/>
  <c r="AN57" i="7"/>
  <c r="AM56" i="2"/>
  <c r="AM56" i="6"/>
  <c r="AM56" i="7"/>
  <c r="AL55" i="2"/>
  <c r="AL55" i="6"/>
  <c r="AL55" i="7"/>
  <c r="AK54" i="2"/>
  <c r="AK54" i="6"/>
  <c r="AK54" i="7"/>
  <c r="AJ53" i="2"/>
  <c r="AJ53" i="6"/>
  <c r="AJ53" i="7"/>
  <c r="AI52" i="2"/>
  <c r="AI52" i="6"/>
  <c r="AI52" i="7"/>
  <c r="AH51" i="2"/>
  <c r="AH51" i="6"/>
  <c r="AH51" i="7"/>
  <c r="AG50" i="2"/>
  <c r="AG50" i="6"/>
  <c r="AG50" i="7"/>
  <c r="AF49" i="2"/>
  <c r="AF49" i="6"/>
  <c r="AF49" i="7"/>
  <c r="AE48" i="2"/>
  <c r="AE48" i="6"/>
  <c r="AE48" i="7"/>
  <c r="AD47" i="2"/>
  <c r="AD47" i="6"/>
  <c r="AD47" i="7"/>
  <c r="AC46" i="2"/>
  <c r="AC46" i="6"/>
  <c r="AC46" i="7"/>
  <c r="AB45" i="2"/>
  <c r="AB45" i="6"/>
  <c r="AB45" i="7"/>
  <c r="AA44" i="2"/>
  <c r="AA44" i="6"/>
  <c r="AA44" i="7"/>
  <c r="Z43" i="2"/>
  <c r="Z43" i="6"/>
  <c r="Z43" i="7"/>
  <c r="Y42" i="2"/>
  <c r="Y42" i="6"/>
  <c r="Y42" i="7"/>
  <c r="X41" i="2"/>
  <c r="X41" i="6"/>
  <c r="X41" i="7"/>
  <c r="W40" i="2"/>
  <c r="W40" i="6"/>
  <c r="W40" i="7"/>
  <c r="V39" i="2"/>
  <c r="V39" i="6"/>
  <c r="V39" i="7"/>
  <c r="U38" i="2"/>
  <c r="U38" i="6"/>
  <c r="U38" i="7"/>
  <c r="T37" i="2"/>
  <c r="T37" i="6"/>
  <c r="T37" i="7"/>
  <c r="S36" i="2"/>
  <c r="S36" i="6"/>
  <c r="S36" i="7"/>
  <c r="S36" i="8"/>
  <c r="R35" i="2"/>
  <c r="R35" i="6"/>
  <c r="R35" i="7"/>
  <c r="Q34" i="2"/>
  <c r="Q34" i="6"/>
  <c r="Q34" i="7"/>
  <c r="P33" i="2"/>
  <c r="P33" i="6"/>
  <c r="P33" i="7"/>
  <c r="AT64" i="2"/>
  <c r="AT64" i="6"/>
  <c r="AT64" i="7"/>
  <c r="AS63" i="2"/>
  <c r="AS63" i="6"/>
  <c r="AS63" i="7"/>
  <c r="AR62" i="2"/>
  <c r="AR62" i="6"/>
  <c r="AR62" i="7"/>
  <c r="AQ61" i="2"/>
  <c r="AQ61" i="6"/>
  <c r="AQ61" i="7"/>
  <c r="AP60" i="2"/>
  <c r="AP60" i="6"/>
  <c r="AP60" i="7"/>
  <c r="AO59" i="2"/>
  <c r="AO59" i="6"/>
  <c r="AO59" i="7"/>
  <c r="AN58" i="2"/>
  <c r="AN58" i="6"/>
  <c r="AN58" i="7"/>
  <c r="AM57" i="2"/>
  <c r="AM57" i="6"/>
  <c r="AM57" i="7"/>
  <c r="AL56" i="2"/>
  <c r="AL56" i="6"/>
  <c r="AL56" i="7"/>
  <c r="AK55" i="2"/>
  <c r="AK55" i="6"/>
  <c r="AK55" i="7"/>
  <c r="AJ54" i="2"/>
  <c r="AJ54" i="6"/>
  <c r="AJ54" i="7"/>
  <c r="AI53" i="2"/>
  <c r="AI53" i="6"/>
  <c r="AI53" i="7"/>
  <c r="AH52" i="2"/>
  <c r="AH52" i="6"/>
  <c r="AH52" i="7"/>
  <c r="AG51" i="2"/>
  <c r="AG51" i="6"/>
  <c r="AG51" i="7"/>
  <c r="AF50" i="2"/>
  <c r="AF50" i="6"/>
  <c r="AF50" i="7"/>
  <c r="AE49" i="2"/>
  <c r="AE49" i="6"/>
  <c r="AE49" i="7"/>
  <c r="AD48" i="2"/>
  <c r="AD48" i="6"/>
  <c r="AD48" i="7"/>
  <c r="AC47" i="2"/>
  <c r="AC47" i="6"/>
  <c r="AC47" i="7"/>
  <c r="AB46" i="2"/>
  <c r="AB46" i="6"/>
  <c r="AB46" i="7"/>
  <c r="AA45" i="2"/>
  <c r="AA45" i="6"/>
  <c r="AA45" i="7"/>
  <c r="Z44" i="2"/>
  <c r="Z44" i="6"/>
  <c r="Z44" i="7"/>
  <c r="Y43" i="2"/>
  <c r="Y43" i="6"/>
  <c r="Y43" i="7"/>
  <c r="X42" i="2"/>
  <c r="X42" i="6"/>
  <c r="X42" i="7"/>
  <c r="W41" i="2"/>
  <c r="W41" i="6"/>
  <c r="W41" i="7"/>
  <c r="V40" i="2"/>
  <c r="V40" i="6"/>
  <c r="V40" i="7"/>
  <c r="U39" i="2"/>
  <c r="U39" i="6"/>
  <c r="U39" i="7"/>
  <c r="T38" i="2"/>
  <c r="T38" i="6"/>
  <c r="T38" i="7"/>
  <c r="S37" i="2"/>
  <c r="S37" i="6"/>
  <c r="S37" i="7"/>
  <c r="R36" i="2"/>
  <c r="R36" i="6"/>
  <c r="R36" i="7"/>
  <c r="Q35" i="2"/>
  <c r="Q35" i="6"/>
  <c r="Q35" i="7"/>
  <c r="P34" i="2"/>
  <c r="P34" i="6"/>
  <c r="P34" i="7"/>
  <c r="O33" i="2"/>
  <c r="O33" i="6"/>
  <c r="O33" i="7"/>
  <c r="AS64" i="2"/>
  <c r="AS64" i="6"/>
  <c r="AS64" i="7"/>
  <c r="AR63" i="2"/>
  <c r="AR63" i="6"/>
  <c r="AR63" i="7"/>
  <c r="AQ62" i="2"/>
  <c r="AQ62" i="6"/>
  <c r="AQ62" i="7"/>
  <c r="AP61" i="2"/>
  <c r="AP61" i="6"/>
  <c r="AP61" i="7"/>
  <c r="AO60" i="2"/>
  <c r="AO60" i="6"/>
  <c r="AO60" i="7"/>
  <c r="AN59" i="2"/>
  <c r="AN59" i="6"/>
  <c r="AN59" i="7"/>
  <c r="AM58" i="2"/>
  <c r="AM58" i="6"/>
  <c r="AM58" i="7"/>
  <c r="AL57" i="2"/>
  <c r="AL57" i="6"/>
  <c r="AL57" i="7"/>
  <c r="AK56" i="2"/>
  <c r="AK56" i="6"/>
  <c r="AK56" i="7"/>
  <c r="AJ55" i="2"/>
  <c r="AJ55" i="6"/>
  <c r="AJ55" i="7"/>
  <c r="AI54" i="2"/>
  <c r="AI54" i="6"/>
  <c r="AI54" i="7"/>
  <c r="AH53" i="2"/>
  <c r="AH53" i="6"/>
  <c r="AH53" i="7"/>
  <c r="AG52" i="2"/>
  <c r="AG52" i="6"/>
  <c r="AG52" i="7"/>
  <c r="AF51" i="2"/>
  <c r="AF51" i="6"/>
  <c r="AF51" i="7"/>
  <c r="AE50" i="2"/>
  <c r="AE50" i="6"/>
  <c r="AE50" i="7"/>
  <c r="AD49" i="2"/>
  <c r="AD49" i="6"/>
  <c r="AD49" i="7"/>
  <c r="AC48" i="2"/>
  <c r="AC48" i="6"/>
  <c r="AC48" i="7"/>
  <c r="AB47" i="2"/>
  <c r="AB47" i="6"/>
  <c r="AB47" i="7"/>
  <c r="AA46" i="2"/>
  <c r="AA46" i="6"/>
  <c r="AA46" i="7"/>
  <c r="Z45" i="2"/>
  <c r="Z45" i="6"/>
  <c r="Z45" i="7"/>
  <c r="Y44" i="2"/>
  <c r="Y44" i="6"/>
  <c r="Y44" i="7"/>
  <c r="X43" i="2"/>
  <c r="X43" i="6"/>
  <c r="X43" i="7"/>
  <c r="W42" i="2"/>
  <c r="W42" i="6"/>
  <c r="W42" i="7"/>
  <c r="V41" i="2"/>
  <c r="V41" i="6"/>
  <c r="V41" i="7"/>
  <c r="U40" i="2"/>
  <c r="U40" i="6"/>
  <c r="U40" i="7"/>
  <c r="T39" i="2"/>
  <c r="T39" i="6"/>
  <c r="T39" i="7"/>
  <c r="S38" i="2"/>
  <c r="S38" i="6"/>
  <c r="S38" i="7"/>
  <c r="R37" i="2"/>
  <c r="R37" i="6"/>
  <c r="R37" i="7"/>
  <c r="Q36" i="2"/>
  <c r="Q36" i="6"/>
  <c r="Q36" i="7"/>
  <c r="P35" i="2"/>
  <c r="P35" i="6"/>
  <c r="P35" i="7"/>
  <c r="O34" i="2"/>
  <c r="O34" i="6"/>
  <c r="O34" i="7"/>
  <c r="AR64" i="2"/>
  <c r="AR64" i="6"/>
  <c r="AR64" i="7"/>
  <c r="AQ63" i="2"/>
  <c r="AQ63" i="6"/>
  <c r="AQ63" i="7"/>
  <c r="AP62" i="2"/>
  <c r="AP62" i="6"/>
  <c r="AP62" i="7"/>
  <c r="AO61" i="2"/>
  <c r="AO61" i="6"/>
  <c r="AO61" i="7"/>
  <c r="AN60" i="2"/>
  <c r="AN60" i="6"/>
  <c r="AN60" i="7"/>
  <c r="AM59" i="2"/>
  <c r="AM59" i="6"/>
  <c r="AM59" i="7"/>
  <c r="AL58" i="2"/>
  <c r="AL58" i="6"/>
  <c r="AL58" i="7"/>
  <c r="AK57" i="2"/>
  <c r="AK57" i="6"/>
  <c r="AK57" i="7"/>
  <c r="AJ56" i="2"/>
  <c r="AJ56" i="6"/>
  <c r="AJ56" i="7"/>
  <c r="AI55" i="2"/>
  <c r="AI55" i="6"/>
  <c r="AI55" i="7"/>
  <c r="AH54" i="2"/>
  <c r="AH54" i="6"/>
  <c r="AH54" i="7"/>
  <c r="AG53" i="2"/>
  <c r="AG53" i="6"/>
  <c r="AG53" i="7"/>
  <c r="AF52" i="2"/>
  <c r="AF52" i="6"/>
  <c r="AF52" i="7"/>
  <c r="AE51" i="2"/>
  <c r="AE51" i="6"/>
  <c r="AE51" i="7"/>
  <c r="AD50" i="2"/>
  <c r="AD50" i="6"/>
  <c r="AD50" i="7"/>
  <c r="AC49" i="2"/>
  <c r="AC49" i="6"/>
  <c r="AC49" i="7"/>
  <c r="AB48" i="2"/>
  <c r="AB48" i="6"/>
  <c r="AB48" i="7"/>
  <c r="AA47" i="2"/>
  <c r="AA47" i="6"/>
  <c r="AA47" i="7"/>
  <c r="Z46" i="2"/>
  <c r="Z46" i="6"/>
  <c r="Z46" i="7"/>
  <c r="Y45" i="2"/>
  <c r="Y45" i="6"/>
  <c r="Y45" i="7"/>
  <c r="X44" i="2"/>
  <c r="X44" i="6"/>
  <c r="X44" i="7"/>
  <c r="W43" i="2"/>
  <c r="W43" i="6"/>
  <c r="W43" i="7"/>
  <c r="V42" i="2"/>
  <c r="V42" i="6"/>
  <c r="V42" i="7"/>
  <c r="U41" i="2"/>
  <c r="U41" i="6"/>
  <c r="U41" i="7"/>
  <c r="T40" i="2"/>
  <c r="T40" i="6"/>
  <c r="T40" i="7"/>
  <c r="S39" i="2"/>
  <c r="S39" i="6"/>
  <c r="S39" i="7"/>
  <c r="R38" i="2"/>
  <c r="R38" i="6"/>
  <c r="R38" i="7"/>
  <c r="Q37" i="2"/>
  <c r="Q37" i="6"/>
  <c r="Q37" i="7"/>
  <c r="P36" i="2"/>
  <c r="P36" i="6"/>
  <c r="P36" i="7"/>
  <c r="O35" i="2"/>
  <c r="O35" i="6"/>
  <c r="O35" i="7"/>
  <c r="N34" i="2"/>
  <c r="N34" i="6"/>
  <c r="N34" i="7"/>
  <c r="AQ64" i="2"/>
  <c r="AQ64" i="6"/>
  <c r="AQ64" i="7"/>
  <c r="AP63" i="2"/>
  <c r="AP63" i="6"/>
  <c r="AP63" i="7"/>
  <c r="AO62" i="2"/>
  <c r="AO62" i="6"/>
  <c r="AO62" i="7"/>
  <c r="AN61" i="2"/>
  <c r="AN61" i="6"/>
  <c r="AN61" i="7"/>
  <c r="AM60" i="2"/>
  <c r="AM60" i="6"/>
  <c r="AM60" i="7"/>
  <c r="AL59" i="2"/>
  <c r="AL59" i="6"/>
  <c r="AL59" i="7"/>
  <c r="AK58" i="2"/>
  <c r="AK58" i="6"/>
  <c r="AK58" i="7"/>
  <c r="AJ57" i="2"/>
  <c r="AJ57" i="6"/>
  <c r="AJ57" i="7"/>
  <c r="AI56" i="2"/>
  <c r="AI56" i="6"/>
  <c r="AI56" i="7"/>
  <c r="AH55" i="2"/>
  <c r="AH55" i="6"/>
  <c r="AH55" i="7"/>
  <c r="AG54" i="2"/>
  <c r="AG54" i="6"/>
  <c r="AG54" i="7"/>
  <c r="AF53" i="2"/>
  <c r="AF53" i="6"/>
  <c r="AF53" i="7"/>
  <c r="AE52" i="2"/>
  <c r="AE52" i="6"/>
  <c r="AE52" i="7"/>
  <c r="AD51" i="2"/>
  <c r="AD51" i="6"/>
  <c r="AD51" i="7"/>
  <c r="AC50" i="2"/>
  <c r="AC50" i="6"/>
  <c r="AC50" i="7"/>
  <c r="AB49" i="2"/>
  <c r="AB49" i="6"/>
  <c r="AB49" i="7"/>
  <c r="AA48" i="2"/>
  <c r="AA48" i="6"/>
  <c r="AA48" i="7"/>
  <c r="Z47" i="2"/>
  <c r="Z47" i="6"/>
  <c r="Z47" i="7"/>
  <c r="Y46" i="2"/>
  <c r="Y46" i="6"/>
  <c r="Y46" i="7"/>
  <c r="X45" i="2"/>
  <c r="X45" i="6"/>
  <c r="X45" i="7"/>
  <c r="W44" i="2"/>
  <c r="W44" i="6"/>
  <c r="W44" i="7"/>
  <c r="V43" i="2"/>
  <c r="V43" i="6"/>
  <c r="V43" i="7"/>
  <c r="U42" i="2"/>
  <c r="U42" i="6"/>
  <c r="U42" i="7"/>
  <c r="T41" i="2"/>
  <c r="T41" i="6"/>
  <c r="T41" i="7"/>
  <c r="S40" i="2"/>
  <c r="S40" i="6"/>
  <c r="S40" i="7"/>
  <c r="R39" i="2"/>
  <c r="R39" i="6"/>
  <c r="R39" i="7"/>
  <c r="Q38" i="2"/>
  <c r="Q38" i="6"/>
  <c r="Q38" i="7"/>
  <c r="P37" i="2"/>
  <c r="P37" i="6"/>
  <c r="P37" i="7"/>
  <c r="O36" i="2"/>
  <c r="O36" i="6"/>
  <c r="O36" i="7"/>
  <c r="N35" i="2"/>
  <c r="N35" i="6"/>
  <c r="N35" i="7"/>
  <c r="AP64" i="2"/>
  <c r="AP64" i="6"/>
  <c r="AP64" i="7"/>
  <c r="AO63" i="2"/>
  <c r="AO63" i="6"/>
  <c r="AO63" i="7"/>
  <c r="AN62" i="2"/>
  <c r="AN62" i="6"/>
  <c r="AN62" i="7"/>
  <c r="AM61" i="2"/>
  <c r="AM61" i="6"/>
  <c r="AM61" i="7"/>
  <c r="AL60" i="2"/>
  <c r="AL60" i="6"/>
  <c r="AL60" i="7"/>
  <c r="AK59" i="2"/>
  <c r="AK59" i="6"/>
  <c r="AK59" i="7"/>
  <c r="AJ58" i="2"/>
  <c r="AJ58" i="6"/>
  <c r="AJ58" i="7"/>
  <c r="AI57" i="2"/>
  <c r="AI57" i="6"/>
  <c r="AI57" i="7"/>
  <c r="AH56" i="2"/>
  <c r="AH56" i="6"/>
  <c r="AH56" i="7"/>
  <c r="AG55" i="2"/>
  <c r="AG55" i="6"/>
  <c r="AG55" i="7"/>
  <c r="AF54" i="2"/>
  <c r="AF54" i="6"/>
  <c r="AF54" i="7"/>
  <c r="AE53" i="2"/>
  <c r="AE53" i="6"/>
  <c r="AE53" i="7"/>
  <c r="AD52" i="2"/>
  <c r="AD52" i="6"/>
  <c r="AD52" i="7"/>
  <c r="AC51" i="2"/>
  <c r="AC51" i="6"/>
  <c r="AC51" i="7"/>
  <c r="AB50" i="2"/>
  <c r="AB50" i="6"/>
  <c r="AB50" i="7"/>
  <c r="AA49" i="2"/>
  <c r="AA49" i="6"/>
  <c r="AA49" i="7"/>
  <c r="Z48" i="2"/>
  <c r="Z48" i="6"/>
  <c r="Z48" i="7"/>
  <c r="Y47" i="2"/>
  <c r="Y47" i="6"/>
  <c r="Y47" i="7"/>
  <c r="X46" i="2"/>
  <c r="X46" i="6"/>
  <c r="X46" i="7"/>
  <c r="W45" i="2"/>
  <c r="W45" i="6"/>
  <c r="W45" i="7"/>
  <c r="V44" i="2"/>
  <c r="V44" i="6"/>
  <c r="V44" i="7"/>
  <c r="U43" i="2"/>
  <c r="U43" i="6"/>
  <c r="U43" i="7"/>
  <c r="T42" i="2"/>
  <c r="T42" i="6"/>
  <c r="T42" i="7"/>
  <c r="S41" i="2"/>
  <c r="S41" i="6"/>
  <c r="S41" i="7"/>
  <c r="R40" i="2"/>
  <c r="R40" i="6"/>
  <c r="R40" i="7"/>
  <c r="Q39" i="2"/>
  <c r="Q39" i="6"/>
  <c r="Q39" i="7"/>
  <c r="P38" i="2"/>
  <c r="P38" i="6"/>
  <c r="P38" i="7"/>
  <c r="O37" i="2"/>
  <c r="O37" i="6"/>
  <c r="O37" i="7"/>
  <c r="N36" i="2"/>
  <c r="N36" i="6"/>
  <c r="N36" i="7"/>
  <c r="M35" i="2"/>
  <c r="M35" i="6"/>
  <c r="M35" i="7"/>
  <c r="AO64" i="2"/>
  <c r="AO64" i="6"/>
  <c r="AO64" i="7"/>
  <c r="AN63" i="2"/>
  <c r="AN63" i="6"/>
  <c r="AN63" i="7"/>
  <c r="AM62" i="2"/>
  <c r="AM62" i="6"/>
  <c r="AM62" i="7"/>
  <c r="AM62" i="8"/>
  <c r="AL61" i="2"/>
  <c r="AL61" i="6"/>
  <c r="AL61" i="7"/>
  <c r="AK60" i="2"/>
  <c r="AK60" i="6"/>
  <c r="AK60" i="7"/>
  <c r="AJ59" i="2"/>
  <c r="AJ59" i="6"/>
  <c r="AJ59" i="7"/>
  <c r="AI58" i="2"/>
  <c r="AI58" i="6"/>
  <c r="AI58" i="7"/>
  <c r="AH57" i="2"/>
  <c r="AH57" i="6"/>
  <c r="AH57" i="7"/>
  <c r="AG56" i="2"/>
  <c r="AG56" i="6"/>
  <c r="AG56" i="7"/>
  <c r="AF55" i="2"/>
  <c r="AF55" i="6"/>
  <c r="AF55" i="7"/>
  <c r="AE54" i="2"/>
  <c r="AE54" i="6"/>
  <c r="AE54" i="7"/>
  <c r="AD53" i="2"/>
  <c r="AD53" i="6"/>
  <c r="AD53" i="7"/>
  <c r="AC52" i="2"/>
  <c r="AC52" i="6"/>
  <c r="AC52" i="7"/>
  <c r="AB51" i="2"/>
  <c r="AB51" i="6"/>
  <c r="AB51" i="7"/>
  <c r="AA50" i="2"/>
  <c r="AA50" i="6"/>
  <c r="AA50" i="7"/>
  <c r="AA50" i="8"/>
  <c r="Z49" i="2"/>
  <c r="Z49" i="6"/>
  <c r="Z49" i="7"/>
  <c r="Y48" i="2"/>
  <c r="Y48" i="6"/>
  <c r="Y48" i="7"/>
  <c r="X47" i="2"/>
  <c r="X47" i="6"/>
  <c r="X47" i="7"/>
  <c r="W46" i="2"/>
  <c r="W46" i="6"/>
  <c r="W46" i="7"/>
  <c r="V45" i="2"/>
  <c r="V45" i="6"/>
  <c r="V45" i="7"/>
  <c r="U44" i="2"/>
  <c r="U44" i="6"/>
  <c r="U44" i="7"/>
  <c r="T43" i="2"/>
  <c r="T43" i="6"/>
  <c r="T43" i="7"/>
  <c r="S42" i="2"/>
  <c r="S42" i="6"/>
  <c r="S42" i="7"/>
  <c r="R41" i="2"/>
  <c r="R41" i="6"/>
  <c r="R41" i="7"/>
  <c r="Q40" i="2"/>
  <c r="Q40" i="6"/>
  <c r="Q40" i="7"/>
  <c r="P39" i="2"/>
  <c r="P39" i="6"/>
  <c r="P39" i="7"/>
  <c r="O38" i="2"/>
  <c r="O38" i="6"/>
  <c r="O38" i="7"/>
  <c r="N37" i="2"/>
  <c r="N37" i="6"/>
  <c r="N37" i="7"/>
  <c r="M36" i="2"/>
  <c r="M36" i="6"/>
  <c r="M36" i="7"/>
  <c r="AN64" i="2"/>
  <c r="AN64" i="6"/>
  <c r="AN64" i="7"/>
  <c r="AM63" i="2"/>
  <c r="AM63" i="6"/>
  <c r="AM63" i="7"/>
  <c r="AL62" i="2"/>
  <c r="AL62" i="6"/>
  <c r="AL62" i="7"/>
  <c r="AK61" i="2"/>
  <c r="AK61" i="6"/>
  <c r="AK61" i="7"/>
  <c r="AJ60" i="2"/>
  <c r="AJ60" i="6"/>
  <c r="AJ60" i="7"/>
  <c r="AI59" i="2"/>
  <c r="AI59" i="6"/>
  <c r="AI59" i="7"/>
  <c r="AH58" i="2"/>
  <c r="AH58" i="6"/>
  <c r="AH58" i="7"/>
  <c r="AG57" i="2"/>
  <c r="AG57" i="6"/>
  <c r="AG57" i="7"/>
  <c r="AF56" i="2"/>
  <c r="AF56" i="6"/>
  <c r="AF56" i="7"/>
  <c r="AE55" i="2"/>
  <c r="AE55" i="6"/>
  <c r="AE55" i="7"/>
  <c r="AD54" i="2"/>
  <c r="AD54" i="6"/>
  <c r="AD54" i="7"/>
  <c r="AC53" i="2"/>
  <c r="AC53" i="6"/>
  <c r="AC53" i="7"/>
  <c r="AB52" i="2"/>
  <c r="AB52" i="6"/>
  <c r="AB52" i="7"/>
  <c r="AA51" i="2"/>
  <c r="AA51" i="6"/>
  <c r="AA51" i="7"/>
  <c r="Z50" i="2"/>
  <c r="Z50" i="6"/>
  <c r="Z50" i="7"/>
  <c r="Y49" i="2"/>
  <c r="Y49" i="6"/>
  <c r="Y49" i="7"/>
  <c r="X48" i="2"/>
  <c r="X48" i="6"/>
  <c r="X48" i="7"/>
  <c r="W47" i="2"/>
  <c r="W47" i="6"/>
  <c r="W47" i="7"/>
  <c r="V46" i="2"/>
  <c r="V46" i="6"/>
  <c r="V46" i="7"/>
  <c r="U45" i="2"/>
  <c r="U45" i="6"/>
  <c r="U45" i="7"/>
  <c r="T44" i="2"/>
  <c r="T44" i="6"/>
  <c r="T44" i="7"/>
  <c r="S43" i="2"/>
  <c r="S43" i="6"/>
  <c r="S43" i="7"/>
  <c r="R42" i="2"/>
  <c r="R42" i="6"/>
  <c r="R42" i="7"/>
  <c r="Q41" i="2"/>
  <c r="Q41" i="6"/>
  <c r="Q41" i="7"/>
  <c r="P40" i="2"/>
  <c r="P40" i="6"/>
  <c r="P40" i="7"/>
  <c r="O39" i="2"/>
  <c r="O39" i="6"/>
  <c r="O39" i="7"/>
  <c r="N38" i="2"/>
  <c r="N38" i="6"/>
  <c r="N38" i="7"/>
  <c r="M37" i="2"/>
  <c r="M37" i="6"/>
  <c r="M37" i="7"/>
  <c r="L36" i="2"/>
  <c r="L36" i="6"/>
  <c r="L36" i="7"/>
  <c r="AM64" i="2"/>
  <c r="AM64" i="6"/>
  <c r="AM64" i="7"/>
  <c r="AL63" i="2"/>
  <c r="AL63" i="6"/>
  <c r="AL63" i="7"/>
  <c r="AK62" i="2"/>
  <c r="AK62" i="6"/>
  <c r="AK62" i="7"/>
  <c r="AJ61" i="2"/>
  <c r="AJ61" i="6"/>
  <c r="AJ61" i="7"/>
  <c r="AI60" i="2"/>
  <c r="AI60" i="6"/>
  <c r="AI60" i="7"/>
  <c r="AH59" i="2"/>
  <c r="AH59" i="6"/>
  <c r="AH59" i="7"/>
  <c r="AG58" i="2"/>
  <c r="AG58" i="6"/>
  <c r="AG58" i="7"/>
  <c r="AF57" i="2"/>
  <c r="AF57" i="6"/>
  <c r="AF57" i="7"/>
  <c r="AE56" i="2"/>
  <c r="AE56" i="6"/>
  <c r="AE56" i="7"/>
  <c r="AD55" i="2"/>
  <c r="AD55" i="6"/>
  <c r="AD55" i="7"/>
  <c r="AC54" i="2"/>
  <c r="AC54" i="6"/>
  <c r="AC54" i="7"/>
  <c r="AB53" i="2"/>
  <c r="AB53" i="6"/>
  <c r="AB53" i="7"/>
  <c r="AA52" i="2"/>
  <c r="AA52" i="6"/>
  <c r="AA52" i="7"/>
  <c r="Z51" i="2"/>
  <c r="Z51" i="6"/>
  <c r="Z51" i="7"/>
  <c r="Y50" i="2"/>
  <c r="Y50" i="6"/>
  <c r="Y50" i="7"/>
  <c r="X49" i="2"/>
  <c r="X49" i="6"/>
  <c r="X49" i="7"/>
  <c r="W48" i="2"/>
  <c r="W48" i="6"/>
  <c r="W48" i="7"/>
  <c r="V47" i="2"/>
  <c r="V47" i="6"/>
  <c r="V47" i="7"/>
  <c r="U46" i="2"/>
  <c r="U46" i="6"/>
  <c r="U46" i="7"/>
  <c r="T45" i="2"/>
  <c r="T45" i="6"/>
  <c r="T45" i="7"/>
  <c r="S44" i="2"/>
  <c r="S44" i="6"/>
  <c r="S44" i="7"/>
  <c r="R43" i="2"/>
  <c r="R43" i="6"/>
  <c r="R43" i="7"/>
  <c r="Q42" i="2"/>
  <c r="Q42" i="6"/>
  <c r="Q42" i="7"/>
  <c r="P41" i="2"/>
  <c r="P41" i="6"/>
  <c r="P41" i="7"/>
  <c r="O40" i="2"/>
  <c r="O40" i="6"/>
  <c r="O40" i="7"/>
  <c r="N39" i="2"/>
  <c r="N39" i="6"/>
  <c r="N39" i="7"/>
  <c r="M38" i="2"/>
  <c r="M38" i="6"/>
  <c r="M38" i="7"/>
  <c r="L37" i="2"/>
  <c r="L37" i="6"/>
  <c r="L37" i="7"/>
  <c r="AL64" i="2"/>
  <c r="AL64" i="6"/>
  <c r="AL64" i="7"/>
  <c r="AK63" i="2"/>
  <c r="AK63" i="6"/>
  <c r="AK63" i="7"/>
  <c r="AJ62" i="2"/>
  <c r="AJ62" i="6"/>
  <c r="AJ62" i="7"/>
  <c r="AI61" i="2"/>
  <c r="AI61" i="6"/>
  <c r="AI61" i="7"/>
  <c r="AH60" i="2"/>
  <c r="AH60" i="6"/>
  <c r="AH60" i="7"/>
  <c r="AG59" i="2"/>
  <c r="AG59" i="6"/>
  <c r="AG59" i="7"/>
  <c r="AF58" i="2"/>
  <c r="AF58" i="6"/>
  <c r="AF58" i="7"/>
  <c r="AE57" i="2"/>
  <c r="AE57" i="6"/>
  <c r="AE57" i="7"/>
  <c r="AD56" i="2"/>
  <c r="AD56" i="6"/>
  <c r="AD56" i="7"/>
  <c r="AC55" i="2"/>
  <c r="AC55" i="6"/>
  <c r="AC55" i="7"/>
  <c r="AB54" i="2"/>
  <c r="AB54" i="6"/>
  <c r="AB54" i="7"/>
  <c r="AA53" i="2"/>
  <c r="AA53" i="6"/>
  <c r="AA53" i="7"/>
  <c r="Z52" i="2"/>
  <c r="Z52" i="6"/>
  <c r="Z52" i="7"/>
  <c r="Y51" i="2"/>
  <c r="Y51" i="6"/>
  <c r="Y51" i="7"/>
  <c r="X50" i="2"/>
  <c r="X50" i="6"/>
  <c r="X50" i="7"/>
  <c r="W49" i="2"/>
  <c r="W49" i="6"/>
  <c r="W49" i="7"/>
  <c r="V48" i="2"/>
  <c r="V48" i="6"/>
  <c r="V48" i="7"/>
  <c r="U47" i="2"/>
  <c r="U47" i="6"/>
  <c r="U47" i="7"/>
  <c r="T46" i="2"/>
  <c r="T46" i="6"/>
  <c r="T46" i="7"/>
  <c r="S45" i="2"/>
  <c r="S45" i="6"/>
  <c r="S45" i="7"/>
  <c r="R44" i="2"/>
  <c r="R44" i="6"/>
  <c r="R44" i="7"/>
  <c r="Q43" i="2"/>
  <c r="Q43" i="6"/>
  <c r="Q43" i="7"/>
  <c r="P42" i="2"/>
  <c r="P42" i="6"/>
  <c r="P42" i="7"/>
  <c r="O41" i="2"/>
  <c r="O41" i="6"/>
  <c r="O41" i="7"/>
  <c r="N40" i="2"/>
  <c r="N40" i="6"/>
  <c r="N40" i="7"/>
  <c r="M39" i="2"/>
  <c r="M39" i="6"/>
  <c r="M39" i="7"/>
  <c r="L38" i="2"/>
  <c r="L38" i="6"/>
  <c r="L38" i="7"/>
  <c r="K37" i="2"/>
  <c r="K37" i="6"/>
  <c r="K37" i="7"/>
  <c r="AK64" i="2"/>
  <c r="AK64" i="6"/>
  <c r="AK64" i="7"/>
  <c r="AJ63" i="2"/>
  <c r="AJ63" i="6"/>
  <c r="AJ63" i="7"/>
  <c r="AI62" i="2"/>
  <c r="AI62" i="6"/>
  <c r="AI62" i="7"/>
  <c r="AH61" i="2"/>
  <c r="AH61" i="6"/>
  <c r="AH61" i="7"/>
  <c r="AG60" i="2"/>
  <c r="AG60" i="6"/>
  <c r="AG60" i="7"/>
  <c r="AF59" i="2"/>
  <c r="AF59" i="6"/>
  <c r="AF59" i="7"/>
  <c r="AE58" i="2"/>
  <c r="AE58" i="6"/>
  <c r="AE58" i="7"/>
  <c r="AD57" i="2"/>
  <c r="AD57" i="6"/>
  <c r="AD57" i="7"/>
  <c r="AC56" i="2"/>
  <c r="AC56" i="6"/>
  <c r="AC56" i="7"/>
  <c r="AB55" i="2"/>
  <c r="AB55" i="6"/>
  <c r="AB55" i="7"/>
  <c r="AA54" i="2"/>
  <c r="AA54" i="6"/>
  <c r="AA54" i="7"/>
  <c r="Z53" i="2"/>
  <c r="Z53" i="6"/>
  <c r="Z53" i="7"/>
  <c r="Y52" i="2"/>
  <c r="Y52" i="6"/>
  <c r="Y52" i="7"/>
  <c r="X51" i="2"/>
  <c r="X51" i="6"/>
  <c r="X51" i="7"/>
  <c r="W50" i="2"/>
  <c r="W50" i="6"/>
  <c r="W50" i="7"/>
  <c r="V49" i="2"/>
  <c r="V49" i="6"/>
  <c r="V49" i="7"/>
  <c r="U48" i="2"/>
  <c r="U48" i="6"/>
  <c r="U48" i="7"/>
  <c r="T47" i="2"/>
  <c r="T47" i="6"/>
  <c r="T47" i="7"/>
  <c r="S46" i="2"/>
  <c r="S46" i="6"/>
  <c r="S46" i="7"/>
  <c r="R45" i="2"/>
  <c r="R45" i="6"/>
  <c r="R45" i="7"/>
  <c r="Q44" i="2"/>
  <c r="Q44" i="6"/>
  <c r="Q44" i="7"/>
  <c r="P43" i="2"/>
  <c r="P43" i="6"/>
  <c r="P43" i="7"/>
  <c r="O42" i="2"/>
  <c r="O42" i="6"/>
  <c r="O42" i="7"/>
  <c r="N41" i="2"/>
  <c r="N41" i="6"/>
  <c r="N41" i="7"/>
  <c r="M40" i="2"/>
  <c r="M40" i="6"/>
  <c r="M40" i="7"/>
  <c r="L39" i="2"/>
  <c r="L39" i="6"/>
  <c r="L39" i="7"/>
  <c r="K38" i="2"/>
  <c r="K38" i="6"/>
  <c r="K38" i="7"/>
  <c r="AJ64" i="2"/>
  <c r="AJ64" i="6"/>
  <c r="AJ64" i="7"/>
  <c r="AI63" i="2"/>
  <c r="AI63" i="6"/>
  <c r="AI63" i="7"/>
  <c r="AH62" i="2"/>
  <c r="AH62" i="6"/>
  <c r="AH62" i="7"/>
  <c r="AG61" i="2"/>
  <c r="AG61" i="6"/>
  <c r="AG61" i="7"/>
  <c r="AF60" i="2"/>
  <c r="AF60" i="6"/>
  <c r="AF60" i="7"/>
  <c r="AE59" i="2"/>
  <c r="AE59" i="6"/>
  <c r="AE59" i="7"/>
  <c r="AD58" i="2"/>
  <c r="AD58" i="6"/>
  <c r="AD58" i="7"/>
  <c r="AC57" i="2"/>
  <c r="AC57" i="6"/>
  <c r="AC57" i="7"/>
  <c r="AB56" i="2"/>
  <c r="AB56" i="6"/>
  <c r="AB56" i="7"/>
  <c r="AA55" i="2"/>
  <c r="AA55" i="6"/>
  <c r="AA55" i="7"/>
  <c r="AA55" i="8"/>
  <c r="Z54" i="2"/>
  <c r="Z54" i="6"/>
  <c r="Z54" i="7"/>
  <c r="Y53" i="2"/>
  <c r="Y53" i="6"/>
  <c r="Y53" i="7"/>
  <c r="X52" i="2"/>
  <c r="X52" i="6"/>
  <c r="X52" i="7"/>
  <c r="W51" i="2"/>
  <c r="W51" i="6"/>
  <c r="W51" i="7"/>
  <c r="V50" i="2"/>
  <c r="V50" i="6"/>
  <c r="V50" i="7"/>
  <c r="U49" i="2"/>
  <c r="U49" i="6"/>
  <c r="U49" i="7"/>
  <c r="T48" i="2"/>
  <c r="T48" i="6"/>
  <c r="T48" i="7"/>
  <c r="S47" i="2"/>
  <c r="S47" i="6"/>
  <c r="S47" i="7"/>
  <c r="R46" i="2"/>
  <c r="R46" i="6"/>
  <c r="R46" i="7"/>
  <c r="Q45" i="2"/>
  <c r="Q45" i="6"/>
  <c r="Q45" i="7"/>
  <c r="P44" i="2"/>
  <c r="P44" i="6"/>
  <c r="P44" i="7"/>
  <c r="O43" i="2"/>
  <c r="O43" i="6"/>
  <c r="O43" i="7"/>
  <c r="N42" i="2"/>
  <c r="N42" i="6"/>
  <c r="N42" i="7"/>
  <c r="M41" i="2"/>
  <c r="M41" i="6"/>
  <c r="M41" i="7"/>
  <c r="L40" i="2"/>
  <c r="L40" i="6"/>
  <c r="L40" i="7"/>
  <c r="K39" i="2"/>
  <c r="K39" i="6"/>
  <c r="K39" i="7"/>
  <c r="J38" i="2"/>
  <c r="J38" i="6"/>
  <c r="J38" i="7"/>
  <c r="AI64" i="2"/>
  <c r="AI64" i="6"/>
  <c r="AI64" i="7"/>
  <c r="AH63" i="2"/>
  <c r="AH63" i="6"/>
  <c r="AH63" i="7"/>
  <c r="AG62" i="2"/>
  <c r="AG62" i="6"/>
  <c r="AG62" i="7"/>
  <c r="AG62" i="8"/>
  <c r="AF61" i="2"/>
  <c r="AF61" i="6"/>
  <c r="AF61" i="7"/>
  <c r="AE60" i="2"/>
  <c r="AE60" i="6"/>
  <c r="AE60" i="7"/>
  <c r="AD59" i="2"/>
  <c r="AD59" i="6"/>
  <c r="AD59" i="7"/>
  <c r="AC58" i="2"/>
  <c r="AC58" i="6"/>
  <c r="AC58" i="7"/>
  <c r="AB57" i="2"/>
  <c r="AB57" i="6"/>
  <c r="AB57" i="7"/>
  <c r="AA56" i="2"/>
  <c r="AA56" i="6"/>
  <c r="AA56" i="7"/>
  <c r="Z55" i="2"/>
  <c r="Z55" i="6"/>
  <c r="Z55" i="7"/>
  <c r="Y54" i="2"/>
  <c r="Y54" i="6"/>
  <c r="Y54" i="7"/>
  <c r="X53" i="2"/>
  <c r="X53" i="6"/>
  <c r="X53" i="7"/>
  <c r="W52" i="2"/>
  <c r="W52" i="6"/>
  <c r="W52" i="7"/>
  <c r="V51" i="2"/>
  <c r="V51" i="6"/>
  <c r="V51" i="7"/>
  <c r="U50" i="2"/>
  <c r="U50" i="6"/>
  <c r="U50" i="7"/>
  <c r="T49" i="2"/>
  <c r="T49" i="6"/>
  <c r="T49" i="7"/>
  <c r="S48" i="2"/>
  <c r="S48" i="6"/>
  <c r="S48" i="7"/>
  <c r="R47" i="2"/>
  <c r="R47" i="6"/>
  <c r="R47" i="7"/>
  <c r="Q46" i="2"/>
  <c r="Q46" i="6"/>
  <c r="Q46" i="7"/>
  <c r="P45" i="2"/>
  <c r="P45" i="6"/>
  <c r="P45" i="7"/>
  <c r="O44" i="2"/>
  <c r="O44" i="6"/>
  <c r="O44" i="7"/>
  <c r="N43" i="2"/>
  <c r="N43" i="6"/>
  <c r="N43" i="7"/>
  <c r="M42" i="2"/>
  <c r="M42" i="6"/>
  <c r="M42" i="7"/>
  <c r="L41" i="2"/>
  <c r="L41" i="6"/>
  <c r="L41" i="7"/>
  <c r="K40" i="2"/>
  <c r="K40" i="6"/>
  <c r="K40" i="7"/>
  <c r="J39" i="2"/>
  <c r="J39" i="6"/>
  <c r="J39" i="7"/>
  <c r="AH64" i="2"/>
  <c r="AH64" i="6"/>
  <c r="AH64" i="7"/>
  <c r="AH64" i="8"/>
  <c r="AG63" i="2"/>
  <c r="AG63" i="6"/>
  <c r="AG63" i="7"/>
  <c r="AF62" i="2"/>
  <c r="AF62" i="6"/>
  <c r="AF62" i="7"/>
  <c r="AE61" i="2"/>
  <c r="AE61" i="6"/>
  <c r="AE61" i="7"/>
  <c r="AD60" i="2"/>
  <c r="AD60" i="6"/>
  <c r="AD60" i="7"/>
  <c r="AC59" i="2"/>
  <c r="AC59" i="6"/>
  <c r="AC59" i="7"/>
  <c r="AB58" i="2"/>
  <c r="AB58" i="6"/>
  <c r="AB58" i="7"/>
  <c r="AA57" i="2"/>
  <c r="AA57" i="6"/>
  <c r="AA57" i="7"/>
  <c r="Z56" i="2"/>
  <c r="Z56" i="6"/>
  <c r="Z56" i="7"/>
  <c r="Y55" i="2"/>
  <c r="Y55" i="6"/>
  <c r="Y55" i="7"/>
  <c r="X54" i="2"/>
  <c r="X54" i="6"/>
  <c r="X54" i="7"/>
  <c r="W53" i="2"/>
  <c r="W53" i="6"/>
  <c r="W53" i="7"/>
  <c r="V52" i="2"/>
  <c r="V52" i="6"/>
  <c r="V52" i="7"/>
  <c r="U51" i="2"/>
  <c r="U51" i="6"/>
  <c r="U51" i="7"/>
  <c r="T50" i="2"/>
  <c r="T50" i="6"/>
  <c r="T50" i="7"/>
  <c r="S49" i="2"/>
  <c r="S49" i="6"/>
  <c r="S49" i="7"/>
  <c r="R48" i="2"/>
  <c r="R48" i="6"/>
  <c r="R48" i="7"/>
  <c r="Q47" i="2"/>
  <c r="Q47" i="6"/>
  <c r="Q47" i="7"/>
  <c r="P46" i="2"/>
  <c r="P46" i="6"/>
  <c r="P46" i="7"/>
  <c r="O45" i="2"/>
  <c r="O45" i="6"/>
  <c r="O45" i="7"/>
  <c r="N44" i="2"/>
  <c r="N44" i="6"/>
  <c r="N44" i="7"/>
  <c r="M43" i="2"/>
  <c r="M43" i="6"/>
  <c r="M43" i="7"/>
  <c r="L42" i="2"/>
  <c r="L42" i="6"/>
  <c r="L42" i="7"/>
  <c r="K41" i="2"/>
  <c r="K41" i="6"/>
  <c r="K41" i="7"/>
  <c r="J40" i="2"/>
  <c r="J40" i="6"/>
  <c r="J40" i="7"/>
  <c r="I39" i="2"/>
  <c r="I39" i="6"/>
  <c r="I39" i="7"/>
  <c r="AG64" i="2"/>
  <c r="AG64" i="6"/>
  <c r="AG64" i="7"/>
  <c r="AF63" i="2"/>
  <c r="AF63" i="6"/>
  <c r="AF63" i="7"/>
  <c r="AE62" i="2"/>
  <c r="AE62" i="6"/>
  <c r="AE62" i="7"/>
  <c r="AD61" i="2"/>
  <c r="AD61" i="6"/>
  <c r="AD61" i="7"/>
  <c r="AC60" i="2"/>
  <c r="AC60" i="6"/>
  <c r="AC60" i="7"/>
  <c r="AB59" i="2"/>
  <c r="AB59" i="6"/>
  <c r="AB59" i="7"/>
  <c r="AA58" i="2"/>
  <c r="AA58" i="6"/>
  <c r="AA58" i="7"/>
  <c r="Z57" i="2"/>
  <c r="Z57" i="6"/>
  <c r="Z57" i="7"/>
  <c r="Y56" i="2"/>
  <c r="Y56" i="6"/>
  <c r="Y56" i="7"/>
  <c r="X55" i="2"/>
  <c r="X55" i="6"/>
  <c r="X55" i="7"/>
  <c r="W54" i="2"/>
  <c r="W54" i="6"/>
  <c r="W54" i="7"/>
  <c r="V53" i="2"/>
  <c r="V53" i="6"/>
  <c r="V53" i="7"/>
  <c r="U52" i="2"/>
  <c r="U52" i="6"/>
  <c r="U52" i="7"/>
  <c r="T51" i="2"/>
  <c r="T51" i="6"/>
  <c r="T51" i="7"/>
  <c r="S50" i="2"/>
  <c r="S50" i="6"/>
  <c r="S50" i="7"/>
  <c r="R49" i="2"/>
  <c r="R49" i="6"/>
  <c r="R49" i="7"/>
  <c r="Q48" i="2"/>
  <c r="Q48" i="6"/>
  <c r="Q48" i="7"/>
  <c r="P47" i="2"/>
  <c r="P47" i="6"/>
  <c r="P47" i="7"/>
  <c r="O46" i="2"/>
  <c r="O46" i="6"/>
  <c r="O46" i="7"/>
  <c r="N45" i="2"/>
  <c r="N45" i="6"/>
  <c r="N45" i="7"/>
  <c r="M44" i="2"/>
  <c r="M44" i="6"/>
  <c r="M44" i="7"/>
  <c r="L43" i="2"/>
  <c r="L43" i="6"/>
  <c r="L43" i="7"/>
  <c r="K42" i="2"/>
  <c r="K42" i="6"/>
  <c r="K42" i="7"/>
  <c r="J41" i="2"/>
  <c r="J41" i="6"/>
  <c r="J41" i="7"/>
  <c r="I40" i="2"/>
  <c r="I40" i="6"/>
  <c r="I40" i="7"/>
  <c r="AF64" i="2"/>
  <c r="AF64" i="6"/>
  <c r="AF64" i="7"/>
  <c r="AE63" i="2"/>
  <c r="AE63" i="6"/>
  <c r="AE63" i="7"/>
  <c r="AD62" i="2"/>
  <c r="AD62" i="6"/>
  <c r="AD62" i="7"/>
  <c r="AC61" i="2"/>
  <c r="AC61" i="6"/>
  <c r="AC61" i="7"/>
  <c r="AB60" i="2"/>
  <c r="AB60" i="6"/>
  <c r="AB60" i="7"/>
  <c r="AA59" i="2"/>
  <c r="AA59" i="6"/>
  <c r="AA59" i="7"/>
  <c r="Z58" i="2"/>
  <c r="Z58" i="6"/>
  <c r="Z58" i="7"/>
  <c r="Y57" i="2"/>
  <c r="Y57" i="6"/>
  <c r="Y57" i="7"/>
  <c r="X56" i="2"/>
  <c r="X56" i="6"/>
  <c r="X56" i="7"/>
  <c r="W55" i="2"/>
  <c r="W55" i="6"/>
  <c r="W55" i="7"/>
  <c r="W55" i="8"/>
  <c r="V54" i="2"/>
  <c r="V54" i="6"/>
  <c r="V54" i="7"/>
  <c r="U53" i="2"/>
  <c r="U53" i="6"/>
  <c r="U53" i="7"/>
  <c r="T52" i="2"/>
  <c r="T52" i="6"/>
  <c r="T52" i="7"/>
  <c r="S51" i="2"/>
  <c r="S51" i="6"/>
  <c r="S51" i="7"/>
  <c r="R50" i="2"/>
  <c r="R50" i="6"/>
  <c r="R50" i="7"/>
  <c r="Q49" i="2"/>
  <c r="Q49" i="6"/>
  <c r="Q49" i="7"/>
  <c r="P48" i="2"/>
  <c r="P48" i="6"/>
  <c r="P48" i="7"/>
  <c r="O47" i="2"/>
  <c r="O47" i="6"/>
  <c r="O47" i="7"/>
  <c r="N46" i="2"/>
  <c r="N46" i="6"/>
  <c r="N46" i="7"/>
  <c r="M45" i="2"/>
  <c r="M45" i="6"/>
  <c r="M45" i="7"/>
  <c r="L44" i="2"/>
  <c r="L44" i="6"/>
  <c r="L44" i="7"/>
  <c r="K43" i="2"/>
  <c r="K43" i="6"/>
  <c r="K43" i="7"/>
  <c r="J42" i="2"/>
  <c r="J42" i="6"/>
  <c r="J42" i="7"/>
  <c r="I41" i="2"/>
  <c r="I41" i="6"/>
  <c r="I41" i="7"/>
  <c r="H40" i="2"/>
  <c r="H40" i="6"/>
  <c r="H40" i="7"/>
  <c r="AE64" i="2"/>
  <c r="AE64" i="6"/>
  <c r="AE64" i="7"/>
  <c r="AD63" i="2"/>
  <c r="AD63" i="6"/>
  <c r="AD63" i="7"/>
  <c r="AC62" i="2"/>
  <c r="AC62" i="6"/>
  <c r="AC62" i="7"/>
  <c r="AB61" i="2"/>
  <c r="AB61" i="6"/>
  <c r="AB61" i="7"/>
  <c r="AA60" i="2"/>
  <c r="AA60" i="6"/>
  <c r="AA60" i="7"/>
  <c r="AA60" i="8"/>
  <c r="Z59" i="2"/>
  <c r="Z59" i="6"/>
  <c r="Z59" i="7"/>
  <c r="Y58" i="2"/>
  <c r="Y58" i="6"/>
  <c r="Y58" i="7"/>
  <c r="X57" i="2"/>
  <c r="X57" i="6"/>
  <c r="X57" i="7"/>
  <c r="W56" i="2"/>
  <c r="W56" i="6"/>
  <c r="W56" i="7"/>
  <c r="V55" i="2"/>
  <c r="V55" i="6"/>
  <c r="V55" i="7"/>
  <c r="U54" i="2"/>
  <c r="U54" i="6"/>
  <c r="U54" i="7"/>
  <c r="T53" i="2"/>
  <c r="T53" i="6"/>
  <c r="T53" i="7"/>
  <c r="S52" i="2"/>
  <c r="S52" i="6"/>
  <c r="S52" i="7"/>
  <c r="R51" i="2"/>
  <c r="R51" i="6"/>
  <c r="R51" i="7"/>
  <c r="Q50" i="2"/>
  <c r="Q50" i="6"/>
  <c r="Q50" i="7"/>
  <c r="P49" i="2"/>
  <c r="P49" i="6"/>
  <c r="P49" i="7"/>
  <c r="O48" i="2"/>
  <c r="O48" i="6"/>
  <c r="O48" i="7"/>
  <c r="N47" i="2"/>
  <c r="N47" i="6"/>
  <c r="N47" i="7"/>
  <c r="M46" i="2"/>
  <c r="M46" i="6"/>
  <c r="M46" i="7"/>
  <c r="L45" i="2"/>
  <c r="L45" i="6"/>
  <c r="L45" i="7"/>
  <c r="K44" i="2"/>
  <c r="K44" i="6"/>
  <c r="K44" i="7"/>
  <c r="J43" i="2"/>
  <c r="J43" i="6"/>
  <c r="J43" i="7"/>
  <c r="I42" i="2"/>
  <c r="I42" i="6"/>
  <c r="I42" i="7"/>
  <c r="H41" i="2"/>
  <c r="H41" i="6"/>
  <c r="H41" i="7"/>
  <c r="AD64" i="2"/>
  <c r="AD64" i="6"/>
  <c r="AD64" i="7"/>
  <c r="AC63" i="2"/>
  <c r="AC63" i="6"/>
  <c r="AC63" i="7"/>
  <c r="AB62" i="2"/>
  <c r="AB62" i="6"/>
  <c r="AB62" i="7"/>
  <c r="AA61" i="2"/>
  <c r="AA61" i="6"/>
  <c r="AA61" i="7"/>
  <c r="Z60" i="2"/>
  <c r="Z60" i="6"/>
  <c r="Z60" i="7"/>
  <c r="Y59" i="2"/>
  <c r="Y59" i="6"/>
  <c r="Y59" i="7"/>
  <c r="X58" i="2"/>
  <c r="X58" i="6"/>
  <c r="X58" i="7"/>
  <c r="W57" i="2"/>
  <c r="W57" i="6"/>
  <c r="W57" i="7"/>
  <c r="V56" i="2"/>
  <c r="V56" i="6"/>
  <c r="V56" i="7"/>
  <c r="U55" i="2"/>
  <c r="U55" i="6"/>
  <c r="U55" i="7"/>
  <c r="T54" i="2"/>
  <c r="T54" i="6"/>
  <c r="T54" i="7"/>
  <c r="S53" i="2"/>
  <c r="S53" i="6"/>
  <c r="S53" i="7"/>
  <c r="R52" i="2"/>
  <c r="R52" i="6"/>
  <c r="R52" i="7"/>
  <c r="Q51" i="2"/>
  <c r="Q51" i="6"/>
  <c r="Q51" i="7"/>
  <c r="P50" i="2"/>
  <c r="P50" i="6"/>
  <c r="P50" i="7"/>
  <c r="O49" i="2"/>
  <c r="O49" i="6"/>
  <c r="O49" i="7"/>
  <c r="N48" i="2"/>
  <c r="N48" i="6"/>
  <c r="N48" i="7"/>
  <c r="N48" i="8"/>
  <c r="M47" i="2"/>
  <c r="M47" i="6"/>
  <c r="M47" i="7"/>
  <c r="L46" i="2"/>
  <c r="L46" i="6"/>
  <c r="L46" i="7"/>
  <c r="K45" i="2"/>
  <c r="K45" i="6"/>
  <c r="K45" i="7"/>
  <c r="J44" i="2"/>
  <c r="J44" i="6"/>
  <c r="J44" i="7"/>
  <c r="I43" i="2"/>
  <c r="I43" i="6"/>
  <c r="I43" i="7"/>
  <c r="H42" i="2"/>
  <c r="H42" i="6"/>
  <c r="H42" i="7"/>
  <c r="G41" i="2"/>
  <c r="G41" i="6"/>
  <c r="G41" i="7"/>
  <c r="AC64" i="2"/>
  <c r="AC64" i="6"/>
  <c r="AC64" i="7"/>
  <c r="AC64" i="8"/>
  <c r="AB63" i="2"/>
  <c r="AB63" i="6"/>
  <c r="AB63" i="7"/>
  <c r="AA62" i="2"/>
  <c r="AA62" i="6"/>
  <c r="AA62" i="7"/>
  <c r="Z61" i="2"/>
  <c r="Z61" i="6"/>
  <c r="Z61" i="7"/>
  <c r="Y60" i="2"/>
  <c r="Y60" i="6"/>
  <c r="Y60" i="7"/>
  <c r="X59" i="2"/>
  <c r="X59" i="6"/>
  <c r="X59" i="7"/>
  <c r="W58" i="2"/>
  <c r="W58" i="6"/>
  <c r="W58" i="7"/>
  <c r="V57" i="2"/>
  <c r="V57" i="6"/>
  <c r="V57" i="7"/>
  <c r="U56" i="2"/>
  <c r="U56" i="6"/>
  <c r="U56" i="7"/>
  <c r="U56" i="8"/>
  <c r="T55" i="2"/>
  <c r="T55" i="6"/>
  <c r="T55" i="7"/>
  <c r="S54" i="2"/>
  <c r="S54" i="6"/>
  <c r="S54" i="7"/>
  <c r="R53" i="2"/>
  <c r="R53" i="6"/>
  <c r="R53" i="7"/>
  <c r="Q52" i="2"/>
  <c r="Q52" i="6"/>
  <c r="Q52" i="7"/>
  <c r="P51" i="2"/>
  <c r="P51" i="6"/>
  <c r="P51" i="7"/>
  <c r="O50" i="2"/>
  <c r="O50" i="6"/>
  <c r="O50" i="7"/>
  <c r="N49" i="2"/>
  <c r="N49" i="6"/>
  <c r="N49" i="7"/>
  <c r="M48" i="2"/>
  <c r="M48" i="6"/>
  <c r="M48" i="7"/>
  <c r="L47" i="2"/>
  <c r="L47" i="6"/>
  <c r="L47" i="7"/>
  <c r="K46" i="2"/>
  <c r="K46" i="6"/>
  <c r="K46" i="7"/>
  <c r="J45" i="2"/>
  <c r="J45" i="6"/>
  <c r="J45" i="7"/>
  <c r="I44" i="2"/>
  <c r="I44" i="6"/>
  <c r="I44" i="7"/>
  <c r="H43" i="2"/>
  <c r="H43" i="6"/>
  <c r="H43" i="7"/>
  <c r="G42" i="2"/>
  <c r="G42" i="6"/>
  <c r="G42" i="7"/>
  <c r="AB64" i="2"/>
  <c r="AB64" i="6"/>
  <c r="AB64" i="7"/>
  <c r="AA63" i="2"/>
  <c r="AA63" i="6"/>
  <c r="AA63" i="7"/>
  <c r="Z62" i="2"/>
  <c r="Z62" i="6"/>
  <c r="Z62" i="7"/>
  <c r="Y61" i="2"/>
  <c r="Y61" i="6"/>
  <c r="Y61" i="7"/>
  <c r="X60" i="2"/>
  <c r="X60" i="6"/>
  <c r="X60" i="7"/>
  <c r="W59" i="2"/>
  <c r="W59" i="6"/>
  <c r="W59" i="7"/>
  <c r="V58" i="2"/>
  <c r="V58" i="6"/>
  <c r="V58" i="7"/>
  <c r="U57" i="2"/>
  <c r="U57" i="6"/>
  <c r="U57" i="7"/>
  <c r="T56" i="2"/>
  <c r="T56" i="6"/>
  <c r="T56" i="7"/>
  <c r="S55" i="2"/>
  <c r="S55" i="6"/>
  <c r="S55" i="7"/>
  <c r="R54" i="2"/>
  <c r="R54" i="6"/>
  <c r="R54" i="7"/>
  <c r="Q53" i="2"/>
  <c r="Q53" i="6"/>
  <c r="Q53" i="7"/>
  <c r="P52" i="2"/>
  <c r="P52" i="6"/>
  <c r="P52" i="7"/>
  <c r="O51" i="2"/>
  <c r="O51" i="6"/>
  <c r="O51" i="7"/>
  <c r="N50" i="2"/>
  <c r="N50" i="6"/>
  <c r="N50" i="7"/>
  <c r="M49" i="2"/>
  <c r="M49" i="6"/>
  <c r="M49" i="7"/>
  <c r="L48" i="2"/>
  <c r="L48" i="6"/>
  <c r="L48" i="7"/>
  <c r="K47" i="2"/>
  <c r="K47" i="6"/>
  <c r="K47" i="7"/>
  <c r="J46" i="2"/>
  <c r="J46" i="6"/>
  <c r="J46" i="7"/>
  <c r="I45" i="2"/>
  <c r="I45" i="6"/>
  <c r="I45" i="7"/>
  <c r="H44" i="2"/>
  <c r="H44" i="6"/>
  <c r="H44" i="7"/>
  <c r="G43" i="2"/>
  <c r="G43" i="6"/>
  <c r="G43" i="7"/>
  <c r="F42" i="2"/>
  <c r="F42" i="6"/>
  <c r="F42" i="7"/>
  <c r="AA64" i="2"/>
  <c r="AA64" i="6"/>
  <c r="AA64" i="7"/>
  <c r="Z63" i="2"/>
  <c r="Z63" i="6"/>
  <c r="Z63" i="7"/>
  <c r="Y62" i="2"/>
  <c r="Y62" i="6"/>
  <c r="Y62" i="7"/>
  <c r="X61" i="2"/>
  <c r="X61" i="6"/>
  <c r="X61" i="7"/>
  <c r="W60" i="2"/>
  <c r="W60" i="6"/>
  <c r="W60" i="7"/>
  <c r="V59" i="2"/>
  <c r="V59" i="6"/>
  <c r="V59" i="7"/>
  <c r="U58" i="2"/>
  <c r="U58" i="6"/>
  <c r="U58" i="7"/>
  <c r="T57" i="2"/>
  <c r="T57" i="6"/>
  <c r="T57" i="7"/>
  <c r="S56" i="2"/>
  <c r="S56" i="6"/>
  <c r="S56" i="7"/>
  <c r="R55" i="2"/>
  <c r="R55" i="6"/>
  <c r="R55" i="7"/>
  <c r="Q54" i="2"/>
  <c r="Q54" i="6"/>
  <c r="Q54" i="7"/>
  <c r="P53" i="2"/>
  <c r="P53" i="6"/>
  <c r="P53" i="7"/>
  <c r="O52" i="2"/>
  <c r="O52" i="6"/>
  <c r="O52" i="7"/>
  <c r="N51" i="2"/>
  <c r="N51" i="6"/>
  <c r="N51" i="7"/>
  <c r="M50" i="2"/>
  <c r="M50" i="6"/>
  <c r="M50" i="7"/>
  <c r="L49" i="2"/>
  <c r="L49" i="6"/>
  <c r="L49" i="7"/>
  <c r="K48" i="2"/>
  <c r="K48" i="6"/>
  <c r="K48" i="7"/>
  <c r="J47" i="2"/>
  <c r="J47" i="6"/>
  <c r="J47" i="7"/>
  <c r="I46" i="2"/>
  <c r="I46" i="6"/>
  <c r="I46" i="7"/>
  <c r="H45" i="2"/>
  <c r="H45" i="6"/>
  <c r="H45" i="7"/>
  <c r="G44" i="2"/>
  <c r="G44" i="6"/>
  <c r="G44" i="7"/>
  <c r="F43" i="2"/>
  <c r="F43" i="6"/>
  <c r="F43" i="7"/>
  <c r="Z64" i="2"/>
  <c r="Z64" i="6"/>
  <c r="Z64" i="7"/>
  <c r="Y63" i="2"/>
  <c r="Y63" i="6"/>
  <c r="Y63" i="7"/>
  <c r="X62" i="2"/>
  <c r="X62" i="6"/>
  <c r="X62" i="7"/>
  <c r="W61" i="2"/>
  <c r="W61" i="6"/>
  <c r="W61" i="7"/>
  <c r="V60" i="2"/>
  <c r="V60" i="6"/>
  <c r="V60" i="7"/>
  <c r="U59" i="2"/>
  <c r="U59" i="6"/>
  <c r="U59" i="7"/>
  <c r="T58" i="2"/>
  <c r="T58" i="6"/>
  <c r="T58" i="7"/>
  <c r="S57" i="2"/>
  <c r="S57" i="6"/>
  <c r="S57" i="7"/>
  <c r="R56" i="2"/>
  <c r="R56" i="6"/>
  <c r="R56" i="7"/>
  <c r="Q55" i="2"/>
  <c r="Q55" i="6"/>
  <c r="Q55" i="7"/>
  <c r="P54" i="2"/>
  <c r="P54" i="6"/>
  <c r="P54" i="7"/>
  <c r="O53" i="2"/>
  <c r="O53" i="6"/>
  <c r="O53" i="7"/>
  <c r="N52" i="2"/>
  <c r="N52" i="6"/>
  <c r="N52" i="7"/>
  <c r="N52" i="8"/>
  <c r="M51" i="2"/>
  <c r="M51" i="6"/>
  <c r="M51" i="7"/>
  <c r="L50" i="2"/>
  <c r="L50" i="6"/>
  <c r="L50" i="7"/>
  <c r="K49" i="2"/>
  <c r="K49" i="6"/>
  <c r="K49" i="7"/>
  <c r="J48" i="2"/>
  <c r="J48" i="6"/>
  <c r="J48" i="7"/>
  <c r="I47" i="2"/>
  <c r="I47" i="6"/>
  <c r="I47" i="7"/>
  <c r="H46" i="2"/>
  <c r="H46" i="6"/>
  <c r="H46" i="7"/>
  <c r="G45" i="2"/>
  <c r="G45" i="6"/>
  <c r="G45" i="7"/>
  <c r="F44" i="2"/>
  <c r="F44" i="6"/>
  <c r="F44" i="7"/>
  <c r="E43" i="2"/>
  <c r="E43" i="6"/>
  <c r="E43" i="7"/>
  <c r="Y64" i="2"/>
  <c r="Y64" i="6"/>
  <c r="Y64" i="7"/>
  <c r="X63" i="2"/>
  <c r="X63" i="6"/>
  <c r="X63" i="7"/>
  <c r="W62" i="2"/>
  <c r="W62" i="6"/>
  <c r="W62" i="7"/>
  <c r="V61" i="2"/>
  <c r="V61" i="6"/>
  <c r="V61" i="7"/>
  <c r="U60" i="2"/>
  <c r="U60" i="6"/>
  <c r="U60" i="7"/>
  <c r="T59" i="2"/>
  <c r="T59" i="6"/>
  <c r="T59" i="7"/>
  <c r="S58" i="2"/>
  <c r="S58" i="6"/>
  <c r="S58" i="7"/>
  <c r="R57" i="2"/>
  <c r="R57" i="6"/>
  <c r="R57" i="7"/>
  <c r="Q56" i="2"/>
  <c r="Q56" i="6"/>
  <c r="Q56" i="7"/>
  <c r="P55" i="2"/>
  <c r="P55" i="6"/>
  <c r="P55" i="7"/>
  <c r="O54" i="2"/>
  <c r="O54" i="6"/>
  <c r="O54" i="7"/>
  <c r="N53" i="2"/>
  <c r="N53" i="6"/>
  <c r="N53" i="7"/>
  <c r="M52" i="2"/>
  <c r="M52" i="6"/>
  <c r="M52" i="7"/>
  <c r="L51" i="2"/>
  <c r="L51" i="6"/>
  <c r="L51" i="7"/>
  <c r="K50" i="2"/>
  <c r="K50" i="6"/>
  <c r="K50" i="7"/>
  <c r="J49" i="2"/>
  <c r="J49" i="6"/>
  <c r="J49" i="7"/>
  <c r="I48" i="2"/>
  <c r="I48" i="6"/>
  <c r="I48" i="7"/>
  <c r="H47" i="2"/>
  <c r="H47" i="6"/>
  <c r="H47" i="7"/>
  <c r="G46" i="2"/>
  <c r="G46" i="6"/>
  <c r="G46" i="7"/>
  <c r="F45" i="2"/>
  <c r="F45" i="6"/>
  <c r="F45" i="7"/>
  <c r="E44" i="2"/>
  <c r="E44" i="6"/>
  <c r="E44" i="7"/>
  <c r="X64" i="2"/>
  <c r="X64" i="6"/>
  <c r="X64" i="7"/>
  <c r="W63" i="2"/>
  <c r="W63" i="6"/>
  <c r="W63" i="7"/>
  <c r="V62" i="2"/>
  <c r="V62" i="6"/>
  <c r="V62" i="7"/>
  <c r="U61" i="2"/>
  <c r="U61" i="6"/>
  <c r="U61" i="7"/>
  <c r="T60" i="2"/>
  <c r="T60" i="6"/>
  <c r="T60" i="7"/>
  <c r="S59" i="2"/>
  <c r="S59" i="6"/>
  <c r="S59" i="7"/>
  <c r="R58" i="2"/>
  <c r="R58" i="6"/>
  <c r="R58" i="7"/>
  <c r="Q57" i="2"/>
  <c r="Q57" i="6"/>
  <c r="Q57" i="7"/>
  <c r="P56" i="2"/>
  <c r="P56" i="6"/>
  <c r="P56" i="7"/>
  <c r="O55" i="2"/>
  <c r="O55" i="6"/>
  <c r="O55" i="7"/>
  <c r="N54" i="2"/>
  <c r="N54" i="6"/>
  <c r="N54" i="7"/>
  <c r="M53" i="2"/>
  <c r="M53" i="6"/>
  <c r="M53" i="7"/>
  <c r="L52" i="2"/>
  <c r="L52" i="6"/>
  <c r="L52" i="7"/>
  <c r="K51" i="2"/>
  <c r="K51" i="6"/>
  <c r="K51" i="7"/>
  <c r="J50" i="2"/>
  <c r="J50" i="6"/>
  <c r="J50" i="7"/>
  <c r="I49" i="2"/>
  <c r="I49" i="6"/>
  <c r="I49" i="7"/>
  <c r="H48" i="2"/>
  <c r="H48" i="6"/>
  <c r="H48" i="7"/>
  <c r="G47" i="2"/>
  <c r="G47" i="6"/>
  <c r="G47" i="7"/>
  <c r="F46" i="2"/>
  <c r="F46" i="6"/>
  <c r="F46" i="7"/>
  <c r="E45" i="2"/>
  <c r="E45" i="6"/>
  <c r="E45" i="7"/>
  <c r="D44" i="2"/>
  <c r="D44" i="6"/>
  <c r="D44" i="7"/>
  <c r="W64" i="2"/>
  <c r="W64" i="6"/>
  <c r="W64" i="7"/>
  <c r="V63" i="2"/>
  <c r="V63" i="6"/>
  <c r="V63" i="7"/>
  <c r="U62" i="2"/>
  <c r="U62" i="6"/>
  <c r="U62" i="7"/>
  <c r="T61" i="2"/>
  <c r="T61" i="6"/>
  <c r="T61" i="7"/>
  <c r="S60" i="2"/>
  <c r="S60" i="6"/>
  <c r="S60" i="7"/>
  <c r="R59" i="2"/>
  <c r="R59" i="6"/>
  <c r="R59" i="7"/>
  <c r="Q58" i="2"/>
  <c r="Q58" i="6"/>
  <c r="Q58" i="7"/>
  <c r="P57" i="2"/>
  <c r="P57" i="6"/>
  <c r="P57" i="7"/>
  <c r="O56" i="2"/>
  <c r="O56" i="6"/>
  <c r="O56" i="7"/>
  <c r="N55" i="2"/>
  <c r="N55" i="6"/>
  <c r="N55" i="7"/>
  <c r="M54" i="2"/>
  <c r="M54" i="6"/>
  <c r="M54" i="7"/>
  <c r="L53" i="2"/>
  <c r="L53" i="6"/>
  <c r="L53" i="7"/>
  <c r="K52" i="2"/>
  <c r="K52" i="6"/>
  <c r="K52" i="7"/>
  <c r="J51" i="2"/>
  <c r="J51" i="6"/>
  <c r="J51" i="7"/>
  <c r="I50" i="2"/>
  <c r="I50" i="6"/>
  <c r="I50" i="7"/>
  <c r="H49" i="2"/>
  <c r="H49" i="6"/>
  <c r="H49" i="7"/>
  <c r="G48" i="2"/>
  <c r="G48" i="6"/>
  <c r="G48" i="7"/>
  <c r="F47" i="2"/>
  <c r="F47" i="6"/>
  <c r="F47" i="7"/>
  <c r="E46" i="2"/>
  <c r="E46" i="6"/>
  <c r="E46" i="7"/>
  <c r="D45" i="2"/>
  <c r="D45" i="6"/>
  <c r="D45" i="7"/>
  <c r="V64" i="2"/>
  <c r="V64" i="6"/>
  <c r="V64" i="7"/>
  <c r="U63" i="2"/>
  <c r="U63" i="6"/>
  <c r="U63" i="7"/>
  <c r="T62" i="2"/>
  <c r="T62" i="6"/>
  <c r="T62" i="7"/>
  <c r="S61" i="2"/>
  <c r="S61" i="6"/>
  <c r="S61" i="7"/>
  <c r="R60" i="2"/>
  <c r="R60" i="6"/>
  <c r="R60" i="7"/>
  <c r="Q59" i="2"/>
  <c r="Q59" i="6"/>
  <c r="Q59" i="7"/>
  <c r="P58" i="2"/>
  <c r="P58" i="6"/>
  <c r="P58" i="7"/>
  <c r="O57" i="2"/>
  <c r="O57" i="6"/>
  <c r="O57" i="7"/>
  <c r="N56" i="2"/>
  <c r="N56" i="6"/>
  <c r="N56" i="7"/>
  <c r="M55" i="2"/>
  <c r="M55" i="6"/>
  <c r="M55" i="7"/>
  <c r="L54" i="2"/>
  <c r="L54" i="6"/>
  <c r="L54" i="7"/>
  <c r="K53" i="2"/>
  <c r="K53" i="6"/>
  <c r="K53" i="7"/>
  <c r="J52" i="2"/>
  <c r="J52" i="6"/>
  <c r="J52" i="7"/>
  <c r="I51" i="2"/>
  <c r="I51" i="6"/>
  <c r="I51" i="7"/>
  <c r="H50" i="2"/>
  <c r="H50" i="6"/>
  <c r="H50" i="7"/>
  <c r="G49" i="2"/>
  <c r="G49" i="6"/>
  <c r="G49" i="7"/>
  <c r="F48" i="2"/>
  <c r="F48" i="6"/>
  <c r="F48" i="7"/>
  <c r="E47" i="2"/>
  <c r="E47" i="6"/>
  <c r="E47" i="7"/>
  <c r="D46" i="2"/>
  <c r="D46" i="6"/>
  <c r="D46" i="7"/>
  <c r="C45" i="2"/>
  <c r="C45" i="6"/>
  <c r="C45" i="7"/>
  <c r="D16" i="7"/>
  <c r="E16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S16" i="7"/>
  <c r="T16" i="7"/>
  <c r="U16" i="7"/>
  <c r="V16" i="7"/>
  <c r="W16" i="7"/>
  <c r="X16" i="7"/>
  <c r="Y16" i="7"/>
  <c r="Z16" i="7"/>
  <c r="AA16" i="7"/>
  <c r="AB16" i="7"/>
  <c r="AC16" i="7"/>
  <c r="AD16" i="7"/>
  <c r="AE16" i="7"/>
  <c r="D17" i="7"/>
  <c r="E17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T17" i="7"/>
  <c r="U17" i="7"/>
  <c r="V17" i="7"/>
  <c r="W17" i="7"/>
  <c r="X17" i="7"/>
  <c r="Y17" i="7"/>
  <c r="Z17" i="7"/>
  <c r="AA17" i="7"/>
  <c r="AB17" i="7"/>
  <c r="AC17" i="7"/>
  <c r="AD17" i="7"/>
  <c r="D18" i="7"/>
  <c r="E18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T18" i="7"/>
  <c r="U18" i="7"/>
  <c r="V18" i="7"/>
  <c r="W18" i="7"/>
  <c r="X18" i="7"/>
  <c r="Y18" i="7"/>
  <c r="Z18" i="7"/>
  <c r="AA18" i="7"/>
  <c r="AB18" i="7"/>
  <c r="AC18" i="7"/>
  <c r="D19" i="7"/>
  <c r="E1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T19" i="7"/>
  <c r="U19" i="7"/>
  <c r="V19" i="7"/>
  <c r="W19" i="7"/>
  <c r="X19" i="7"/>
  <c r="Y19" i="7"/>
  <c r="Z19" i="7"/>
  <c r="AA19" i="7"/>
  <c r="AB19" i="7"/>
  <c r="D20" i="7"/>
  <c r="E20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T20" i="7"/>
  <c r="U20" i="7"/>
  <c r="V20" i="7"/>
  <c r="W20" i="7"/>
  <c r="X20" i="7"/>
  <c r="Y20" i="7"/>
  <c r="Z20" i="7"/>
  <c r="AA20" i="7"/>
  <c r="D21" i="7"/>
  <c r="E21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T21" i="7"/>
  <c r="U21" i="7"/>
  <c r="V21" i="7"/>
  <c r="W21" i="7"/>
  <c r="X21" i="7"/>
  <c r="Y21" i="7"/>
  <c r="Z21" i="7"/>
  <c r="D22" i="7"/>
  <c r="E22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T22" i="7"/>
  <c r="U22" i="7"/>
  <c r="V22" i="7"/>
  <c r="W22" i="7"/>
  <c r="X22" i="7"/>
  <c r="Y22" i="7"/>
  <c r="D23" i="7"/>
  <c r="E23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T23" i="7"/>
  <c r="U23" i="7"/>
  <c r="V23" i="7"/>
  <c r="W23" i="7"/>
  <c r="X23" i="7"/>
  <c r="D24" i="7"/>
  <c r="E24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T24" i="7"/>
  <c r="U24" i="7"/>
  <c r="V24" i="7"/>
  <c r="W24" i="7"/>
  <c r="D25" i="7"/>
  <c r="E25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T25" i="7"/>
  <c r="U25" i="7"/>
  <c r="V25" i="7"/>
  <c r="D26" i="7"/>
  <c r="E26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T26" i="7"/>
  <c r="U26" i="7"/>
  <c r="D27" i="7"/>
  <c r="E27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T27" i="7"/>
  <c r="D28" i="7"/>
  <c r="E28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D29" i="7"/>
  <c r="E29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D30" i="7"/>
  <c r="E30" i="7"/>
  <c r="F30" i="7"/>
  <c r="G30" i="7"/>
  <c r="H30" i="7"/>
  <c r="I30" i="7"/>
  <c r="J30" i="7"/>
  <c r="K30" i="7"/>
  <c r="L30" i="7"/>
  <c r="M30" i="7"/>
  <c r="N30" i="7"/>
  <c r="O30" i="7"/>
  <c r="P30" i="7"/>
  <c r="Q30" i="7"/>
  <c r="D31" i="7"/>
  <c r="E31" i="7"/>
  <c r="F31" i="7"/>
  <c r="G31" i="7"/>
  <c r="H31" i="7"/>
  <c r="I31" i="7"/>
  <c r="J31" i="7"/>
  <c r="K31" i="7"/>
  <c r="L31" i="7"/>
  <c r="M31" i="7"/>
  <c r="N31" i="7"/>
  <c r="O31" i="7"/>
  <c r="P31" i="7"/>
  <c r="D32" i="7"/>
  <c r="E32" i="7"/>
  <c r="F32" i="7"/>
  <c r="G32" i="7"/>
  <c r="H32" i="7"/>
  <c r="I32" i="7"/>
  <c r="J32" i="7"/>
  <c r="K32" i="7"/>
  <c r="L32" i="7"/>
  <c r="M32" i="7"/>
  <c r="N32" i="7"/>
  <c r="O32" i="7"/>
  <c r="D33" i="7"/>
  <c r="E33" i="7"/>
  <c r="F33" i="7"/>
  <c r="G33" i="7"/>
  <c r="H33" i="7"/>
  <c r="I33" i="7"/>
  <c r="J33" i="7"/>
  <c r="K33" i="7"/>
  <c r="L33" i="7"/>
  <c r="M33" i="7"/>
  <c r="N33" i="7"/>
  <c r="D34" i="7"/>
  <c r="E34" i="7"/>
  <c r="F34" i="7"/>
  <c r="G34" i="7"/>
  <c r="H34" i="7"/>
  <c r="I34" i="7"/>
  <c r="J34" i="7"/>
  <c r="K34" i="7"/>
  <c r="L34" i="7"/>
  <c r="M34" i="7"/>
  <c r="D35" i="7"/>
  <c r="E35" i="7"/>
  <c r="F35" i="7"/>
  <c r="G35" i="7"/>
  <c r="H35" i="7"/>
  <c r="I35" i="7"/>
  <c r="J35" i="7"/>
  <c r="K35" i="7"/>
  <c r="L35" i="7"/>
  <c r="D36" i="7"/>
  <c r="E36" i="7"/>
  <c r="F36" i="7"/>
  <c r="G36" i="7"/>
  <c r="H36" i="7"/>
  <c r="I36" i="7"/>
  <c r="J36" i="7"/>
  <c r="K36" i="7"/>
  <c r="D37" i="7"/>
  <c r="E37" i="7"/>
  <c r="F37" i="7"/>
  <c r="G37" i="7"/>
  <c r="H37" i="7"/>
  <c r="I37" i="7"/>
  <c r="J37" i="7"/>
  <c r="D38" i="7"/>
  <c r="E38" i="7"/>
  <c r="F38" i="7"/>
  <c r="G38" i="7"/>
  <c r="H38" i="7"/>
  <c r="I38" i="7"/>
  <c r="D39" i="7"/>
  <c r="E39" i="7"/>
  <c r="F39" i="7"/>
  <c r="G39" i="7"/>
  <c r="H39" i="7"/>
  <c r="D40" i="7"/>
  <c r="E40" i="7"/>
  <c r="F40" i="7"/>
  <c r="G40" i="7"/>
  <c r="D41" i="7"/>
  <c r="E41" i="7"/>
  <c r="F41" i="7"/>
  <c r="D42" i="7"/>
  <c r="E42" i="7"/>
  <c r="D43" i="7"/>
  <c r="D47" i="7"/>
  <c r="D48" i="7"/>
  <c r="E48" i="7"/>
  <c r="D49" i="7"/>
  <c r="E49" i="7"/>
  <c r="F49" i="7"/>
  <c r="D50" i="7"/>
  <c r="E50" i="7"/>
  <c r="F50" i="7"/>
  <c r="G50" i="7"/>
  <c r="D51" i="7"/>
  <c r="E51" i="7"/>
  <c r="F51" i="7"/>
  <c r="G51" i="7"/>
  <c r="H51" i="7"/>
  <c r="D52" i="7"/>
  <c r="E52" i="7"/>
  <c r="F52" i="7"/>
  <c r="G52" i="7"/>
  <c r="H52" i="7"/>
  <c r="I52" i="7"/>
  <c r="D53" i="7"/>
  <c r="E53" i="7"/>
  <c r="F53" i="7"/>
  <c r="G53" i="7"/>
  <c r="H53" i="7"/>
  <c r="I53" i="7"/>
  <c r="J53" i="7"/>
  <c r="D54" i="7"/>
  <c r="E54" i="7"/>
  <c r="F54" i="7"/>
  <c r="G54" i="7"/>
  <c r="H54" i="7"/>
  <c r="I54" i="7"/>
  <c r="J54" i="7"/>
  <c r="K54" i="7"/>
  <c r="D55" i="7"/>
  <c r="E55" i="7"/>
  <c r="F55" i="7"/>
  <c r="G55" i="7"/>
  <c r="H55" i="7"/>
  <c r="I55" i="7"/>
  <c r="J55" i="7"/>
  <c r="K55" i="7"/>
  <c r="L55" i="7"/>
  <c r="D56" i="7"/>
  <c r="E56" i="7"/>
  <c r="F56" i="7"/>
  <c r="G56" i="7"/>
  <c r="H56" i="7"/>
  <c r="I56" i="7"/>
  <c r="J56" i="7"/>
  <c r="K56" i="7"/>
  <c r="L56" i="7"/>
  <c r="M56" i="7"/>
  <c r="D57" i="7"/>
  <c r="E57" i="7"/>
  <c r="F57" i="7"/>
  <c r="G57" i="7"/>
  <c r="H57" i="7"/>
  <c r="I57" i="7"/>
  <c r="J57" i="7"/>
  <c r="K57" i="7"/>
  <c r="L57" i="7"/>
  <c r="M57" i="7"/>
  <c r="N57" i="7"/>
  <c r="D58" i="7"/>
  <c r="E58" i="7"/>
  <c r="F58" i="7"/>
  <c r="G58" i="7"/>
  <c r="H58" i="7"/>
  <c r="I58" i="7"/>
  <c r="J58" i="7"/>
  <c r="K58" i="7"/>
  <c r="L58" i="7"/>
  <c r="M58" i="7"/>
  <c r="N58" i="7"/>
  <c r="O58" i="7"/>
  <c r="D59" i="7"/>
  <c r="E59" i="7"/>
  <c r="F59" i="7"/>
  <c r="G59" i="7"/>
  <c r="H59" i="7"/>
  <c r="I59" i="7"/>
  <c r="J59" i="7"/>
  <c r="K59" i="7"/>
  <c r="L59" i="7"/>
  <c r="M59" i="7"/>
  <c r="N59" i="7"/>
  <c r="O59" i="7"/>
  <c r="P59" i="7"/>
  <c r="D60" i="7"/>
  <c r="E60" i="7"/>
  <c r="F60" i="7"/>
  <c r="G60" i="7"/>
  <c r="H60" i="7"/>
  <c r="I60" i="7"/>
  <c r="J60" i="7"/>
  <c r="K60" i="7"/>
  <c r="L60" i="7"/>
  <c r="M60" i="7"/>
  <c r="N60" i="7"/>
  <c r="O60" i="7"/>
  <c r="P60" i="7"/>
  <c r="Q60" i="7"/>
  <c r="D61" i="7"/>
  <c r="E61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D62" i="7"/>
  <c r="E62" i="7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D63" i="7"/>
  <c r="E63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T63" i="7"/>
  <c r="D64" i="7"/>
  <c r="E64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T64" i="7"/>
  <c r="U64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16" i="7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R18" i="6"/>
  <c r="R18" i="8"/>
  <c r="S18" i="2"/>
  <c r="T18" i="2"/>
  <c r="U18" i="2"/>
  <c r="V18" i="2"/>
  <c r="W18" i="2"/>
  <c r="X18" i="2"/>
  <c r="Y18" i="2"/>
  <c r="Z18" i="2"/>
  <c r="AA18" i="2"/>
  <c r="AB18" i="2"/>
  <c r="AC18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D32" i="2"/>
  <c r="E32" i="2"/>
  <c r="F32" i="2"/>
  <c r="G32" i="2"/>
  <c r="H32" i="2"/>
  <c r="I32" i="2"/>
  <c r="J32" i="2"/>
  <c r="K32" i="2"/>
  <c r="L32" i="2"/>
  <c r="M32" i="2"/>
  <c r="N32" i="2"/>
  <c r="O32" i="2"/>
  <c r="D33" i="2"/>
  <c r="E33" i="2"/>
  <c r="F33" i="2"/>
  <c r="G33" i="2"/>
  <c r="H33" i="2"/>
  <c r="I33" i="2"/>
  <c r="J33" i="2"/>
  <c r="K33" i="2"/>
  <c r="L33" i="2"/>
  <c r="M33" i="2"/>
  <c r="N33" i="2"/>
  <c r="D34" i="2"/>
  <c r="E34" i="2"/>
  <c r="F34" i="2"/>
  <c r="G34" i="2"/>
  <c r="H34" i="2"/>
  <c r="I34" i="2"/>
  <c r="J34" i="2"/>
  <c r="K34" i="2"/>
  <c r="L34" i="2"/>
  <c r="M34" i="2"/>
  <c r="D35" i="2"/>
  <c r="E35" i="2"/>
  <c r="F35" i="2"/>
  <c r="G35" i="2"/>
  <c r="H35" i="2"/>
  <c r="I35" i="2"/>
  <c r="J35" i="2"/>
  <c r="K35" i="2"/>
  <c r="L35" i="2"/>
  <c r="D36" i="2"/>
  <c r="E36" i="2"/>
  <c r="F36" i="2"/>
  <c r="G36" i="2"/>
  <c r="H36" i="2"/>
  <c r="I36" i="2"/>
  <c r="J36" i="2"/>
  <c r="K36" i="2"/>
  <c r="D37" i="2"/>
  <c r="E37" i="2"/>
  <c r="F37" i="2"/>
  <c r="G37" i="2"/>
  <c r="H37" i="2"/>
  <c r="I37" i="2"/>
  <c r="J37" i="2"/>
  <c r="D38" i="2"/>
  <c r="E38" i="2"/>
  <c r="F38" i="2"/>
  <c r="G38" i="2"/>
  <c r="H38" i="2"/>
  <c r="I38" i="2"/>
  <c r="D39" i="2"/>
  <c r="E39" i="2"/>
  <c r="F39" i="2"/>
  <c r="G39" i="2"/>
  <c r="H39" i="2"/>
  <c r="D40" i="2"/>
  <c r="E40" i="2"/>
  <c r="F40" i="2"/>
  <c r="G40" i="2"/>
  <c r="D41" i="2"/>
  <c r="E41" i="2"/>
  <c r="F41" i="2"/>
  <c r="D42" i="2"/>
  <c r="E42" i="2"/>
  <c r="D43" i="2"/>
  <c r="D47" i="2"/>
  <c r="D48" i="2"/>
  <c r="E48" i="2"/>
  <c r="D49" i="2"/>
  <c r="E49" i="2"/>
  <c r="F49" i="2"/>
  <c r="D50" i="2"/>
  <c r="E50" i="2"/>
  <c r="F50" i="2"/>
  <c r="G50" i="2"/>
  <c r="D51" i="2"/>
  <c r="E51" i="2"/>
  <c r="F51" i="2"/>
  <c r="G51" i="2"/>
  <c r="H51" i="2"/>
  <c r="D52" i="2"/>
  <c r="E52" i="2"/>
  <c r="F52" i="2"/>
  <c r="G52" i="2"/>
  <c r="H52" i="2"/>
  <c r="I52" i="2"/>
  <c r="D53" i="2"/>
  <c r="E53" i="2"/>
  <c r="F53" i="2"/>
  <c r="G53" i="2"/>
  <c r="H53" i="2"/>
  <c r="I53" i="2"/>
  <c r="J53" i="2"/>
  <c r="D54" i="2"/>
  <c r="E54" i="2"/>
  <c r="F54" i="2"/>
  <c r="G54" i="2"/>
  <c r="H54" i="2"/>
  <c r="I54" i="2"/>
  <c r="J54" i="2"/>
  <c r="K54" i="2"/>
  <c r="D55" i="2"/>
  <c r="E55" i="2"/>
  <c r="F55" i="2"/>
  <c r="G55" i="2"/>
  <c r="H55" i="2"/>
  <c r="I55" i="2"/>
  <c r="J55" i="2"/>
  <c r="K55" i="2"/>
  <c r="L55" i="2"/>
  <c r="D56" i="2"/>
  <c r="E56" i="2"/>
  <c r="F56" i="2"/>
  <c r="G56" i="2"/>
  <c r="H56" i="2"/>
  <c r="I56" i="2"/>
  <c r="J56" i="2"/>
  <c r="K56" i="2"/>
  <c r="L56" i="2"/>
  <c r="M56" i="2"/>
  <c r="D57" i="2"/>
  <c r="E57" i="2"/>
  <c r="F57" i="2"/>
  <c r="G57" i="2"/>
  <c r="H57" i="2"/>
  <c r="I57" i="2"/>
  <c r="J57" i="2"/>
  <c r="K57" i="2"/>
  <c r="L57" i="2"/>
  <c r="M57" i="2"/>
  <c r="N57" i="2"/>
  <c r="D58" i="2"/>
  <c r="E58" i="2"/>
  <c r="F58" i="2"/>
  <c r="G58" i="2"/>
  <c r="H58" i="2"/>
  <c r="I58" i="2"/>
  <c r="J58" i="2"/>
  <c r="K58" i="2"/>
  <c r="L58" i="2"/>
  <c r="M58" i="2"/>
  <c r="N58" i="2"/>
  <c r="O58" i="2"/>
  <c r="D59" i="2"/>
  <c r="E59" i="2"/>
  <c r="E59" i="6"/>
  <c r="E59" i="8"/>
  <c r="F59" i="2"/>
  <c r="G59" i="2"/>
  <c r="H59" i="2"/>
  <c r="I59" i="2"/>
  <c r="J59" i="2"/>
  <c r="K59" i="2"/>
  <c r="L59" i="2"/>
  <c r="M59" i="2"/>
  <c r="N59" i="2"/>
  <c r="O59" i="2"/>
  <c r="P59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D63" i="2"/>
  <c r="E63" i="2"/>
  <c r="F63" i="2"/>
  <c r="G63" i="2"/>
  <c r="H63" i="2"/>
  <c r="I63" i="2"/>
  <c r="J63" i="2"/>
  <c r="K63" i="2"/>
  <c r="L63" i="2"/>
  <c r="M63" i="2"/>
  <c r="N63" i="2"/>
  <c r="N63" i="6"/>
  <c r="N63" i="8"/>
  <c r="O63" i="2"/>
  <c r="P63" i="2"/>
  <c r="Q63" i="2"/>
  <c r="R63" i="2"/>
  <c r="S63" i="2"/>
  <c r="T63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16" i="2"/>
  <c r="AF66" i="1"/>
  <c r="AF15" i="1"/>
  <c r="AE16" i="6"/>
  <c r="AE66" i="1"/>
  <c r="AE15" i="1"/>
  <c r="AD16" i="6"/>
  <c r="AD17" i="6"/>
  <c r="AD66" i="1"/>
  <c r="AD15" i="1"/>
  <c r="AC16" i="6"/>
  <c r="AC17" i="6"/>
  <c r="AC66" i="1"/>
  <c r="AC15" i="1"/>
  <c r="AB16" i="6"/>
  <c r="AC18" i="6"/>
  <c r="AB17" i="6"/>
  <c r="AB66" i="1"/>
  <c r="AB15" i="1"/>
  <c r="AA16" i="6"/>
  <c r="AB18" i="6"/>
  <c r="AA17" i="6"/>
  <c r="AA66" i="1"/>
  <c r="AA15" i="1"/>
  <c r="Z16" i="6"/>
  <c r="AB19" i="6"/>
  <c r="AA18" i="6"/>
  <c r="Z17" i="6"/>
  <c r="Z66" i="1"/>
  <c r="Z15" i="1"/>
  <c r="Y16" i="6"/>
  <c r="AA19" i="6"/>
  <c r="Z18" i="6"/>
  <c r="Y17" i="6"/>
  <c r="Y66" i="1"/>
  <c r="Y15" i="1"/>
  <c r="X16" i="6"/>
  <c r="AA20" i="6"/>
  <c r="Z19" i="6"/>
  <c r="Y18" i="6"/>
  <c r="X17" i="6"/>
  <c r="X66" i="1"/>
  <c r="X15" i="1"/>
  <c r="W16" i="6"/>
  <c r="Z20" i="6"/>
  <c r="Y19" i="6"/>
  <c r="X18" i="6"/>
  <c r="W17" i="6"/>
  <c r="W66" i="1"/>
  <c r="W15" i="1"/>
  <c r="V16" i="6"/>
  <c r="Z21" i="6"/>
  <c r="Y20" i="6"/>
  <c r="X19" i="6"/>
  <c r="W18" i="6"/>
  <c r="V17" i="6"/>
  <c r="V66" i="1"/>
  <c r="V15" i="1"/>
  <c r="U16" i="6"/>
  <c r="Y21" i="6"/>
  <c r="X20" i="6"/>
  <c r="W19" i="6"/>
  <c r="V18" i="6"/>
  <c r="U17" i="6"/>
  <c r="U66" i="1"/>
  <c r="U15" i="1"/>
  <c r="T16" i="6"/>
  <c r="Y22" i="6"/>
  <c r="X21" i="6"/>
  <c r="W20" i="6"/>
  <c r="V19" i="6"/>
  <c r="U18" i="6"/>
  <c r="T17" i="6"/>
  <c r="T66" i="1"/>
  <c r="T15" i="1"/>
  <c r="S16" i="6"/>
  <c r="X22" i="6"/>
  <c r="W21" i="6"/>
  <c r="V20" i="6"/>
  <c r="U19" i="6"/>
  <c r="T18" i="6"/>
  <c r="S17" i="6"/>
  <c r="S66" i="1"/>
  <c r="S15" i="1"/>
  <c r="R16" i="6"/>
  <c r="X23" i="6"/>
  <c r="W22" i="6"/>
  <c r="V21" i="6"/>
  <c r="U20" i="6"/>
  <c r="T19" i="6"/>
  <c r="S18" i="6"/>
  <c r="R17" i="6"/>
  <c r="R66" i="1"/>
  <c r="R15" i="1"/>
  <c r="Q16" i="6"/>
  <c r="W23" i="6"/>
  <c r="V22" i="6"/>
  <c r="U21" i="6"/>
  <c r="T20" i="6"/>
  <c r="S19" i="6"/>
  <c r="Q17" i="6"/>
  <c r="Q66" i="1"/>
  <c r="Q15" i="1"/>
  <c r="P16" i="6"/>
  <c r="W24" i="6"/>
  <c r="V23" i="6"/>
  <c r="U22" i="6"/>
  <c r="T21" i="6"/>
  <c r="S20" i="6"/>
  <c r="R19" i="6"/>
  <c r="Q18" i="6"/>
  <c r="P17" i="6"/>
  <c r="P66" i="1"/>
  <c r="P15" i="1"/>
  <c r="O16" i="6"/>
  <c r="V24" i="6"/>
  <c r="U23" i="6"/>
  <c r="T22" i="6"/>
  <c r="S21" i="6"/>
  <c r="R20" i="6"/>
  <c r="Q19" i="6"/>
  <c r="P18" i="6"/>
  <c r="O17" i="6"/>
  <c r="O66" i="1"/>
  <c r="O15" i="1"/>
  <c r="N16" i="6"/>
  <c r="V25" i="6"/>
  <c r="U24" i="6"/>
  <c r="T23" i="6"/>
  <c r="S22" i="6"/>
  <c r="R21" i="6"/>
  <c r="Q20" i="6"/>
  <c r="P19" i="6"/>
  <c r="O18" i="6"/>
  <c r="N17" i="6"/>
  <c r="N66" i="1"/>
  <c r="N15" i="1"/>
  <c r="M16" i="6"/>
  <c r="U25" i="6"/>
  <c r="T24" i="6"/>
  <c r="S23" i="6"/>
  <c r="R22" i="6"/>
  <c r="Q21" i="6"/>
  <c r="P20" i="6"/>
  <c r="O19" i="6"/>
  <c r="N18" i="6"/>
  <c r="M17" i="6"/>
  <c r="M66" i="1"/>
  <c r="M15" i="1"/>
  <c r="L16" i="6"/>
  <c r="U26" i="6"/>
  <c r="T25" i="6"/>
  <c r="S24" i="6"/>
  <c r="R23" i="6"/>
  <c r="Q22" i="6"/>
  <c r="P21" i="6"/>
  <c r="O20" i="6"/>
  <c r="N19" i="6"/>
  <c r="M18" i="6"/>
  <c r="L17" i="6"/>
  <c r="L66" i="1"/>
  <c r="L15" i="1"/>
  <c r="K16" i="6"/>
  <c r="T26" i="6"/>
  <c r="S25" i="6"/>
  <c r="R24" i="6"/>
  <c r="Q23" i="6"/>
  <c r="P22" i="6"/>
  <c r="O21" i="6"/>
  <c r="N20" i="6"/>
  <c r="M19" i="6"/>
  <c r="L18" i="6"/>
  <c r="K17" i="6"/>
  <c r="K66" i="1"/>
  <c r="K15" i="1"/>
  <c r="J16" i="6"/>
  <c r="T27" i="6"/>
  <c r="S26" i="6"/>
  <c r="R25" i="6"/>
  <c r="Q24" i="6"/>
  <c r="P23" i="6"/>
  <c r="O22" i="6"/>
  <c r="N21" i="6"/>
  <c r="M20" i="6"/>
  <c r="L19" i="6"/>
  <c r="K18" i="6"/>
  <c r="J17" i="6"/>
  <c r="J66" i="1"/>
  <c r="J15" i="1"/>
  <c r="I16" i="6"/>
  <c r="S27" i="6"/>
  <c r="R26" i="6"/>
  <c r="Q25" i="6"/>
  <c r="P24" i="6"/>
  <c r="O23" i="6"/>
  <c r="N22" i="6"/>
  <c r="M21" i="6"/>
  <c r="L20" i="6"/>
  <c r="K19" i="6"/>
  <c r="J18" i="6"/>
  <c r="I17" i="6"/>
  <c r="I66" i="1"/>
  <c r="I15" i="1"/>
  <c r="H16" i="6"/>
  <c r="S28" i="6"/>
  <c r="R27" i="6"/>
  <c r="Q26" i="6"/>
  <c r="P25" i="6"/>
  <c r="O24" i="6"/>
  <c r="N23" i="6"/>
  <c r="M22" i="6"/>
  <c r="L21" i="6"/>
  <c r="K20" i="6"/>
  <c r="J19" i="6"/>
  <c r="I18" i="6"/>
  <c r="H17" i="6"/>
  <c r="H66" i="1"/>
  <c r="H15" i="1"/>
  <c r="G16" i="6"/>
  <c r="R28" i="6"/>
  <c r="Q27" i="6"/>
  <c r="P26" i="6"/>
  <c r="O25" i="6"/>
  <c r="N24" i="6"/>
  <c r="M23" i="6"/>
  <c r="L22" i="6"/>
  <c r="K21" i="6"/>
  <c r="J20" i="6"/>
  <c r="I19" i="6"/>
  <c r="H18" i="6"/>
  <c r="G17" i="6"/>
  <c r="G66" i="1"/>
  <c r="G15" i="1"/>
  <c r="F16" i="6"/>
  <c r="R29" i="6"/>
  <c r="Q28" i="6"/>
  <c r="P27" i="6"/>
  <c r="O26" i="6"/>
  <c r="N25" i="6"/>
  <c r="M24" i="6"/>
  <c r="L23" i="6"/>
  <c r="K22" i="6"/>
  <c r="J21" i="6"/>
  <c r="I20" i="6"/>
  <c r="H19" i="6"/>
  <c r="G18" i="6"/>
  <c r="F17" i="6"/>
  <c r="F66" i="1"/>
  <c r="F15" i="1"/>
  <c r="E16" i="6"/>
  <c r="Q29" i="6"/>
  <c r="P28" i="6"/>
  <c r="O27" i="6"/>
  <c r="N26" i="6"/>
  <c r="M25" i="6"/>
  <c r="L24" i="6"/>
  <c r="K23" i="6"/>
  <c r="J22" i="6"/>
  <c r="I21" i="6"/>
  <c r="H20" i="6"/>
  <c r="G19" i="6"/>
  <c r="F18" i="6"/>
  <c r="E17" i="6"/>
  <c r="E66" i="1"/>
  <c r="E15" i="1"/>
  <c r="D16" i="6"/>
  <c r="Q30" i="6"/>
  <c r="P29" i="6"/>
  <c r="O28" i="6"/>
  <c r="N27" i="6"/>
  <c r="M26" i="6"/>
  <c r="L25" i="6"/>
  <c r="K24" i="6"/>
  <c r="J23" i="6"/>
  <c r="I22" i="6"/>
  <c r="H21" i="6"/>
  <c r="G20" i="6"/>
  <c r="F19" i="6"/>
  <c r="E18" i="6"/>
  <c r="D17" i="6"/>
  <c r="P30" i="6"/>
  <c r="O29" i="6"/>
  <c r="N28" i="6"/>
  <c r="M27" i="6"/>
  <c r="L26" i="6"/>
  <c r="K25" i="6"/>
  <c r="J24" i="6"/>
  <c r="I23" i="6"/>
  <c r="H22" i="6"/>
  <c r="G21" i="6"/>
  <c r="F20" i="6"/>
  <c r="E19" i="6"/>
  <c r="D18" i="6"/>
  <c r="P31" i="6"/>
  <c r="O30" i="6"/>
  <c r="N29" i="6"/>
  <c r="M28" i="6"/>
  <c r="L27" i="6"/>
  <c r="K26" i="6"/>
  <c r="J25" i="6"/>
  <c r="I24" i="6"/>
  <c r="H23" i="6"/>
  <c r="G22" i="6"/>
  <c r="F21" i="6"/>
  <c r="E20" i="6"/>
  <c r="D19" i="6"/>
  <c r="O31" i="6"/>
  <c r="N30" i="6"/>
  <c r="M29" i="6"/>
  <c r="L28" i="6"/>
  <c r="K27" i="6"/>
  <c r="J26" i="6"/>
  <c r="I25" i="6"/>
  <c r="H24" i="6"/>
  <c r="G23" i="6"/>
  <c r="F22" i="6"/>
  <c r="E21" i="6"/>
  <c r="D20" i="6"/>
  <c r="O32" i="6"/>
  <c r="N31" i="6"/>
  <c r="M30" i="6"/>
  <c r="L29" i="6"/>
  <c r="K28" i="6"/>
  <c r="J27" i="6"/>
  <c r="I26" i="6"/>
  <c r="H25" i="6"/>
  <c r="G24" i="6"/>
  <c r="F23" i="6"/>
  <c r="E22" i="6"/>
  <c r="D21" i="6"/>
  <c r="N32" i="6"/>
  <c r="M31" i="6"/>
  <c r="L30" i="6"/>
  <c r="K29" i="6"/>
  <c r="J28" i="6"/>
  <c r="I27" i="6"/>
  <c r="H26" i="6"/>
  <c r="G25" i="6"/>
  <c r="F24" i="6"/>
  <c r="E23" i="6"/>
  <c r="D22" i="6"/>
  <c r="N33" i="6"/>
  <c r="M32" i="6"/>
  <c r="L31" i="6"/>
  <c r="K30" i="6"/>
  <c r="J29" i="6"/>
  <c r="I28" i="6"/>
  <c r="H27" i="6"/>
  <c r="G26" i="6"/>
  <c r="F25" i="6"/>
  <c r="E24" i="6"/>
  <c r="D23" i="6"/>
  <c r="M33" i="6"/>
  <c r="L32" i="6"/>
  <c r="K31" i="6"/>
  <c r="J30" i="6"/>
  <c r="I29" i="6"/>
  <c r="H28" i="6"/>
  <c r="G27" i="6"/>
  <c r="F26" i="6"/>
  <c r="E25" i="6"/>
  <c r="D24" i="6"/>
  <c r="M34" i="6"/>
  <c r="L33" i="6"/>
  <c r="K32" i="6"/>
  <c r="J31" i="6"/>
  <c r="I30" i="6"/>
  <c r="H29" i="6"/>
  <c r="G28" i="6"/>
  <c r="F27" i="6"/>
  <c r="E26" i="6"/>
  <c r="D25" i="6"/>
  <c r="L34" i="6"/>
  <c r="K33" i="6"/>
  <c r="J32" i="6"/>
  <c r="I31" i="6"/>
  <c r="H30" i="6"/>
  <c r="G29" i="6"/>
  <c r="F28" i="6"/>
  <c r="E27" i="6"/>
  <c r="D26" i="6"/>
  <c r="L35" i="6"/>
  <c r="K34" i="6"/>
  <c r="J33" i="6"/>
  <c r="I32" i="6"/>
  <c r="H31" i="6"/>
  <c r="G30" i="6"/>
  <c r="F29" i="6"/>
  <c r="E28" i="6"/>
  <c r="D27" i="6"/>
  <c r="K35" i="6"/>
  <c r="J34" i="6"/>
  <c r="I33" i="6"/>
  <c r="H32" i="6"/>
  <c r="G31" i="6"/>
  <c r="F30" i="6"/>
  <c r="E29" i="6"/>
  <c r="D28" i="6"/>
  <c r="K36" i="6"/>
  <c r="J35" i="6"/>
  <c r="I34" i="6"/>
  <c r="H33" i="6"/>
  <c r="G32" i="6"/>
  <c r="F31" i="6"/>
  <c r="E30" i="6"/>
  <c r="D29" i="6"/>
  <c r="J36" i="6"/>
  <c r="I35" i="6"/>
  <c r="H34" i="6"/>
  <c r="G33" i="6"/>
  <c r="F32" i="6"/>
  <c r="E31" i="6"/>
  <c r="D30" i="6"/>
  <c r="J37" i="6"/>
  <c r="I36" i="6"/>
  <c r="H35" i="6"/>
  <c r="G34" i="6"/>
  <c r="F33" i="6"/>
  <c r="E32" i="6"/>
  <c r="D31" i="6"/>
  <c r="I37" i="6"/>
  <c r="H36" i="6"/>
  <c r="G35" i="6"/>
  <c r="F34" i="6"/>
  <c r="E33" i="6"/>
  <c r="D32" i="6"/>
  <c r="I38" i="6"/>
  <c r="H37" i="6"/>
  <c r="G36" i="6"/>
  <c r="F35" i="6"/>
  <c r="E34" i="6"/>
  <c r="D33" i="6"/>
  <c r="D33" i="8"/>
  <c r="H38" i="6"/>
  <c r="G37" i="6"/>
  <c r="F36" i="6"/>
  <c r="E35" i="6"/>
  <c r="D34" i="6"/>
  <c r="H39" i="6"/>
  <c r="G38" i="6"/>
  <c r="F37" i="6"/>
  <c r="E36" i="6"/>
  <c r="D35" i="6"/>
  <c r="G39" i="6"/>
  <c r="F38" i="6"/>
  <c r="E37" i="6"/>
  <c r="D36" i="6"/>
  <c r="G40" i="6"/>
  <c r="F39" i="6"/>
  <c r="E38" i="6"/>
  <c r="D37" i="6"/>
  <c r="F40" i="6"/>
  <c r="E39" i="6"/>
  <c r="D38" i="6"/>
  <c r="F41" i="6"/>
  <c r="E40" i="6"/>
  <c r="D39" i="6"/>
  <c r="E41" i="6"/>
  <c r="D40" i="6"/>
  <c r="E42" i="6"/>
  <c r="D41" i="6"/>
  <c r="D42" i="6"/>
  <c r="D43" i="6"/>
  <c r="U64" i="6"/>
  <c r="T63" i="6"/>
  <c r="S62" i="6"/>
  <c r="R61" i="6"/>
  <c r="Q60" i="6"/>
  <c r="P59" i="6"/>
  <c r="O58" i="6"/>
  <c r="N57" i="6"/>
  <c r="M56" i="6"/>
  <c r="L55" i="6"/>
  <c r="K54" i="6"/>
  <c r="J53" i="6"/>
  <c r="I52" i="6"/>
  <c r="H51" i="6"/>
  <c r="G50" i="6"/>
  <c r="F49" i="6"/>
  <c r="E48" i="6"/>
  <c r="D47" i="6"/>
  <c r="T64" i="6"/>
  <c r="S63" i="6"/>
  <c r="R62" i="6"/>
  <c r="Q61" i="6"/>
  <c r="P60" i="6"/>
  <c r="O59" i="6"/>
  <c r="N58" i="6"/>
  <c r="M57" i="6"/>
  <c r="L56" i="6"/>
  <c r="K55" i="6"/>
  <c r="J54" i="6"/>
  <c r="I53" i="6"/>
  <c r="H52" i="6"/>
  <c r="G51" i="6"/>
  <c r="F50" i="6"/>
  <c r="E49" i="6"/>
  <c r="D48" i="6"/>
  <c r="S64" i="6"/>
  <c r="R63" i="6"/>
  <c r="Q62" i="6"/>
  <c r="P61" i="6"/>
  <c r="O60" i="6"/>
  <c r="N59" i="6"/>
  <c r="M58" i="6"/>
  <c r="L57" i="6"/>
  <c r="K56" i="6"/>
  <c r="J55" i="6"/>
  <c r="I54" i="6"/>
  <c r="H53" i="6"/>
  <c r="G52" i="6"/>
  <c r="F51" i="6"/>
  <c r="E50" i="6"/>
  <c r="D49" i="6"/>
  <c r="R64" i="6"/>
  <c r="Q63" i="6"/>
  <c r="P62" i="6"/>
  <c r="O61" i="6"/>
  <c r="N60" i="6"/>
  <c r="M59" i="6"/>
  <c r="L58" i="6"/>
  <c r="K57" i="6"/>
  <c r="J56" i="6"/>
  <c r="I55" i="6"/>
  <c r="H54" i="6"/>
  <c r="G53" i="6"/>
  <c r="F52" i="6"/>
  <c r="E51" i="6"/>
  <c r="D50" i="6"/>
  <c r="Q64" i="6"/>
  <c r="P63" i="6"/>
  <c r="O62" i="6"/>
  <c r="N61" i="6"/>
  <c r="M60" i="6"/>
  <c r="L59" i="6"/>
  <c r="K58" i="6"/>
  <c r="J57" i="6"/>
  <c r="I56" i="6"/>
  <c r="H55" i="6"/>
  <c r="G54" i="6"/>
  <c r="F53" i="6"/>
  <c r="E52" i="6"/>
  <c r="D51" i="6"/>
  <c r="P64" i="6"/>
  <c r="O63" i="6"/>
  <c r="N62" i="6"/>
  <c r="M61" i="6"/>
  <c r="L60" i="6"/>
  <c r="K59" i="6"/>
  <c r="J58" i="6"/>
  <c r="I57" i="6"/>
  <c r="H56" i="6"/>
  <c r="G55" i="6"/>
  <c r="F54" i="6"/>
  <c r="E53" i="6"/>
  <c r="D52" i="6"/>
  <c r="O64" i="6"/>
  <c r="M62" i="6"/>
  <c r="L61" i="6"/>
  <c r="K60" i="6"/>
  <c r="J59" i="6"/>
  <c r="I58" i="6"/>
  <c r="H57" i="6"/>
  <c r="G56" i="6"/>
  <c r="F55" i="6"/>
  <c r="E54" i="6"/>
  <c r="D53" i="6"/>
  <c r="N64" i="6"/>
  <c r="M63" i="6"/>
  <c r="L62" i="6"/>
  <c r="K61" i="6"/>
  <c r="J60" i="6"/>
  <c r="I59" i="6"/>
  <c r="H58" i="6"/>
  <c r="G57" i="6"/>
  <c r="F56" i="6"/>
  <c r="E55" i="6"/>
  <c r="D54" i="6"/>
  <c r="M64" i="6"/>
  <c r="L63" i="6"/>
  <c r="K62" i="6"/>
  <c r="J61" i="6"/>
  <c r="I60" i="6"/>
  <c r="H59" i="6"/>
  <c r="G58" i="6"/>
  <c r="F57" i="6"/>
  <c r="E56" i="6"/>
  <c r="D55" i="6"/>
  <c r="L64" i="6"/>
  <c r="K63" i="6"/>
  <c r="J62" i="6"/>
  <c r="I61" i="6"/>
  <c r="H60" i="6"/>
  <c r="G59" i="6"/>
  <c r="F58" i="6"/>
  <c r="E57" i="6"/>
  <c r="D56" i="6"/>
  <c r="K64" i="6"/>
  <c r="J63" i="6"/>
  <c r="I62" i="6"/>
  <c r="H61" i="6"/>
  <c r="G60" i="6"/>
  <c r="F59" i="6"/>
  <c r="E58" i="6"/>
  <c r="D57" i="6"/>
  <c r="J64" i="6"/>
  <c r="I63" i="6"/>
  <c r="H62" i="6"/>
  <c r="G61" i="6"/>
  <c r="F60" i="6"/>
  <c r="D58" i="6"/>
  <c r="I64" i="6"/>
  <c r="H63" i="6"/>
  <c r="G62" i="6"/>
  <c r="F61" i="6"/>
  <c r="E60" i="6"/>
  <c r="D59" i="6"/>
  <c r="H64" i="6"/>
  <c r="G63" i="6"/>
  <c r="F62" i="6"/>
  <c r="E61" i="6"/>
  <c r="D60" i="6"/>
  <c r="G64" i="6"/>
  <c r="F63" i="6"/>
  <c r="E62" i="6"/>
  <c r="D61" i="6"/>
  <c r="F64" i="6"/>
  <c r="E63" i="6"/>
  <c r="D62" i="6"/>
  <c r="E64" i="6"/>
  <c r="D63" i="6"/>
  <c r="D64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D66" i="1"/>
  <c r="D15" i="1"/>
  <c r="C16" i="6"/>
  <c r="C15" i="1"/>
  <c r="C65" i="1"/>
  <c r="B5" i="1"/>
  <c r="B15" i="1"/>
  <c r="F8" i="1"/>
  <c r="G8" i="1"/>
  <c r="B10" i="1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16" i="6"/>
  <c r="AI67" i="1"/>
  <c r="AJ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W67" i="1"/>
  <c r="AX67" i="1"/>
  <c r="AY67" i="1"/>
  <c r="AZ67" i="1"/>
  <c r="BA67" i="1"/>
  <c r="A16" i="7"/>
  <c r="A16" i="1"/>
  <c r="B16" i="1"/>
  <c r="A17" i="1"/>
  <c r="B17" i="1"/>
  <c r="A17" i="6"/>
  <c r="A17" i="7"/>
  <c r="A18" i="1"/>
  <c r="B18" i="1"/>
  <c r="A18" i="6"/>
  <c r="A18" i="7"/>
  <c r="A19" i="1"/>
  <c r="B19" i="1"/>
  <c r="A19" i="6"/>
  <c r="A19" i="7"/>
  <c r="A20" i="1"/>
  <c r="B20" i="1"/>
  <c r="A20" i="6"/>
  <c r="A20" i="7"/>
  <c r="A21" i="1"/>
  <c r="B21" i="1"/>
  <c r="A21" i="6"/>
  <c r="A21" i="7"/>
  <c r="A22" i="1"/>
  <c r="B22" i="1"/>
  <c r="A22" i="6"/>
  <c r="A22" i="7"/>
  <c r="A23" i="1"/>
  <c r="B23" i="1"/>
  <c r="A23" i="6"/>
  <c r="A23" i="7"/>
  <c r="A24" i="1"/>
  <c r="B24" i="1"/>
  <c r="A24" i="6"/>
  <c r="A24" i="7"/>
  <c r="A25" i="1"/>
  <c r="B25" i="1"/>
  <c r="A25" i="6"/>
  <c r="A25" i="7"/>
  <c r="A26" i="1"/>
  <c r="B26" i="1"/>
  <c r="A26" i="6"/>
  <c r="A26" i="7"/>
  <c r="A27" i="1"/>
  <c r="B27" i="1"/>
  <c r="A27" i="6"/>
  <c r="A27" i="7"/>
  <c r="A28" i="1"/>
  <c r="B28" i="1"/>
  <c r="A28" i="6"/>
  <c r="A28" i="7"/>
  <c r="A29" i="1"/>
  <c r="B29" i="1"/>
  <c r="A29" i="6"/>
  <c r="A29" i="7"/>
  <c r="A30" i="1"/>
  <c r="B30" i="1"/>
  <c r="A30" i="6"/>
  <c r="A30" i="7"/>
  <c r="A31" i="1"/>
  <c r="B31" i="1"/>
  <c r="A31" i="6"/>
  <c r="A31" i="7"/>
  <c r="A32" i="1"/>
  <c r="B32" i="1"/>
  <c r="A32" i="6"/>
  <c r="A32" i="7"/>
  <c r="A33" i="1"/>
  <c r="B33" i="1"/>
  <c r="A33" i="6"/>
  <c r="A33" i="7"/>
  <c r="A34" i="1"/>
  <c r="B34" i="1"/>
  <c r="A34" i="6"/>
  <c r="A34" i="7"/>
  <c r="A35" i="1"/>
  <c r="B35" i="1"/>
  <c r="A35" i="6"/>
  <c r="A35" i="7"/>
  <c r="A36" i="1"/>
  <c r="B36" i="1"/>
  <c r="A36" i="6"/>
  <c r="A36" i="7"/>
  <c r="A37" i="1"/>
  <c r="B37" i="1"/>
  <c r="A37" i="6"/>
  <c r="A37" i="7"/>
  <c r="A38" i="1"/>
  <c r="B38" i="1"/>
  <c r="A38" i="6"/>
  <c r="A38" i="7"/>
  <c r="A39" i="1"/>
  <c r="B39" i="1"/>
  <c r="A39" i="6"/>
  <c r="A39" i="7"/>
  <c r="A40" i="1"/>
  <c r="B40" i="1"/>
  <c r="A40" i="6"/>
  <c r="A40" i="7"/>
  <c r="A41" i="1"/>
  <c r="B41" i="1"/>
  <c r="A41" i="6"/>
  <c r="A41" i="7"/>
  <c r="A42" i="1"/>
  <c r="B42" i="1"/>
  <c r="A42" i="6"/>
  <c r="A42" i="7"/>
  <c r="A43" i="1"/>
  <c r="B43" i="1"/>
  <c r="A43" i="6"/>
  <c r="A43" i="7"/>
  <c r="A44" i="1"/>
  <c r="B44" i="1"/>
  <c r="A44" i="6"/>
  <c r="A44" i="7"/>
  <c r="A45" i="1"/>
  <c r="B45" i="1"/>
  <c r="A45" i="6"/>
  <c r="A45" i="7"/>
  <c r="A46" i="1"/>
  <c r="B46" i="1"/>
  <c r="A46" i="2"/>
  <c r="A46" i="6"/>
  <c r="A46" i="7"/>
  <c r="A47" i="1"/>
  <c r="B47" i="1"/>
  <c r="A47" i="2"/>
  <c r="A47" i="6"/>
  <c r="A47" i="7"/>
  <c r="A48" i="1"/>
  <c r="B48" i="1"/>
  <c r="A48" i="2"/>
  <c r="A48" i="6"/>
  <c r="A48" i="7"/>
  <c r="A49" i="1"/>
  <c r="B49" i="1"/>
  <c r="A49" i="2"/>
  <c r="A49" i="6"/>
  <c r="A49" i="7"/>
  <c r="A50" i="1"/>
  <c r="B50" i="1"/>
  <c r="A50" i="2"/>
  <c r="A50" i="6"/>
  <c r="A50" i="7"/>
  <c r="A51" i="1"/>
  <c r="B51" i="1"/>
  <c r="A51" i="2"/>
  <c r="A51" i="6"/>
  <c r="A51" i="7"/>
  <c r="A52" i="1"/>
  <c r="B52" i="1"/>
  <c r="A52" i="2"/>
  <c r="A52" i="6"/>
  <c r="A52" i="7"/>
  <c r="A53" i="1"/>
  <c r="B53" i="1"/>
  <c r="A53" i="2"/>
  <c r="A53" i="6"/>
  <c r="A53" i="7"/>
  <c r="A54" i="1"/>
  <c r="B54" i="1"/>
  <c r="A54" i="2"/>
  <c r="A54" i="6"/>
  <c r="A54" i="7"/>
  <c r="A55" i="1"/>
  <c r="B55" i="1"/>
  <c r="A55" i="2"/>
  <c r="A55" i="6"/>
  <c r="A55" i="7"/>
  <c r="A56" i="1"/>
  <c r="B56" i="1"/>
  <c r="A56" i="2"/>
  <c r="A56" i="6"/>
  <c r="A56" i="7"/>
  <c r="A57" i="1"/>
  <c r="B57" i="1"/>
  <c r="A57" i="2"/>
  <c r="A57" i="6"/>
  <c r="A57" i="7"/>
  <c r="A58" i="1"/>
  <c r="B58" i="1"/>
  <c r="A58" i="2"/>
  <c r="A58" i="6"/>
  <c r="A58" i="7"/>
  <c r="A59" i="1"/>
  <c r="B59" i="1"/>
  <c r="A59" i="2"/>
  <c r="A59" i="6"/>
  <c r="A59" i="7"/>
  <c r="A60" i="1"/>
  <c r="B60" i="1"/>
  <c r="A60" i="2"/>
  <c r="A60" i="6"/>
  <c r="A60" i="7"/>
  <c r="A61" i="1"/>
  <c r="B61" i="1"/>
  <c r="A61" i="2"/>
  <c r="A61" i="6"/>
  <c r="A61" i="7"/>
  <c r="A62" i="1"/>
  <c r="B62" i="1"/>
  <c r="A62" i="2"/>
  <c r="A62" i="6"/>
  <c r="A62" i="7"/>
  <c r="A63" i="1"/>
  <c r="B63" i="1"/>
  <c r="A63" i="2"/>
  <c r="A63" i="6"/>
  <c r="A63" i="7"/>
  <c r="A64" i="1"/>
  <c r="B64" i="1"/>
  <c r="A64" i="2"/>
  <c r="A64" i="6"/>
  <c r="A64" i="7"/>
  <c r="BA65" i="1"/>
  <c r="AZ65" i="1"/>
  <c r="AY65" i="1"/>
  <c r="AX65" i="1"/>
  <c r="AW65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P65" i="1"/>
  <c r="O65" i="1"/>
  <c r="N65" i="1"/>
  <c r="M65" i="1"/>
  <c r="L65" i="1"/>
  <c r="K65" i="1"/>
  <c r="J65" i="1"/>
  <c r="I65" i="1"/>
  <c r="H65" i="1"/>
  <c r="G65" i="1"/>
  <c r="F65" i="1"/>
  <c r="E65" i="1"/>
  <c r="A65" i="1"/>
  <c r="B65" i="1"/>
  <c r="AQ16" i="8"/>
  <c r="AK17" i="8"/>
  <c r="AY17" i="8"/>
  <c r="AD19" i="8"/>
  <c r="AR19" i="8"/>
  <c r="AZ19" i="8"/>
  <c r="AZ20" i="8"/>
  <c r="AI21" i="8"/>
  <c r="AX21" i="8"/>
  <c r="G22" i="8"/>
  <c r="AZ22" i="8"/>
  <c r="AV23" i="8"/>
  <c r="AE24" i="8"/>
  <c r="X25" i="8"/>
  <c r="AO27" i="8"/>
  <c r="AZ27" i="8"/>
  <c r="AU28" i="8"/>
  <c r="AQ30" i="8"/>
  <c r="Y31" i="8"/>
  <c r="AE32" i="8"/>
  <c r="AT33" i="8"/>
  <c r="AF35" i="8"/>
  <c r="AT35" i="8"/>
  <c r="AY36" i="8"/>
  <c r="AJ38" i="8"/>
  <c r="AM39" i="8"/>
  <c r="AZ39" i="8"/>
  <c r="M40" i="8"/>
  <c r="AO40" i="8"/>
  <c r="AU40" i="8"/>
  <c r="AV41" i="8"/>
  <c r="AW42" i="8"/>
  <c r="AJ43" i="8"/>
  <c r="AV43" i="8"/>
  <c r="Y44" i="8"/>
  <c r="AS44" i="8"/>
  <c r="AY44" i="8"/>
  <c r="G46" i="8"/>
  <c r="G47" i="8"/>
  <c r="AV48" i="8"/>
  <c r="AU49" i="8"/>
  <c r="AV49" i="8"/>
  <c r="S52" i="8"/>
  <c r="AZ54" i="8"/>
  <c r="N56" i="8"/>
  <c r="AY56" i="8"/>
  <c r="AD58" i="8"/>
  <c r="Q61" i="8"/>
  <c r="AY61" i="8"/>
  <c r="AA63" i="8"/>
  <c r="AT63" i="8"/>
  <c r="AU64" i="8"/>
  <c r="D67" i="8"/>
  <c r="E67" i="8"/>
  <c r="F67" i="8"/>
  <c r="G67" i="8"/>
  <c r="H67" i="8"/>
  <c r="I67" i="8"/>
  <c r="J67" i="8"/>
  <c r="K67" i="8"/>
  <c r="L67" i="8"/>
  <c r="M67" i="8"/>
  <c r="N67" i="8"/>
  <c r="O67" i="8"/>
  <c r="P67" i="8"/>
  <c r="Q67" i="8"/>
  <c r="R67" i="8"/>
  <c r="S67" i="8"/>
  <c r="T67" i="8"/>
  <c r="U67" i="8"/>
  <c r="V67" i="8"/>
  <c r="W67" i="8"/>
  <c r="X67" i="8"/>
  <c r="Y67" i="8"/>
  <c r="Z67" i="8"/>
  <c r="AA67" i="8"/>
  <c r="AB67" i="8"/>
  <c r="AC67" i="8"/>
  <c r="AD67" i="8"/>
  <c r="AE67" i="8"/>
  <c r="AF67" i="8"/>
  <c r="AG67" i="8"/>
  <c r="AH67" i="8"/>
  <c r="AI67" i="8"/>
  <c r="AJ67" i="8"/>
  <c r="AK67" i="8"/>
  <c r="AL67" i="8"/>
  <c r="AM67" i="8"/>
  <c r="AN67" i="8"/>
  <c r="AO67" i="8"/>
  <c r="AP67" i="8"/>
  <c r="AQ67" i="8"/>
  <c r="AR67" i="8"/>
  <c r="AS67" i="8"/>
  <c r="AT67" i="8"/>
  <c r="AU67" i="8"/>
  <c r="AV67" i="8"/>
  <c r="AW67" i="8"/>
  <c r="AX67" i="8"/>
  <c r="AY67" i="8"/>
  <c r="AZ67" i="8"/>
  <c r="BA67" i="8"/>
  <c r="BA66" i="8"/>
  <c r="AZ66" i="8"/>
  <c r="AY66" i="8"/>
  <c r="AX66" i="8"/>
  <c r="AW66" i="8"/>
  <c r="AV66" i="8"/>
  <c r="AU66" i="8"/>
  <c r="AT66" i="8"/>
  <c r="AS66" i="8"/>
  <c r="AR66" i="8"/>
  <c r="AQ66" i="8"/>
  <c r="AP66" i="8"/>
  <c r="AO66" i="8"/>
  <c r="AN66" i="8"/>
  <c r="AM66" i="8"/>
  <c r="AL66" i="8"/>
  <c r="AK66" i="8"/>
  <c r="AJ66" i="8"/>
  <c r="AI66" i="8"/>
  <c r="AH66" i="8"/>
  <c r="AG66" i="8"/>
  <c r="AF66" i="8"/>
  <c r="AE66" i="8"/>
  <c r="AD66" i="8"/>
  <c r="AC66" i="8"/>
  <c r="AB66" i="8"/>
  <c r="AA66" i="8"/>
  <c r="Z66" i="8"/>
  <c r="Y66" i="8"/>
  <c r="X66" i="8"/>
  <c r="W66" i="8"/>
  <c r="V66" i="8"/>
  <c r="U66" i="8"/>
  <c r="T66" i="8"/>
  <c r="S66" i="8"/>
  <c r="R66" i="8"/>
  <c r="Q66" i="8"/>
  <c r="P66" i="8"/>
  <c r="O66" i="8"/>
  <c r="N66" i="8"/>
  <c r="M66" i="8"/>
  <c r="L66" i="8"/>
  <c r="K66" i="8"/>
  <c r="J66" i="8"/>
  <c r="I66" i="8"/>
  <c r="H66" i="8"/>
  <c r="G66" i="8"/>
  <c r="F66" i="8"/>
  <c r="E66" i="8"/>
  <c r="D66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D67" i="7"/>
  <c r="E67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T67" i="7"/>
  <c r="U67" i="7"/>
  <c r="V67" i="7"/>
  <c r="W67" i="7"/>
  <c r="X67" i="7"/>
  <c r="Y67" i="7"/>
  <c r="Z67" i="7"/>
  <c r="AA67" i="7"/>
  <c r="AB67" i="7"/>
  <c r="AC67" i="7"/>
  <c r="AD67" i="7"/>
  <c r="AE67" i="7"/>
  <c r="AF67" i="7"/>
  <c r="AG67" i="7"/>
  <c r="AH67" i="7"/>
  <c r="AI67" i="7"/>
  <c r="AJ67" i="7"/>
  <c r="AK67" i="7"/>
  <c r="AL67" i="7"/>
  <c r="AM67" i="7"/>
  <c r="AN67" i="7"/>
  <c r="AO67" i="7"/>
  <c r="AP67" i="7"/>
  <c r="AQ67" i="7"/>
  <c r="AR67" i="7"/>
  <c r="AS67" i="7"/>
  <c r="AT67" i="7"/>
  <c r="AU67" i="7"/>
  <c r="AV67" i="7"/>
  <c r="AW67" i="7"/>
  <c r="AX67" i="7"/>
  <c r="AY67" i="7"/>
  <c r="AZ67" i="7"/>
  <c r="BA67" i="7"/>
  <c r="BA66" i="7"/>
  <c r="AZ66" i="7"/>
  <c r="AY66" i="7"/>
  <c r="AX66" i="7"/>
  <c r="AW66" i="7"/>
  <c r="AV66" i="7"/>
  <c r="AU66" i="7"/>
  <c r="AT66" i="7"/>
  <c r="AS66" i="7"/>
  <c r="AR66" i="7"/>
  <c r="AQ66" i="7"/>
  <c r="AP66" i="7"/>
  <c r="AO66" i="7"/>
  <c r="AN66" i="7"/>
  <c r="AM66" i="7"/>
  <c r="AL66" i="7"/>
  <c r="AK66" i="7"/>
  <c r="AJ66" i="7"/>
  <c r="AI66" i="7"/>
  <c r="AH66" i="7"/>
  <c r="AG66" i="7"/>
  <c r="AF66" i="7"/>
  <c r="AE66" i="7"/>
  <c r="AD66" i="7"/>
  <c r="AC66" i="7"/>
  <c r="AB66" i="7"/>
  <c r="AA66" i="7"/>
  <c r="Z66" i="7"/>
  <c r="Y66" i="7"/>
  <c r="X66" i="7"/>
  <c r="W66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A65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B67" i="6"/>
  <c r="AC67" i="6"/>
  <c r="AD67" i="6"/>
  <c r="AE67" i="6"/>
  <c r="AF67" i="6"/>
  <c r="AG67" i="6"/>
  <c r="AH67" i="6"/>
  <c r="AI67" i="6"/>
  <c r="AJ67" i="6"/>
  <c r="AK67" i="6"/>
  <c r="AL67" i="6"/>
  <c r="AM67" i="6"/>
  <c r="AN67" i="6"/>
  <c r="AO67" i="6"/>
  <c r="AP67" i="6"/>
  <c r="AQ67" i="6"/>
  <c r="AR67" i="6"/>
  <c r="AS67" i="6"/>
  <c r="AT67" i="6"/>
  <c r="AU67" i="6"/>
  <c r="AV67" i="6"/>
  <c r="AW67" i="6"/>
  <c r="AX67" i="6"/>
  <c r="AY67" i="6"/>
  <c r="AZ67" i="6"/>
  <c r="BA67" i="6"/>
  <c r="BA66" i="6"/>
  <c r="AZ66" i="6"/>
  <c r="AY66" i="6"/>
  <c r="AX66" i="6"/>
  <c r="AW66" i="6"/>
  <c r="AV66" i="6"/>
  <c r="AU66" i="6"/>
  <c r="AT66" i="6"/>
  <c r="AS66" i="6"/>
  <c r="AR66" i="6"/>
  <c r="AQ66" i="6"/>
  <c r="AP66" i="6"/>
  <c r="AO66" i="6"/>
  <c r="AN66" i="6"/>
  <c r="AM66" i="6"/>
  <c r="AL66" i="6"/>
  <c r="AK66" i="6"/>
  <c r="AJ66" i="6"/>
  <c r="AI66" i="6"/>
  <c r="AH66" i="6"/>
  <c r="AG66" i="6"/>
  <c r="AF66" i="6"/>
  <c r="AE66" i="6"/>
  <c r="AD66" i="6"/>
  <c r="AC66" i="6"/>
  <c r="AB66" i="6"/>
  <c r="AA66" i="6"/>
  <c r="Z66" i="6"/>
  <c r="Y66" i="6"/>
  <c r="X66" i="6"/>
  <c r="W66" i="6"/>
  <c r="V66" i="6"/>
  <c r="U66" i="6"/>
  <c r="T66" i="6"/>
  <c r="S66" i="6"/>
  <c r="R66" i="6"/>
  <c r="Q66" i="6"/>
  <c r="P66" i="6"/>
  <c r="O66" i="6"/>
  <c r="N66" i="6"/>
  <c r="M66" i="6"/>
  <c r="L66" i="6"/>
  <c r="K66" i="6"/>
  <c r="J66" i="6"/>
  <c r="I66" i="6"/>
  <c r="H66" i="6"/>
  <c r="G66" i="6"/>
  <c r="F66" i="6"/>
  <c r="E66" i="6"/>
  <c r="D66" i="6"/>
  <c r="A65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A66" i="2"/>
  <c r="AZ66" i="2"/>
  <c r="AY66" i="2"/>
  <c r="AX66" i="2"/>
  <c r="AW66" i="2"/>
  <c r="AV66" i="2"/>
  <c r="AU66" i="2"/>
  <c r="AT66" i="2"/>
  <c r="AS66" i="2"/>
  <c r="AR66" i="2"/>
  <c r="AQ66" i="2"/>
  <c r="AP66" i="2"/>
  <c r="AO66" i="2"/>
  <c r="AN66" i="2"/>
  <c r="AM66" i="2"/>
  <c r="AL66" i="2"/>
  <c r="AK66" i="2"/>
  <c r="AJ66" i="2"/>
  <c r="AI66" i="2"/>
  <c r="AH66" i="2"/>
  <c r="AG66" i="2"/>
  <c r="AF66" i="2"/>
  <c r="AE66" i="2"/>
  <c r="AD66" i="2"/>
  <c r="AC66" i="2"/>
  <c r="AB66" i="2"/>
  <c r="AA66" i="2"/>
  <c r="Z66" i="2"/>
  <c r="Y66" i="2"/>
  <c r="X66" i="2"/>
  <c r="W66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A65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D65" i="1"/>
  <c r="U64" i="8"/>
  <c r="J62" i="8"/>
  <c r="I61" i="8"/>
  <c r="D58" i="8"/>
  <c r="D24" i="8"/>
  <c r="AG17" i="8"/>
  <c r="AK21" i="8"/>
  <c r="AO25" i="8"/>
  <c r="AS29" i="8"/>
  <c r="AW33" i="8"/>
  <c r="AH17" i="8"/>
  <c r="AL21" i="8"/>
  <c r="AP25" i="8"/>
  <c r="AT29" i="8"/>
  <c r="AX33" i="8"/>
  <c r="AJ18" i="8"/>
  <c r="AN22" i="8"/>
  <c r="AR26" i="8"/>
  <c r="AV30" i="8"/>
  <c r="AZ34" i="8"/>
  <c r="AI16" i="8"/>
  <c r="AM20" i="8"/>
  <c r="AQ24" i="8"/>
  <c r="AY32" i="8"/>
  <c r="AM19" i="8"/>
  <c r="AQ23" i="8"/>
  <c r="AU27" i="8"/>
  <c r="AY31" i="8"/>
  <c r="AN19" i="8"/>
  <c r="AR23" i="8"/>
  <c r="AV27" i="8"/>
  <c r="AZ31" i="8"/>
  <c r="AL16" i="8"/>
  <c r="AP20" i="8"/>
  <c r="AT24" i="8"/>
  <c r="AX28" i="8"/>
  <c r="AS22" i="8"/>
  <c r="AW26" i="8"/>
  <c r="AO17" i="8"/>
  <c r="AS21" i="8"/>
  <c r="AW25" i="8"/>
  <c r="AP17" i="8"/>
  <c r="AT21" i="8"/>
  <c r="AX25" i="8"/>
  <c r="AR18" i="8"/>
  <c r="AV22" i="8"/>
  <c r="AZ26" i="8"/>
  <c r="AU20" i="8"/>
  <c r="AY24" i="8"/>
  <c r="AY23" i="8"/>
  <c r="AW18" i="8"/>
  <c r="BA66" i="1"/>
  <c r="BA15" i="1"/>
  <c r="AM66" i="1"/>
  <c r="AM15" i="1"/>
  <c r="C41" i="8"/>
  <c r="C33" i="8"/>
  <c r="C25" i="8"/>
  <c r="C17" i="8"/>
  <c r="J64" i="8"/>
  <c r="K63" i="8"/>
  <c r="I58" i="8"/>
  <c r="R64" i="8"/>
  <c r="S63" i="8"/>
  <c r="J53" i="8"/>
  <c r="J31" i="8"/>
  <c r="E55" i="8"/>
  <c r="D42" i="8"/>
  <c r="D18" i="8"/>
  <c r="F44" i="8"/>
  <c r="Z64" i="8"/>
  <c r="S55" i="8"/>
  <c r="L47" i="8"/>
  <c r="S50" i="8"/>
  <c r="W54" i="8"/>
  <c r="W51" i="8"/>
  <c r="Y52" i="8"/>
  <c r="R44" i="8"/>
  <c r="AL64" i="8"/>
  <c r="AI60" i="8"/>
  <c r="AE55" i="8"/>
  <c r="AI58" i="8"/>
  <c r="AP64" i="8"/>
  <c r="Q38" i="8"/>
  <c r="AG54" i="8"/>
  <c r="AE51" i="8"/>
  <c r="U40" i="8"/>
  <c r="AK56" i="8"/>
  <c r="AU62" i="8"/>
  <c r="AJ46" i="8"/>
  <c r="G53" i="8"/>
  <c r="S62" i="8"/>
  <c r="D38" i="8"/>
  <c r="G36" i="8"/>
  <c r="K20" i="8"/>
  <c r="F51" i="8"/>
  <c r="C16" i="8"/>
  <c r="G60" i="8"/>
  <c r="E53" i="8"/>
  <c r="M61" i="8"/>
  <c r="O60" i="8"/>
  <c r="D40" i="8"/>
  <c r="D32" i="8"/>
  <c r="J37" i="8"/>
  <c r="J29" i="8"/>
  <c r="D16" i="8"/>
  <c r="G19" i="8"/>
  <c r="O27" i="8"/>
  <c r="J20" i="8"/>
  <c r="R28" i="8"/>
  <c r="AA19" i="8"/>
  <c r="R29" i="8"/>
  <c r="K64" i="8"/>
  <c r="M57" i="8"/>
  <c r="E52" i="8"/>
  <c r="J16" i="8"/>
  <c r="I63" i="8"/>
  <c r="K58" i="8"/>
  <c r="D53" i="8"/>
  <c r="F38" i="8"/>
  <c r="O32" i="8"/>
  <c r="D46" i="8"/>
  <c r="L54" i="8"/>
  <c r="M55" i="8"/>
  <c r="Q59" i="8"/>
  <c r="I50" i="8"/>
  <c r="U62" i="8"/>
  <c r="V63" i="8"/>
  <c r="Q57" i="8"/>
  <c r="R58" i="8"/>
  <c r="U61" i="8"/>
  <c r="X64" i="8"/>
  <c r="I48" i="8"/>
  <c r="J49" i="8"/>
  <c r="N53" i="8"/>
  <c r="Q56" i="8"/>
  <c r="T59" i="8"/>
  <c r="U60" i="8"/>
  <c r="M51" i="8"/>
  <c r="P54" i="8"/>
  <c r="Q55" i="8"/>
  <c r="S57" i="8"/>
  <c r="X62" i="8"/>
  <c r="Y63" i="8"/>
  <c r="F43" i="8"/>
  <c r="W60" i="8"/>
  <c r="I45" i="8"/>
  <c r="N50" i="8"/>
  <c r="V58" i="8"/>
  <c r="Y61" i="8"/>
  <c r="S54" i="8"/>
  <c r="X59" i="8"/>
  <c r="AA62" i="8"/>
  <c r="L46" i="8"/>
  <c r="O49" i="8"/>
  <c r="W57" i="8"/>
  <c r="H41" i="8"/>
  <c r="I42" i="8"/>
  <c r="R51" i="8"/>
  <c r="T53" i="8"/>
  <c r="Y58" i="8"/>
  <c r="AB61" i="8"/>
  <c r="AC62" i="8"/>
  <c r="AD63" i="8"/>
  <c r="L44" i="8"/>
  <c r="AF64" i="8"/>
  <c r="L43" i="8"/>
  <c r="N45" i="8"/>
  <c r="Y56" i="8"/>
  <c r="Q47" i="8"/>
  <c r="AA57" i="8"/>
  <c r="AC59" i="8"/>
  <c r="S48" i="8"/>
  <c r="AA56" i="8"/>
  <c r="AE60" i="8"/>
  <c r="AH63" i="8"/>
  <c r="R46" i="8"/>
  <c r="AG61" i="8"/>
  <c r="N41" i="8"/>
  <c r="O42" i="8"/>
  <c r="V49" i="8"/>
  <c r="Z53" i="8"/>
  <c r="M39" i="8"/>
  <c r="AE57" i="8"/>
  <c r="AG59" i="8"/>
  <c r="AK63" i="8"/>
  <c r="R43" i="8"/>
  <c r="AC54" i="8"/>
  <c r="AK62" i="8"/>
  <c r="V45" i="8"/>
  <c r="AG56" i="8"/>
  <c r="AL61" i="8"/>
  <c r="Y47" i="8"/>
  <c r="AO63" i="8"/>
  <c r="AA48" i="8"/>
  <c r="AB49" i="8"/>
  <c r="AF53" i="8"/>
  <c r="AJ57" i="8"/>
  <c r="AL59" i="8"/>
  <c r="Q37" i="8"/>
  <c r="V42" i="8"/>
  <c r="Z46" i="8"/>
  <c r="AF52" i="8"/>
  <c r="AN60" i="8"/>
  <c r="AO61" i="8"/>
  <c r="AP62" i="8"/>
  <c r="AR64" i="8"/>
  <c r="O34" i="8"/>
  <c r="V41" i="8"/>
  <c r="N64" i="8"/>
  <c r="O63" i="8"/>
  <c r="N61" i="8"/>
  <c r="F61" i="8"/>
  <c r="M58" i="8"/>
  <c r="F56" i="8"/>
  <c r="G55" i="8"/>
  <c r="F34" i="8"/>
  <c r="N31" i="8"/>
  <c r="F31" i="8"/>
  <c r="S28" i="8"/>
  <c r="R26" i="8"/>
  <c r="J26" i="8"/>
  <c r="F26" i="8"/>
  <c r="O20" i="8"/>
  <c r="AJ55" i="8"/>
  <c r="AM58" i="8"/>
  <c r="AR63" i="8"/>
  <c r="O33" i="8"/>
  <c r="Y43" i="8"/>
  <c r="AA45" i="8"/>
  <c r="V39" i="8"/>
  <c r="AD47" i="8"/>
  <c r="AG50" i="8"/>
  <c r="AK54" i="8"/>
  <c r="AN57" i="8"/>
  <c r="AP59" i="8"/>
  <c r="AS62" i="8"/>
  <c r="AG49" i="8"/>
  <c r="AN56" i="8"/>
  <c r="AR60" i="8"/>
  <c r="AS61" i="8"/>
  <c r="AG48" i="8"/>
  <c r="AJ51" i="8"/>
  <c r="AK52" i="8"/>
  <c r="AL53" i="8"/>
  <c r="AN55" i="8"/>
  <c r="AR59" i="8"/>
  <c r="U35" i="8"/>
  <c r="AA41" i="8"/>
  <c r="AB42" i="8"/>
  <c r="AQ57" i="8"/>
  <c r="AW63" i="8"/>
  <c r="X37" i="8"/>
  <c r="AA40" i="8"/>
  <c r="AE44" i="8"/>
  <c r="AF45" i="8"/>
  <c r="AU60" i="8"/>
  <c r="R30" i="8"/>
  <c r="AL50" i="8"/>
  <c r="AR56" i="8"/>
  <c r="AW61" i="8"/>
  <c r="AX62" i="8"/>
  <c r="AZ64" i="8"/>
  <c r="AB39" i="8"/>
  <c r="AQ54" i="8"/>
  <c r="AU58" i="8"/>
  <c r="AV59" i="8"/>
  <c r="AZ63" i="8"/>
  <c r="Z36" i="8"/>
  <c r="AL48" i="8"/>
  <c r="AM49" i="8"/>
  <c r="AO51" i="8"/>
  <c r="AP52" i="8"/>
  <c r="AQ53" i="8"/>
  <c r="AU57" i="8"/>
  <c r="AG42" i="8"/>
  <c r="AW58" i="8"/>
  <c r="AY60" i="8"/>
  <c r="Z34" i="8"/>
  <c r="AU55" i="8"/>
  <c r="X31" i="8"/>
  <c r="AB35" i="8"/>
  <c r="AF39" i="8"/>
  <c r="AL45" i="8"/>
  <c r="AN47" i="8"/>
  <c r="AR51" i="8"/>
  <c r="AU54" i="8"/>
  <c r="AV55" i="8"/>
  <c r="AZ59" i="8"/>
  <c r="U27" i="8"/>
  <c r="AA33" i="8"/>
  <c r="AC35" i="8"/>
  <c r="AE37" i="8"/>
  <c r="AF38" i="8"/>
  <c r="AG39" i="8"/>
  <c r="AK43" i="8"/>
  <c r="AO47" i="8"/>
  <c r="AR50" i="8"/>
  <c r="AS51" i="8"/>
  <c r="AW55" i="8"/>
  <c r="AY57" i="8"/>
  <c r="V27" i="8"/>
  <c r="W28" i="8"/>
  <c r="AA32" i="8"/>
  <c r="AE36" i="8"/>
  <c r="AI40" i="8"/>
  <c r="AM44" i="8"/>
  <c r="AP47" i="8"/>
  <c r="AQ48" i="8"/>
  <c r="AU52" i="8"/>
  <c r="Y29" i="8"/>
  <c r="AB32" i="8"/>
  <c r="AC33" i="8"/>
  <c r="AG37" i="8"/>
  <c r="AK41" i="8"/>
  <c r="AM43" i="8"/>
  <c r="AO45" i="8"/>
  <c r="AS49" i="8"/>
  <c r="AW53" i="8"/>
  <c r="X27" i="8"/>
  <c r="AB31" i="8"/>
  <c r="AJ39" i="8"/>
  <c r="AN43" i="8"/>
  <c r="AR47" i="8"/>
  <c r="AV51" i="8"/>
  <c r="AX53" i="8"/>
  <c r="AY54" i="8"/>
  <c r="W25" i="8"/>
  <c r="Y27" i="8"/>
  <c r="AA29" i="8"/>
  <c r="AE33" i="8"/>
  <c r="AG35" i="8"/>
  <c r="AH36" i="8"/>
  <c r="AI37" i="8"/>
  <c r="AK39" i="8"/>
  <c r="AL40" i="8"/>
  <c r="AM41" i="8"/>
  <c r="AO43" i="8"/>
  <c r="AP44" i="8"/>
  <c r="AQ45" i="8"/>
  <c r="AS47" i="8"/>
  <c r="AT48" i="8"/>
  <c r="AW51" i="8"/>
  <c r="AX52" i="8"/>
  <c r="AY53" i="8"/>
  <c r="Y26" i="8"/>
  <c r="Z27" i="8"/>
  <c r="AA28" i="8"/>
  <c r="AC30" i="8"/>
  <c r="AD31" i="8"/>
  <c r="AG34" i="8"/>
  <c r="AH35" i="8"/>
  <c r="AI36" i="8"/>
  <c r="AK38" i="8"/>
  <c r="AL39" i="8"/>
  <c r="AM40" i="8"/>
  <c r="AP43" i="8"/>
  <c r="AQ44" i="8"/>
  <c r="AS46" i="8"/>
  <c r="AT47" i="8"/>
  <c r="AU48" i="8"/>
  <c r="AW50" i="8"/>
  <c r="AX51" i="8"/>
  <c r="AY52" i="8"/>
  <c r="Y25" i="8"/>
  <c r="Z26" i="8"/>
  <c r="AA27" i="8"/>
  <c r="AC29" i="8"/>
  <c r="AD30" i="8"/>
  <c r="AE31" i="8"/>
  <c r="AG33" i="8"/>
  <c r="AH34" i="8"/>
  <c r="AI35" i="8"/>
  <c r="AK37" i="8"/>
  <c r="AL38" i="8"/>
  <c r="AO41" i="8"/>
  <c r="AP42" i="8"/>
  <c r="AQ43" i="8"/>
  <c r="AS45" i="8"/>
  <c r="AT46" i="8"/>
  <c r="AU47" i="8"/>
  <c r="AW49" i="8"/>
  <c r="AX50" i="8"/>
  <c r="AY51" i="8"/>
  <c r="AE30" i="8"/>
  <c r="AB26" i="8"/>
  <c r="AK35" i="8"/>
  <c r="AQ41" i="8"/>
  <c r="AR42" i="8"/>
  <c r="AV46" i="8"/>
  <c r="AO38" i="8"/>
  <c r="AP39" i="8"/>
  <c r="AU66" i="1"/>
  <c r="AU15" i="1"/>
  <c r="AK66" i="1"/>
  <c r="AK15" i="1"/>
  <c r="AJ32" i="8"/>
  <c r="AR40" i="8"/>
  <c r="AV44" i="8"/>
  <c r="AY46" i="8"/>
  <c r="AT39" i="8"/>
  <c r="AJ26" i="8"/>
  <c r="AZ42" i="8"/>
  <c r="AZ40" i="8"/>
  <c r="AP28" i="8"/>
  <c r="AX35" i="8"/>
  <c r="AZ37" i="8"/>
  <c r="AF16" i="8"/>
  <c r="AN24" i="8"/>
  <c r="AR28" i="8"/>
  <c r="AV32" i="8"/>
  <c r="AZ36" i="8"/>
  <c r="AG16" i="8"/>
  <c r="AK20" i="8"/>
  <c r="AO24" i="8"/>
  <c r="AS28" i="8"/>
  <c r="AW32" i="8"/>
  <c r="AI17" i="8"/>
  <c r="AM21" i="8"/>
  <c r="AQ25" i="8"/>
  <c r="AY33" i="8"/>
  <c r="AL19" i="8"/>
  <c r="AP23" i="8"/>
  <c r="AT27" i="8"/>
  <c r="AX31" i="8"/>
  <c r="AL18" i="8"/>
  <c r="AP22" i="8"/>
  <c r="AT26" i="8"/>
  <c r="AX30" i="8"/>
  <c r="AM18" i="8"/>
  <c r="AQ22" i="8"/>
  <c r="AU26" i="8"/>
  <c r="AY30" i="8"/>
  <c r="AO19" i="8"/>
  <c r="AS23" i="8"/>
  <c r="AW27" i="8"/>
  <c r="AN17" i="8"/>
  <c r="AR21" i="8"/>
  <c r="AZ29" i="8"/>
  <c r="AN16" i="8"/>
  <c r="AR20" i="8"/>
  <c r="AV24" i="8"/>
  <c r="AZ28" i="8"/>
  <c r="AO16" i="8"/>
  <c r="AS20" i="8"/>
  <c r="AQ17" i="8"/>
  <c r="AU21" i="8"/>
  <c r="AY25" i="8"/>
  <c r="AT19" i="8"/>
  <c r="AX23" i="8"/>
  <c r="AY22" i="8"/>
  <c r="AZ55" i="1"/>
  <c r="AZ56" i="1"/>
  <c r="AZ57" i="1"/>
  <c r="AY56" i="1"/>
  <c r="AZ55" i="8"/>
  <c r="Z17" i="8"/>
  <c r="O62" i="8"/>
  <c r="G62" i="8"/>
  <c r="D60" i="8"/>
  <c r="M59" i="8"/>
  <c r="E62" i="8"/>
  <c r="H63" i="8"/>
  <c r="F60" i="8"/>
  <c r="G59" i="8"/>
  <c r="F57" i="8"/>
  <c r="D54" i="8"/>
  <c r="L62" i="8"/>
  <c r="E54" i="8"/>
  <c r="M62" i="8"/>
  <c r="I57" i="8"/>
  <c r="H55" i="8"/>
  <c r="P63" i="8"/>
  <c r="N60" i="8"/>
  <c r="S64" i="8"/>
  <c r="O59" i="8"/>
  <c r="F49" i="8"/>
  <c r="F41" i="8"/>
  <c r="D36" i="8"/>
  <c r="D29" i="8"/>
  <c r="D28" i="8"/>
  <c r="F25" i="8"/>
  <c r="D21" i="8"/>
  <c r="K23" i="8"/>
  <c r="K54" i="8"/>
  <c r="E51" i="8"/>
  <c r="E40" i="8"/>
  <c r="K36" i="8"/>
  <c r="O28" i="8"/>
  <c r="G28" i="8"/>
  <c r="N26" i="8"/>
  <c r="V23" i="8"/>
  <c r="R23" i="8"/>
  <c r="N23" i="8"/>
  <c r="D22" i="8"/>
  <c r="W21" i="8"/>
  <c r="S21" i="8"/>
  <c r="O21" i="8"/>
  <c r="AA20" i="8"/>
  <c r="W20" i="8"/>
  <c r="G20" i="8"/>
  <c r="Z18" i="8"/>
  <c r="V18" i="8"/>
  <c r="N18" i="8"/>
  <c r="F18" i="8"/>
  <c r="G61" i="8"/>
  <c r="J59" i="8"/>
  <c r="G34" i="8"/>
  <c r="S26" i="8"/>
  <c r="R25" i="8"/>
  <c r="S23" i="8"/>
  <c r="K18" i="8"/>
  <c r="J17" i="8"/>
  <c r="Z16" i="8"/>
  <c r="C45" i="8"/>
  <c r="G49" i="8"/>
  <c r="H50" i="8"/>
  <c r="K53" i="8"/>
  <c r="O57" i="8"/>
  <c r="P58" i="8"/>
  <c r="S61" i="8"/>
  <c r="T62" i="8"/>
  <c r="D45" i="8"/>
  <c r="E46" i="8"/>
  <c r="H49" i="8"/>
  <c r="L53" i="8"/>
  <c r="M54" i="8"/>
  <c r="P57" i="8"/>
  <c r="Q58" i="8"/>
  <c r="T61" i="8"/>
  <c r="D44" i="8"/>
  <c r="E45" i="8"/>
  <c r="H48" i="8"/>
  <c r="I49" i="8"/>
  <c r="L52" i="8"/>
  <c r="M53" i="8"/>
  <c r="P56" i="8"/>
  <c r="T60" i="8"/>
  <c r="E44" i="8"/>
  <c r="H47" i="8"/>
  <c r="L51" i="8"/>
  <c r="M52" i="8"/>
  <c r="P55" i="8"/>
  <c r="X63" i="8"/>
  <c r="Y64" i="8"/>
  <c r="G45" i="8"/>
  <c r="H46" i="8"/>
  <c r="K49" i="8"/>
  <c r="L50" i="8"/>
  <c r="O53" i="8"/>
  <c r="T58" i="8"/>
  <c r="W61" i="8"/>
  <c r="G44" i="8"/>
  <c r="J47" i="8"/>
  <c r="K48" i="8"/>
  <c r="N51" i="8"/>
  <c r="O52" i="8"/>
  <c r="R55" i="8"/>
  <c r="S56" i="8"/>
  <c r="V59" i="8"/>
  <c r="Z63" i="8"/>
  <c r="AA64" i="8"/>
  <c r="H44" i="8"/>
  <c r="L48" i="8"/>
  <c r="M49" i="8"/>
  <c r="P52" i="8"/>
  <c r="Q53" i="8"/>
  <c r="T56" i="8"/>
  <c r="U57" i="8"/>
  <c r="X60" i="8"/>
  <c r="AB64" i="8"/>
  <c r="G42" i="8"/>
  <c r="J45" i="8"/>
  <c r="K46" i="8"/>
  <c r="N49" i="8"/>
  <c r="O50" i="8"/>
  <c r="R53" i="8"/>
  <c r="V57" i="8"/>
  <c r="W58" i="8"/>
  <c r="Z61" i="8"/>
  <c r="G41" i="8"/>
  <c r="H42" i="8"/>
  <c r="K45" i="8"/>
  <c r="P50" i="8"/>
  <c r="S53" i="8"/>
  <c r="T54" i="8"/>
  <c r="X58" i="8"/>
  <c r="AA61" i="8"/>
  <c r="AB62" i="8"/>
  <c r="L45" i="8"/>
  <c r="M46" i="8"/>
  <c r="P49" i="8"/>
  <c r="Q50" i="8"/>
  <c r="U54" i="8"/>
  <c r="X57" i="8"/>
  <c r="H40" i="8"/>
  <c r="I41" i="8"/>
  <c r="M45" i="8"/>
  <c r="P48" i="8"/>
  <c r="Q49" i="8"/>
  <c r="T52" i="8"/>
  <c r="U53" i="8"/>
  <c r="X56" i="8"/>
  <c r="Y57" i="8"/>
  <c r="AB60" i="8"/>
  <c r="AC61" i="8"/>
  <c r="I40" i="8"/>
  <c r="M44" i="8"/>
  <c r="P47" i="8"/>
  <c r="Q48" i="8"/>
  <c r="T51" i="8"/>
  <c r="U52" i="8"/>
  <c r="X55" i="8"/>
  <c r="AC60" i="8"/>
  <c r="AG64" i="8"/>
  <c r="K41" i="8"/>
  <c r="O45" i="8"/>
  <c r="S49" i="8"/>
  <c r="W53" i="8"/>
  <c r="AE61" i="8"/>
  <c r="J39" i="8"/>
  <c r="K40" i="8"/>
  <c r="N43" i="8"/>
  <c r="O44" i="8"/>
  <c r="R47" i="8"/>
  <c r="V51" i="8"/>
  <c r="W52" i="8"/>
  <c r="Z55" i="8"/>
  <c r="AD59" i="8"/>
  <c r="AI64" i="8"/>
  <c r="M41" i="8"/>
  <c r="Q45" i="8"/>
  <c r="U49" i="8"/>
  <c r="Y53" i="8"/>
  <c r="AC57" i="8"/>
  <c r="K38" i="8"/>
  <c r="R45" i="8"/>
  <c r="S46" i="8"/>
  <c r="W50" i="8"/>
  <c r="AA54" i="8"/>
  <c r="AD57" i="8"/>
  <c r="AE58" i="8"/>
  <c r="AH61" i="8"/>
  <c r="AI62" i="8"/>
  <c r="K37" i="8"/>
  <c r="O41" i="8"/>
  <c r="S45" i="8"/>
  <c r="W49" i="8"/>
  <c r="AA53" i="8"/>
  <c r="AI61" i="8"/>
  <c r="M38" i="8"/>
  <c r="Q42" i="8"/>
  <c r="U46" i="8"/>
  <c r="Y50" i="8"/>
  <c r="AG58" i="8"/>
  <c r="M37" i="8"/>
  <c r="Q41" i="8"/>
  <c r="U45" i="8"/>
  <c r="Y49" i="8"/>
  <c r="AC53" i="8"/>
  <c r="G56" i="8"/>
  <c r="K60" i="8"/>
  <c r="D50" i="8"/>
  <c r="E49" i="8"/>
  <c r="I53" i="8"/>
  <c r="E39" i="8"/>
  <c r="F37" i="8"/>
  <c r="J33" i="8"/>
  <c r="D17" i="8"/>
  <c r="J21" i="8"/>
  <c r="I62" i="8"/>
  <c r="D61" i="8"/>
  <c r="J60" i="8"/>
  <c r="K59" i="8"/>
  <c r="N57" i="8"/>
  <c r="I55" i="8"/>
  <c r="G50" i="8"/>
  <c r="D48" i="8"/>
  <c r="D34" i="8"/>
  <c r="F30" i="8"/>
  <c r="D26" i="8"/>
  <c r="O25" i="8"/>
  <c r="W24" i="8"/>
  <c r="K24" i="8"/>
  <c r="Y20" i="8"/>
  <c r="U20" i="8"/>
  <c r="V19" i="8"/>
  <c r="AA17" i="8"/>
  <c r="K17" i="8"/>
  <c r="AE16" i="8"/>
  <c r="O16" i="8"/>
  <c r="E64" i="8"/>
  <c r="J63" i="8"/>
  <c r="G57" i="8"/>
  <c r="M56" i="8"/>
  <c r="F54" i="8"/>
  <c r="E48" i="8"/>
  <c r="J36" i="8"/>
  <c r="G35" i="8"/>
  <c r="O30" i="8"/>
  <c r="K30" i="8"/>
  <c r="G30" i="8"/>
  <c r="S27" i="8"/>
  <c r="K27" i="8"/>
  <c r="G27" i="8"/>
  <c r="W22" i="8"/>
  <c r="S22" i="8"/>
  <c r="O22" i="8"/>
  <c r="K22" i="8"/>
  <c r="Z21" i="8"/>
  <c r="R21" i="8"/>
  <c r="N21" i="8"/>
  <c r="Z20" i="8"/>
  <c r="V20" i="8"/>
  <c r="R20" i="8"/>
  <c r="W19" i="8"/>
  <c r="S19" i="8"/>
  <c r="K19" i="8"/>
  <c r="F48" i="8"/>
  <c r="I51" i="8"/>
  <c r="R60" i="8"/>
  <c r="U63" i="8"/>
  <c r="V64" i="8"/>
  <c r="F47" i="8"/>
  <c r="J51" i="8"/>
  <c r="K52" i="8"/>
  <c r="N55" i="8"/>
  <c r="O56" i="8"/>
  <c r="R59" i="8"/>
  <c r="F46" i="8"/>
  <c r="J50" i="8"/>
  <c r="N54" i="8"/>
  <c r="S59" i="8"/>
  <c r="V62" i="8"/>
  <c r="W63" i="8"/>
  <c r="F45" i="8"/>
  <c r="K50" i="8"/>
  <c r="R57" i="8"/>
  <c r="V61" i="8"/>
  <c r="W62" i="8"/>
  <c r="E43" i="8"/>
  <c r="I47" i="8"/>
  <c r="U59" i="8"/>
  <c r="V60" i="8"/>
  <c r="H45" i="8"/>
  <c r="I46" i="8"/>
  <c r="L49" i="8"/>
  <c r="P53" i="8"/>
  <c r="T57" i="8"/>
  <c r="X61" i="8"/>
  <c r="Y62" i="8"/>
  <c r="F42" i="8"/>
  <c r="J46" i="8"/>
  <c r="O51" i="8"/>
  <c r="R54" i="8"/>
  <c r="W59" i="8"/>
  <c r="Z62" i="8"/>
  <c r="H43" i="8"/>
  <c r="I44" i="8"/>
  <c r="P51" i="8"/>
  <c r="T55" i="8"/>
  <c r="AB63" i="8"/>
  <c r="I43" i="8"/>
  <c r="M47" i="8"/>
  <c r="Q51" i="8"/>
  <c r="U55" i="8"/>
  <c r="V56" i="8"/>
  <c r="Y59" i="8"/>
  <c r="Z60" i="8"/>
  <c r="AC63" i="8"/>
  <c r="AD64" i="8"/>
  <c r="J43" i="8"/>
  <c r="N47" i="8"/>
  <c r="V55" i="8"/>
  <c r="Z59" i="8"/>
  <c r="J42" i="8"/>
  <c r="N46" i="8"/>
  <c r="O47" i="8"/>
  <c r="R50" i="8"/>
  <c r="V54" i="8"/>
  <c r="Z58" i="8"/>
  <c r="AD62" i="8"/>
  <c r="AE63" i="8"/>
  <c r="J41" i="8"/>
  <c r="K42" i="8"/>
  <c r="O46" i="8"/>
  <c r="R49" i="8"/>
  <c r="V53" i="8"/>
  <c r="Z57" i="8"/>
  <c r="AD61" i="8"/>
  <c r="AE62" i="8"/>
  <c r="I39" i="8"/>
  <c r="M43" i="8"/>
  <c r="N44" i="8"/>
  <c r="U51" i="8"/>
  <c r="V52" i="8"/>
  <c r="Y55" i="8"/>
  <c r="Z56" i="8"/>
  <c r="AG63" i="8"/>
  <c r="Y54" i="8"/>
  <c r="AC58" i="8"/>
  <c r="J38" i="8"/>
  <c r="AG57" i="8"/>
  <c r="AK61" i="8"/>
  <c r="M36" i="8"/>
  <c r="Q40" i="8"/>
  <c r="U44" i="8"/>
  <c r="Y48" i="8"/>
  <c r="AC52" i="8"/>
  <c r="AK60" i="8"/>
  <c r="AO64" i="8"/>
  <c r="O37" i="8"/>
  <c r="S41" i="8"/>
  <c r="W45" i="8"/>
  <c r="AA49" i="8"/>
  <c r="AE53" i="8"/>
  <c r="AI57" i="8"/>
  <c r="AM61" i="8"/>
  <c r="AN62" i="8"/>
  <c r="N35" i="8"/>
  <c r="O36" i="8"/>
  <c r="R39" i="8"/>
  <c r="S40" i="8"/>
  <c r="V43" i="8"/>
  <c r="W44" i="8"/>
  <c r="Z47" i="8"/>
  <c r="AD51" i="8"/>
  <c r="AE52" i="8"/>
  <c r="AH55" i="8"/>
  <c r="AI56" i="8"/>
  <c r="AM60" i="8"/>
  <c r="AP63" i="8"/>
  <c r="AQ64" i="8"/>
  <c r="U41" i="8"/>
  <c r="Y45" i="8"/>
  <c r="AC49" i="8"/>
  <c r="AG53" i="8"/>
  <c r="AJ56" i="8"/>
  <c r="AK57" i="8"/>
  <c r="R37" i="8"/>
  <c r="S38" i="8"/>
  <c r="W42" i="8"/>
  <c r="Z45" i="8"/>
  <c r="AA46" i="8"/>
  <c r="AD49" i="8"/>
  <c r="AE50" i="8"/>
  <c r="AH53" i="8"/>
  <c r="AI54" i="8"/>
  <c r="AL57" i="8"/>
  <c r="AP61" i="8"/>
  <c r="AQ62" i="8"/>
  <c r="P34" i="8"/>
  <c r="S37" i="8"/>
  <c r="T38" i="8"/>
  <c r="W41" i="8"/>
  <c r="X42" i="8"/>
  <c r="AB46" i="8"/>
  <c r="AE49" i="8"/>
  <c r="AF50" i="8"/>
  <c r="AI53" i="8"/>
  <c r="AJ54" i="8"/>
  <c r="AM57" i="8"/>
  <c r="AN58" i="8"/>
  <c r="AQ61" i="8"/>
  <c r="AR62" i="8"/>
  <c r="Q34" i="8"/>
  <c r="T37" i="8"/>
  <c r="U38" i="8"/>
  <c r="X41" i="8"/>
  <c r="Y42" i="8"/>
  <c r="AB45" i="8"/>
  <c r="AC46" i="8"/>
  <c r="AF49" i="8"/>
  <c r="AJ53" i="8"/>
  <c r="AO58" i="8"/>
  <c r="AR61" i="8"/>
  <c r="P32" i="8"/>
  <c r="Q33" i="8"/>
  <c r="T36" i="8"/>
  <c r="U37" i="8"/>
  <c r="X40" i="8"/>
  <c r="Y41" i="8"/>
  <c r="AB44" i="8"/>
  <c r="AC45" i="8"/>
  <c r="AF48" i="8"/>
  <c r="AJ52" i="8"/>
  <c r="AK53" i="8"/>
  <c r="AO57" i="8"/>
  <c r="AV64" i="8"/>
  <c r="Q32" i="8"/>
  <c r="T35" i="8"/>
  <c r="U36" i="8"/>
  <c r="X39" i="8"/>
  <c r="Y40" i="8"/>
  <c r="AB43" i="8"/>
  <c r="AC44" i="8"/>
  <c r="AF47" i="8"/>
  <c r="AO56" i="8"/>
  <c r="AS60" i="8"/>
  <c r="AV63" i="8"/>
  <c r="AW64" i="8"/>
  <c r="S33" i="8"/>
  <c r="T34" i="8"/>
  <c r="W37" i="8"/>
  <c r="X38" i="8"/>
  <c r="AE45" i="8"/>
  <c r="AF46" i="8"/>
  <c r="AI49" i="8"/>
  <c r="AJ50" i="8"/>
  <c r="AM53" i="8"/>
  <c r="AN54" i="8"/>
  <c r="AR58" i="8"/>
  <c r="AU61" i="8"/>
  <c r="AV62" i="8"/>
  <c r="R31" i="8"/>
  <c r="S32" i="8"/>
  <c r="V35" i="8"/>
  <c r="W36" i="8"/>
  <c r="Z39" i="8"/>
  <c r="AD43" i="8"/>
  <c r="AH47" i="8"/>
  <c r="AI48" i="8"/>
  <c r="AL51" i="8"/>
  <c r="AM52" i="8"/>
  <c r="AP55" i="8"/>
  <c r="AQ56" i="8"/>
  <c r="AT59" i="8"/>
  <c r="AX63" i="8"/>
  <c r="AY64" i="8"/>
  <c r="T32" i="8"/>
  <c r="U33" i="8"/>
  <c r="X36" i="8"/>
  <c r="Y37" i="8"/>
  <c r="AB40" i="8"/>
  <c r="AC41" i="8"/>
  <c r="AF44" i="8"/>
  <c r="AG45" i="8"/>
  <c r="AJ48" i="8"/>
  <c r="AK49" i="8"/>
  <c r="AN52" i="8"/>
  <c r="AO53" i="8"/>
  <c r="AS57" i="8"/>
  <c r="AV60" i="8"/>
  <c r="S30" i="8"/>
  <c r="V33" i="8"/>
  <c r="W34" i="8"/>
  <c r="Z37" i="8"/>
  <c r="AA38" i="8"/>
  <c r="AD41" i="8"/>
  <c r="AE42" i="8"/>
  <c r="AH45" i="8"/>
  <c r="AI46" i="8"/>
  <c r="AL49" i="8"/>
  <c r="AM50" i="8"/>
  <c r="AP53" i="8"/>
  <c r="AT57" i="8"/>
  <c r="AX61" i="8"/>
  <c r="AY62" i="8"/>
  <c r="U31" i="8"/>
  <c r="V32" i="8"/>
  <c r="Y35" i="8"/>
  <c r="AC39" i="8"/>
  <c r="AD40" i="8"/>
  <c r="AG43" i="8"/>
  <c r="AH44" i="8"/>
  <c r="AK47" i="8"/>
  <c r="AS55" i="8"/>
  <c r="AT56" i="8"/>
  <c r="AW59" i="8"/>
  <c r="AX60" i="8"/>
  <c r="U30" i="8"/>
  <c r="V31" i="8"/>
  <c r="N42" i="8"/>
  <c r="V50" i="8"/>
  <c r="Z54" i="8"/>
  <c r="AH62" i="8"/>
  <c r="AI63" i="8"/>
  <c r="AK64" i="8"/>
  <c r="Q43" i="8"/>
  <c r="U47" i="8"/>
  <c r="Y51" i="8"/>
  <c r="AC55" i="8"/>
  <c r="AH60" i="8"/>
  <c r="N39" i="8"/>
  <c r="V47" i="8"/>
  <c r="W48" i="8"/>
  <c r="Z51" i="8"/>
  <c r="AD55" i="8"/>
  <c r="AE56" i="8"/>
  <c r="AH59" i="8"/>
  <c r="AL63" i="8"/>
  <c r="AM64" i="8"/>
  <c r="N38" i="8"/>
  <c r="R42" i="8"/>
  <c r="V46" i="8"/>
  <c r="Z50" i="8"/>
  <c r="AA51" i="8"/>
  <c r="AD54" i="8"/>
  <c r="AH58" i="8"/>
  <c r="AI59" i="8"/>
  <c r="AL62" i="8"/>
  <c r="AM63" i="8"/>
  <c r="N37" i="8"/>
  <c r="R41" i="8"/>
  <c r="S42" i="8"/>
  <c r="Z49" i="8"/>
  <c r="AD53" i="8"/>
  <c r="AH57" i="8"/>
  <c r="M35" i="8"/>
  <c r="N36" i="8"/>
  <c r="Q39" i="8"/>
  <c r="R40" i="8"/>
  <c r="U43" i="8"/>
  <c r="V44" i="8"/>
  <c r="AC51" i="8"/>
  <c r="AG55" i="8"/>
  <c r="AK59" i="8"/>
  <c r="X45" i="8"/>
  <c r="AK58" i="8"/>
  <c r="AN61" i="8"/>
  <c r="AO62" i="8"/>
  <c r="N34" i="8"/>
  <c r="R38" i="8"/>
  <c r="AA47" i="8"/>
  <c r="AD50" i="8"/>
  <c r="AH54" i="8"/>
  <c r="AI55" i="8"/>
  <c r="AL58" i="8"/>
  <c r="AM59" i="8"/>
  <c r="AB47" i="8"/>
  <c r="AF51" i="8"/>
  <c r="AN59" i="8"/>
  <c r="AO60" i="8"/>
  <c r="Q35" i="8"/>
  <c r="U39" i="8"/>
  <c r="AC47" i="8"/>
  <c r="AD48" i="8"/>
  <c r="AG51" i="8"/>
  <c r="AH52" i="8"/>
  <c r="AK55" i="8"/>
  <c r="AO59" i="8"/>
  <c r="AS63" i="8"/>
  <c r="AT64" i="8"/>
  <c r="R35" i="8"/>
  <c r="Z43" i="8"/>
  <c r="AH51" i="8"/>
  <c r="AL55" i="8"/>
  <c r="AM56" i="8"/>
  <c r="R34" i="8"/>
  <c r="V38" i="8"/>
  <c r="Z42" i="8"/>
  <c r="AD46" i="8"/>
  <c r="AH50" i="8"/>
  <c r="AL54" i="8"/>
  <c r="AP58" i="8"/>
  <c r="AQ59" i="8"/>
  <c r="AT62" i="8"/>
  <c r="R33" i="8"/>
  <c r="V37" i="8"/>
  <c r="Z41" i="8"/>
  <c r="AD45" i="8"/>
  <c r="AH49" i="8"/>
  <c r="AP57" i="8"/>
  <c r="AT61" i="8"/>
  <c r="Q31" i="8"/>
  <c r="V36" i="8"/>
  <c r="Y39" i="8"/>
  <c r="AC43" i="8"/>
  <c r="AG47" i="8"/>
  <c r="AK51" i="8"/>
  <c r="AO55" i="8"/>
  <c r="AS59" i="8"/>
  <c r="T33" i="8"/>
  <c r="U34" i="8"/>
  <c r="AB41" i="8"/>
  <c r="AJ49" i="8"/>
  <c r="AN53" i="8"/>
  <c r="AR57" i="8"/>
  <c r="AV61" i="8"/>
  <c r="AW62" i="8"/>
  <c r="V34" i="8"/>
  <c r="Z38" i="8"/>
  <c r="AD42" i="8"/>
  <c r="AH46" i="8"/>
  <c r="AM51" i="8"/>
  <c r="AP54" i="8"/>
  <c r="AT58" i="8"/>
  <c r="AU59" i="8"/>
  <c r="T31" i="8"/>
  <c r="X35" i="8"/>
  <c r="Y34" i="8"/>
  <c r="Z35" i="8"/>
  <c r="AC38" i="8"/>
  <c r="AD39" i="8"/>
  <c r="AH43" i="8"/>
  <c r="AK46" i="8"/>
  <c r="AL47" i="8"/>
  <c r="AO50" i="8"/>
  <c r="AP51" i="8"/>
  <c r="AS54" i="8"/>
  <c r="AT55" i="8"/>
  <c r="AX59" i="8"/>
  <c r="U29" i="8"/>
  <c r="V30" i="8"/>
  <c r="Y33" i="8"/>
  <c r="AC37" i="8"/>
  <c r="AD38" i="8"/>
  <c r="AG41" i="8"/>
  <c r="AH42" i="8"/>
  <c r="AK45" i="8"/>
  <c r="AL46" i="8"/>
  <c r="AO49" i="8"/>
  <c r="AP50" i="8"/>
  <c r="AS53" i="8"/>
  <c r="AT54" i="8"/>
  <c r="AW57" i="8"/>
  <c r="AX58" i="8"/>
  <c r="AZ60" i="8"/>
  <c r="U28" i="8"/>
  <c r="V29" i="8"/>
  <c r="W30" i="8"/>
  <c r="Z33" i="8"/>
  <c r="AA34" i="8"/>
  <c r="AC36" i="8"/>
  <c r="AD37" i="8"/>
  <c r="AE38" i="8"/>
  <c r="AG40" i="8"/>
  <c r="AH41" i="8"/>
  <c r="AI42" i="8"/>
  <c r="AK44" i="8"/>
  <c r="AM46" i="8"/>
  <c r="AO48" i="8"/>
  <c r="AP49" i="8"/>
  <c r="AQ50" i="8"/>
  <c r="AS52" i="8"/>
  <c r="AT53" i="8"/>
  <c r="AW56" i="8"/>
  <c r="AX57" i="8"/>
  <c r="AY58" i="8"/>
  <c r="V28" i="8"/>
  <c r="W29" i="8"/>
  <c r="X30" i="8"/>
  <c r="Z32" i="8"/>
  <c r="AB34" i="8"/>
  <c r="AD36" i="8"/>
  <c r="AH40" i="8"/>
  <c r="AI41" i="8"/>
  <c r="AJ42" i="8"/>
  <c r="AL44" i="8"/>
  <c r="AM45" i="8"/>
  <c r="AN46" i="8"/>
  <c r="AP48" i="8"/>
  <c r="AQ49" i="8"/>
  <c r="AT52" i="8"/>
  <c r="AU53" i="8"/>
  <c r="AV54" i="8"/>
  <c r="AX56" i="8"/>
  <c r="AZ58" i="1"/>
  <c r="X29" i="8"/>
  <c r="Y30" i="8"/>
  <c r="Z31" i="8"/>
  <c r="AB33" i="8"/>
  <c r="AC34" i="8"/>
  <c r="AD35" i="8"/>
  <c r="AF37" i="8"/>
  <c r="AG38" i="8"/>
  <c r="AH39" i="8"/>
  <c r="AJ41" i="8"/>
  <c r="AK42" i="8"/>
  <c r="AL43" i="8"/>
  <c r="AN45" i="8"/>
  <c r="AO46" i="8"/>
  <c r="AS50" i="8"/>
  <c r="AT51" i="8"/>
  <c r="AW54" i="8"/>
  <c r="AX55" i="8"/>
  <c r="AZ57" i="8"/>
  <c r="V26" i="8"/>
  <c r="W27" i="8"/>
  <c r="X28" i="8"/>
  <c r="Z30" i="8"/>
  <c r="AA31" i="8"/>
  <c r="AD34" i="8"/>
  <c r="AE35" i="8"/>
  <c r="AF36" i="8"/>
  <c r="AH38" i="8"/>
  <c r="AI39" i="8"/>
  <c r="AJ40" i="8"/>
  <c r="AN44" i="8"/>
  <c r="AQ47" i="8"/>
  <c r="AR48" i="8"/>
  <c r="AT50" i="8"/>
  <c r="AU51" i="8"/>
  <c r="AV52" i="8"/>
  <c r="AX54" i="8"/>
  <c r="AY55" i="8"/>
  <c r="W26" i="8"/>
  <c r="Y28" i="8"/>
  <c r="Z29" i="8"/>
  <c r="AA30" i="8"/>
  <c r="AC32" i="8"/>
  <c r="AD33" i="8"/>
  <c r="AE34" i="8"/>
  <c r="AG36" i="8"/>
  <c r="AH37" i="8"/>
  <c r="AI38" i="8"/>
  <c r="AL41" i="8"/>
  <c r="AM42" i="8"/>
  <c r="AP45" i="8"/>
  <c r="AQ46" i="8"/>
  <c r="AS48" i="8"/>
  <c r="AT49" i="8"/>
  <c r="AU50" i="8"/>
  <c r="AW52" i="8"/>
  <c r="X26" i="8"/>
  <c r="Z28" i="8"/>
  <c r="AB30" i="8"/>
  <c r="AC31" i="8"/>
  <c r="AD32" i="8"/>
  <c r="AF34" i="8"/>
  <c r="Z25" i="8"/>
  <c r="AD29" i="8"/>
  <c r="AH33" i="8"/>
  <c r="AL37" i="8"/>
  <c r="AP41" i="8"/>
  <c r="AT45" i="8"/>
  <c r="AX49" i="8"/>
  <c r="AA25" i="8"/>
  <c r="AE29" i="8"/>
  <c r="AI33" i="8"/>
  <c r="AM37" i="8"/>
  <c r="AU45" i="8"/>
  <c r="AY49" i="8"/>
  <c r="AZ50" i="8"/>
  <c r="AC26" i="8"/>
  <c r="AG30" i="8"/>
  <c r="AK34" i="8"/>
  <c r="AS42" i="8"/>
  <c r="AW46" i="8"/>
  <c r="AA23" i="8"/>
  <c r="AE27" i="8"/>
  <c r="AI31" i="8"/>
  <c r="AM35" i="8"/>
  <c r="AQ39" i="8"/>
  <c r="AU43" i="8"/>
  <c r="AD25" i="8"/>
  <c r="AL33" i="8"/>
  <c r="AP37" i="8"/>
  <c r="AT41" i="8"/>
  <c r="AX45" i="8"/>
  <c r="AC40" i="8"/>
  <c r="AF43" i="8"/>
  <c r="AG44" i="8"/>
  <c r="AJ47" i="8"/>
  <c r="AN51" i="8"/>
  <c r="AR55" i="8"/>
  <c r="AS56" i="8"/>
  <c r="AW60" i="8"/>
  <c r="S29" i="8"/>
  <c r="W33" i="8"/>
  <c r="AA37" i="8"/>
  <c r="AB38" i="8"/>
  <c r="AE41" i="8"/>
  <c r="AI45" i="8"/>
  <c r="AV58" i="8"/>
  <c r="W32" i="8"/>
  <c r="AA36" i="8"/>
  <c r="AB37" i="8"/>
  <c r="AE40" i="8"/>
  <c r="AI44" i="8"/>
  <c r="AM48" i="8"/>
  <c r="AQ52" i="8"/>
  <c r="AU56" i="8"/>
  <c r="AV57" i="8"/>
  <c r="T28" i="8"/>
  <c r="W31" i="8"/>
  <c r="AA35" i="8"/>
  <c r="AE39" i="8"/>
  <c r="AI43" i="8"/>
  <c r="AM47" i="8"/>
  <c r="AQ51" i="8"/>
  <c r="Y24" i="8"/>
  <c r="AB27" i="8"/>
  <c r="AC28" i="8"/>
  <c r="AF31" i="8"/>
  <c r="AG32" i="8"/>
  <c r="AJ35" i="8"/>
  <c r="AK36" i="8"/>
  <c r="AN39" i="8"/>
  <c r="AR43" i="8"/>
  <c r="AV47" i="8"/>
  <c r="AW48" i="8"/>
  <c r="AZ51" i="8"/>
  <c r="Y23" i="8"/>
  <c r="Z24" i="8"/>
  <c r="AC27" i="8"/>
  <c r="AD28" i="8"/>
  <c r="AG31" i="8"/>
  <c r="AH32" i="8"/>
  <c r="AL36" i="8"/>
  <c r="AO39" i="8"/>
  <c r="AP40" i="8"/>
  <c r="AS43" i="8"/>
  <c r="AT44" i="8"/>
  <c r="AW47" i="8"/>
  <c r="AX48" i="8"/>
  <c r="AA24" i="8"/>
  <c r="AB25" i="8"/>
  <c r="AE28" i="8"/>
  <c r="AF29" i="8"/>
  <c r="AI32" i="8"/>
  <c r="AJ33" i="8"/>
  <c r="AM36" i="8"/>
  <c r="AN37" i="8"/>
  <c r="AQ40" i="8"/>
  <c r="AR41" i="8"/>
  <c r="AU44" i="8"/>
  <c r="AY48" i="8"/>
  <c r="AZ49" i="8"/>
  <c r="Z22" i="8"/>
  <c r="AC25" i="8"/>
  <c r="AD26" i="8"/>
  <c r="AG29" i="8"/>
  <c r="AH30" i="8"/>
  <c r="AK33" i="8"/>
  <c r="AL34" i="8"/>
  <c r="AO37" i="8"/>
  <c r="AP38" i="8"/>
  <c r="AS41" i="8"/>
  <c r="AT42" i="8"/>
  <c r="AW45" i="8"/>
  <c r="AX46" i="8"/>
  <c r="AB23" i="8"/>
  <c r="AC24" i="8"/>
  <c r="AF27" i="8"/>
  <c r="AJ31" i="8"/>
  <c r="AK32" i="8"/>
  <c r="AN35" i="8"/>
  <c r="AO36" i="8"/>
  <c r="AR39" i="8"/>
  <c r="AS40" i="8"/>
  <c r="AW44" i="8"/>
  <c r="AZ47" i="8"/>
  <c r="AA21" i="8"/>
  <c r="AB22" i="8"/>
  <c r="AE25" i="8"/>
  <c r="AF26" i="8"/>
  <c r="AI29" i="8"/>
  <c r="AJ30" i="8"/>
  <c r="AM33" i="8"/>
  <c r="AN34" i="8"/>
  <c r="AQ37" i="8"/>
  <c r="AR38" i="8"/>
  <c r="AU41" i="8"/>
  <c r="AV42" i="8"/>
  <c r="AY45" i="8"/>
  <c r="AZ46" i="8"/>
  <c r="AB21" i="8"/>
  <c r="AI28" i="8"/>
  <c r="AJ29" i="8"/>
  <c r="AM32" i="8"/>
  <c r="AN33" i="8"/>
  <c r="AQ36" i="8"/>
  <c r="AJ28" i="8"/>
  <c r="AM31" i="8"/>
  <c r="AN32" i="8"/>
  <c r="AR36" i="8"/>
  <c r="AG24" i="8"/>
  <c r="AW40" i="8"/>
  <c r="AZ43" i="8"/>
  <c r="AW39" i="8"/>
  <c r="AE20" i="8"/>
  <c r="AF21" i="8"/>
  <c r="AZ41" i="8"/>
  <c r="AD18" i="8"/>
  <c r="AG21" i="8"/>
  <c r="AH22" i="8"/>
  <c r="AK25" i="8"/>
  <c r="AL26" i="8"/>
  <c r="AO29" i="8"/>
  <c r="AP30" i="8"/>
  <c r="AS33" i="8"/>
  <c r="AT34" i="8"/>
  <c r="AW37" i="8"/>
  <c r="AX38" i="8"/>
  <c r="AF19" i="8"/>
  <c r="AG20" i="8"/>
  <c r="AJ23" i="8"/>
  <c r="AK24" i="8"/>
  <c r="AN27" i="8"/>
  <c r="AO28" i="8"/>
  <c r="AR31" i="8"/>
  <c r="AS32" i="8"/>
  <c r="AV35" i="8"/>
  <c r="AW36" i="8"/>
  <c r="AE17" i="8"/>
  <c r="AF18" i="8"/>
  <c r="AM25" i="8"/>
  <c r="AN26" i="8"/>
  <c r="AQ29" i="8"/>
  <c r="AR30" i="8"/>
  <c r="AU33" i="8"/>
  <c r="AV34" i="8"/>
  <c r="AY37" i="8"/>
  <c r="AZ38" i="8"/>
  <c r="AF17" i="8"/>
  <c r="AI20" i="8"/>
  <c r="AJ21" i="8"/>
  <c r="AM24" i="8"/>
  <c r="AN25" i="8"/>
  <c r="AQ28" i="8"/>
  <c r="AR29" i="8"/>
  <c r="AU32" i="8"/>
  <c r="AV33" i="8"/>
  <c r="AZ21" i="1"/>
  <c r="AZ22" i="1"/>
  <c r="AZ23" i="1"/>
  <c r="AY22" i="1"/>
  <c r="AZ20" i="1"/>
  <c r="AZ17" i="1"/>
  <c r="AY66" i="1"/>
  <c r="AY15" i="1"/>
  <c r="AQ66" i="1"/>
  <c r="AQ15" i="1"/>
  <c r="AI66" i="1"/>
  <c r="AI15" i="1"/>
  <c r="AH18" i="8"/>
  <c r="AL22" i="8"/>
  <c r="AP26" i="8"/>
  <c r="AT30" i="8"/>
  <c r="AU31" i="8"/>
  <c r="AX34" i="8"/>
  <c r="AI18" i="8"/>
  <c r="AM22" i="8"/>
  <c r="AU30" i="8"/>
  <c r="AK19" i="8"/>
  <c r="AO23" i="8"/>
  <c r="AS27" i="8"/>
  <c r="AW31" i="8"/>
  <c r="AX32" i="8"/>
  <c r="AJ17" i="8"/>
  <c r="AN21" i="8"/>
  <c r="AR25" i="8"/>
  <c r="AV29" i="8"/>
  <c r="AZ33" i="8"/>
  <c r="AJ16" i="8"/>
  <c r="AN20" i="8"/>
  <c r="AR24" i="8"/>
  <c r="AV28" i="8"/>
  <c r="AZ32" i="8"/>
  <c r="AK16" i="8"/>
  <c r="AO20" i="8"/>
  <c r="AP21" i="8"/>
  <c r="AS24" i="8"/>
  <c r="AW28" i="8"/>
  <c r="AM17" i="8"/>
  <c r="AQ21" i="8"/>
  <c r="AU25" i="8"/>
  <c r="AY29" i="8"/>
  <c r="AP19" i="8"/>
  <c r="AQ20" i="8"/>
  <c r="AT23" i="8"/>
  <c r="AX27" i="8"/>
  <c r="AP18" i="8"/>
  <c r="AT22" i="8"/>
  <c r="AX26" i="8"/>
  <c r="AQ18" i="8"/>
  <c r="AU22" i="8"/>
  <c r="AY26" i="8"/>
  <c r="AS19" i="8"/>
  <c r="AW23" i="8"/>
  <c r="AR17" i="8"/>
  <c r="AV21" i="8"/>
  <c r="AC23" i="8"/>
  <c r="AG27" i="8"/>
  <c r="AK31" i="8"/>
  <c r="AO35" i="8"/>
  <c r="AS39" i="8"/>
  <c r="AW43" i="8"/>
  <c r="AC22" i="8"/>
  <c r="AG26" i="8"/>
  <c r="AK30" i="8"/>
  <c r="AO34" i="8"/>
  <c r="AS38" i="8"/>
  <c r="AK29" i="8"/>
  <c r="AW41" i="8"/>
  <c r="AH25" i="8"/>
  <c r="AP33" i="8"/>
  <c r="AT37" i="8"/>
  <c r="AK26" i="8"/>
  <c r="AE19" i="8"/>
  <c r="AI23" i="8"/>
  <c r="AM27" i="8"/>
  <c r="AQ31" i="8"/>
  <c r="AU35" i="8"/>
  <c r="AY39" i="8"/>
  <c r="AH21" i="8"/>
  <c r="AL25" i="8"/>
  <c r="AP29" i="8"/>
  <c r="AX37" i="8"/>
  <c r="AG19" i="8"/>
  <c r="AK23" i="8"/>
  <c r="AS31" i="8"/>
  <c r="AW35" i="8"/>
  <c r="AG18" i="8"/>
  <c r="AK22" i="8"/>
  <c r="AO26" i="8"/>
  <c r="AS30" i="8"/>
  <c r="AW34" i="8"/>
  <c r="C48" i="8"/>
  <c r="Q62" i="8"/>
  <c r="I54" i="8"/>
  <c r="F52" i="8"/>
  <c r="G51" i="8"/>
  <c r="J35" i="8"/>
  <c r="K33" i="8"/>
  <c r="N30" i="8"/>
  <c r="Q29" i="8"/>
  <c r="N27" i="8"/>
  <c r="F27" i="8"/>
  <c r="G25" i="8"/>
  <c r="O24" i="8"/>
  <c r="N22" i="8"/>
  <c r="J52" i="8"/>
  <c r="G48" i="8"/>
  <c r="S60" i="8"/>
  <c r="W64" i="8"/>
  <c r="K51" i="8"/>
  <c r="O55" i="8"/>
  <c r="O54" i="8"/>
  <c r="S58" i="8"/>
  <c r="J48" i="8"/>
  <c r="R56" i="8"/>
  <c r="M50" i="8"/>
  <c r="Q54" i="8"/>
  <c r="U58" i="8"/>
  <c r="G43" i="8"/>
  <c r="K47" i="8"/>
  <c r="M48" i="8"/>
  <c r="Q52" i="8"/>
  <c r="Y60" i="8"/>
  <c r="J44" i="8"/>
  <c r="R52" i="8"/>
  <c r="K44" i="8"/>
  <c r="O48" i="8"/>
  <c r="W56" i="8"/>
  <c r="AE64" i="8"/>
  <c r="K43" i="8"/>
  <c r="S51" i="8"/>
  <c r="AA59" i="8"/>
  <c r="AA58" i="8"/>
  <c r="J40" i="8"/>
  <c r="R48" i="8"/>
  <c r="AD60" i="8"/>
  <c r="M42" i="8"/>
  <c r="Q46" i="8"/>
  <c r="U50" i="8"/>
  <c r="K39" i="8"/>
  <c r="O43" i="8"/>
  <c r="S47" i="8"/>
  <c r="AE59" i="8"/>
  <c r="Q44" i="8"/>
  <c r="U48" i="8"/>
  <c r="AC56" i="8"/>
  <c r="AG60" i="8"/>
  <c r="N40" i="8"/>
  <c r="V48" i="8"/>
  <c r="Z52" i="8"/>
  <c r="AD56" i="8"/>
  <c r="O40" i="8"/>
  <c r="S44" i="8"/>
  <c r="AA52" i="8"/>
  <c r="O39" i="8"/>
  <c r="S43" i="8"/>
  <c r="W47" i="8"/>
  <c r="O38" i="8"/>
  <c r="W46" i="8"/>
  <c r="AE54" i="8"/>
  <c r="Z48" i="8"/>
  <c r="AD52" i="8"/>
  <c r="AH56" i="8"/>
  <c r="AL60" i="8"/>
  <c r="U42" i="8"/>
  <c r="Y46" i="8"/>
  <c r="AC50" i="8"/>
  <c r="O35" i="8"/>
  <c r="S39" i="8"/>
  <c r="W43" i="8"/>
  <c r="AQ63" i="8"/>
  <c r="Q36" i="8"/>
  <c r="AC48" i="8"/>
  <c r="AG52" i="8"/>
  <c r="AS64" i="8"/>
  <c r="R36" i="8"/>
  <c r="V40" i="8"/>
  <c r="Z44" i="8"/>
  <c r="AL56" i="8"/>
  <c r="AP60" i="8"/>
  <c r="W40" i="8"/>
  <c r="AA44" i="8"/>
  <c r="AE48" i="8"/>
  <c r="AI52" i="8"/>
  <c r="AQ60" i="8"/>
  <c r="S35" i="8"/>
  <c r="W39" i="8"/>
  <c r="AA43" i="8"/>
  <c r="AE47" i="8"/>
  <c r="AI51" i="8"/>
  <c r="AM55" i="8"/>
  <c r="AU63" i="8"/>
  <c r="S34" i="8"/>
  <c r="W38" i="8"/>
  <c r="AA42" i="8"/>
  <c r="AI50" i="8"/>
  <c r="AM54" i="8"/>
  <c r="R32" i="8"/>
  <c r="Z40" i="8"/>
  <c r="AD44" i="8"/>
  <c r="AH48" i="8"/>
  <c r="AL52" i="8"/>
  <c r="AP56" i="8"/>
  <c r="AT60" i="8"/>
  <c r="AC42" i="8"/>
  <c r="AG46" i="8"/>
  <c r="AK50" i="8"/>
  <c r="AS58" i="8"/>
  <c r="S31" i="8"/>
  <c r="W35" i="8"/>
  <c r="AA39" i="8"/>
  <c r="AY63" i="8"/>
  <c r="U32" i="8"/>
  <c r="Y36" i="8"/>
  <c r="AK48" i="8"/>
  <c r="AO52" i="8"/>
  <c r="T30" i="8"/>
  <c r="X34" i="8"/>
  <c r="AF42" i="8"/>
  <c r="AN50" i="8"/>
  <c r="AR54" i="8"/>
  <c r="AZ62" i="8"/>
  <c r="T29" i="8"/>
  <c r="X33" i="8"/>
  <c r="AJ45" i="8"/>
  <c r="AN49" i="8"/>
  <c r="AR53" i="8"/>
  <c r="AZ61" i="8"/>
  <c r="X32" i="8"/>
  <c r="AB36" i="8"/>
  <c r="AN48" i="8"/>
  <c r="AR52" i="8"/>
  <c r="AZ52" i="1"/>
  <c r="AZ52" i="8"/>
  <c r="R61" i="8"/>
  <c r="K55" i="8"/>
  <c r="O29" i="8"/>
  <c r="K29" i="8"/>
  <c r="G29" i="8"/>
  <c r="J23" i="8"/>
  <c r="F23" i="8"/>
  <c r="G21" i="8"/>
  <c r="J18" i="8"/>
  <c r="AZ56" i="8"/>
  <c r="AA26" i="8"/>
  <c r="AI34" i="8"/>
  <c r="AM38" i="8"/>
  <c r="AQ42" i="8"/>
  <c r="AU46" i="8"/>
  <c r="AY50" i="8"/>
  <c r="AF30" i="8"/>
  <c r="AJ34" i="8"/>
  <c r="AN38" i="8"/>
  <c r="Z23" i="8"/>
  <c r="AD27" i="8"/>
  <c r="AH31" i="8"/>
  <c r="AL35" i="8"/>
  <c r="AT43" i="8"/>
  <c r="AX47" i="8"/>
  <c r="AB24" i="8"/>
  <c r="AF28" i="8"/>
  <c r="AN36" i="8"/>
  <c r="AA22" i="8"/>
  <c r="AE26" i="8"/>
  <c r="AI30" i="8"/>
  <c r="AQ38" i="8"/>
  <c r="AU42" i="8"/>
  <c r="AD24" i="8"/>
  <c r="AH28" i="8"/>
  <c r="AL32" i="8"/>
  <c r="AT40" i="8"/>
  <c r="AX44" i="8"/>
  <c r="AH27" i="8"/>
  <c r="AL31" i="8"/>
  <c r="AP35" i="8"/>
  <c r="AX43" i="8"/>
  <c r="AD22" i="8"/>
  <c r="AH26" i="8"/>
  <c r="AL30" i="8"/>
  <c r="AP34" i="8"/>
  <c r="AT38" i="8"/>
  <c r="AX42" i="8"/>
  <c r="AE22" i="8"/>
  <c r="AI26" i="8"/>
  <c r="AM30" i="8"/>
  <c r="AQ34" i="8"/>
  <c r="AU38" i="8"/>
  <c r="AY42" i="8"/>
  <c r="AF22" i="8"/>
  <c r="AN30" i="8"/>
  <c r="AR34" i="8"/>
  <c r="AH23" i="8"/>
  <c r="AL27" i="8"/>
  <c r="AX39" i="8"/>
  <c r="AZ41" i="1"/>
  <c r="AF20" i="8"/>
  <c r="AJ24" i="8"/>
  <c r="AN28" i="8"/>
  <c r="AV36" i="8"/>
  <c r="AZ40" i="1"/>
  <c r="AE18" i="8"/>
  <c r="AI22" i="8"/>
  <c r="AM26" i="8"/>
  <c r="AU34" i="8"/>
  <c r="AY38" i="8"/>
  <c r="AH20" i="8"/>
  <c r="AL24" i="8"/>
  <c r="AT32" i="8"/>
  <c r="AX36" i="8"/>
  <c r="AZ38" i="1"/>
  <c r="AH19" i="8"/>
  <c r="AL23" i="8"/>
  <c r="AP27" i="8"/>
  <c r="AT31" i="8"/>
  <c r="AZ37" i="1"/>
  <c r="AI19" i="8"/>
  <c r="AM23" i="8"/>
  <c r="AQ27" i="8"/>
  <c r="AY35" i="8"/>
  <c r="AJ19" i="8"/>
  <c r="AN23" i="8"/>
  <c r="AR27" i="8"/>
  <c r="AV31" i="8"/>
  <c r="AZ35" i="8"/>
  <c r="AH16" i="8"/>
  <c r="AL20" i="8"/>
  <c r="AP24" i="8"/>
  <c r="AT28" i="8"/>
  <c r="AZ34" i="1"/>
  <c r="AK18" i="8"/>
  <c r="AO22" i="8"/>
  <c r="AS26" i="8"/>
  <c r="AW30" i="8"/>
  <c r="AO21" i="8"/>
  <c r="AS25" i="8"/>
  <c r="AW29" i="8"/>
  <c r="AL17" i="8"/>
  <c r="AT25" i="8"/>
  <c r="AX29" i="8"/>
  <c r="AN18" i="8"/>
  <c r="AR22" i="8"/>
  <c r="AV26" i="8"/>
  <c r="AZ30" i="8"/>
  <c r="AM16" i="8"/>
  <c r="AU24" i="8"/>
  <c r="AY28" i="8"/>
  <c r="AQ19" i="8"/>
  <c r="AU23" i="8"/>
  <c r="AY27" i="8"/>
  <c r="AP16" i="8"/>
  <c r="AT20" i="8"/>
  <c r="AX24" i="8"/>
  <c r="AS18" i="8"/>
  <c r="AW22" i="8"/>
  <c r="AS17" i="8"/>
  <c r="AW21" i="8"/>
  <c r="AT17" i="8"/>
  <c r="AV18" i="8"/>
  <c r="AU16" i="8"/>
  <c r="AY20" i="8"/>
  <c r="AZ58" i="8"/>
  <c r="C57" i="8"/>
  <c r="C49" i="8"/>
  <c r="C44" i="8"/>
  <c r="C40" i="8"/>
  <c r="C36" i="8"/>
  <c r="C32" i="8"/>
  <c r="C28" i="8"/>
  <c r="C24" i="8"/>
  <c r="C20" i="8"/>
  <c r="D64" i="8"/>
  <c r="E63" i="8"/>
  <c r="F63" i="8"/>
  <c r="I64" i="8"/>
  <c r="H61" i="8"/>
  <c r="D56" i="8"/>
  <c r="L64" i="8"/>
  <c r="G58" i="8"/>
  <c r="I59" i="8"/>
  <c r="M63" i="8"/>
  <c r="F55" i="8"/>
  <c r="J58" i="8"/>
  <c r="N62" i="8"/>
  <c r="I56" i="8"/>
  <c r="K57" i="8"/>
  <c r="O61" i="8"/>
  <c r="D49" i="8"/>
  <c r="H53" i="8"/>
  <c r="P61" i="8"/>
  <c r="E38" i="8"/>
  <c r="O19" i="8"/>
  <c r="O64" i="8"/>
  <c r="G64" i="8"/>
  <c r="D62" i="8"/>
  <c r="M60" i="8"/>
  <c r="E60" i="8"/>
  <c r="N59" i="8"/>
  <c r="N58" i="8"/>
  <c r="E57" i="8"/>
  <c r="K56" i="8"/>
  <c r="F50" i="8"/>
  <c r="D37" i="8"/>
  <c r="K34" i="8"/>
  <c r="N33" i="8"/>
  <c r="F33" i="8"/>
  <c r="J32" i="8"/>
  <c r="O26" i="8"/>
  <c r="V25" i="8"/>
  <c r="N25" i="8"/>
  <c r="J25" i="8"/>
  <c r="V24" i="8"/>
  <c r="R24" i="8"/>
  <c r="J24" i="8"/>
  <c r="W23" i="8"/>
  <c r="O23" i="8"/>
  <c r="D20" i="8"/>
  <c r="AA18" i="8"/>
  <c r="W18" i="8"/>
  <c r="S18" i="8"/>
  <c r="O18" i="8"/>
  <c r="G18" i="8"/>
  <c r="AD17" i="8"/>
  <c r="V17" i="8"/>
  <c r="R17" i="8"/>
  <c r="N17" i="8"/>
  <c r="F17" i="8"/>
  <c r="AD16" i="8"/>
  <c r="V16" i="8"/>
  <c r="R16" i="8"/>
  <c r="N16" i="8"/>
  <c r="F16" i="8"/>
  <c r="C60" i="8"/>
  <c r="C56" i="8"/>
  <c r="Q63" i="8"/>
  <c r="J57" i="8"/>
  <c r="G40" i="8"/>
  <c r="F35" i="8"/>
  <c r="G33" i="8"/>
  <c r="J30" i="8"/>
  <c r="Q28" i="8"/>
  <c r="R27" i="8"/>
  <c r="J27" i="8"/>
  <c r="M64" i="8"/>
  <c r="G54" i="8"/>
  <c r="R62" i="8"/>
  <c r="E42" i="8"/>
  <c r="F28" i="8"/>
  <c r="K28" i="8"/>
  <c r="F20" i="8"/>
  <c r="N28" i="8"/>
  <c r="S25" i="8"/>
  <c r="K25" i="8"/>
  <c r="S24" i="8"/>
  <c r="G24" i="8"/>
  <c r="V22" i="8"/>
  <c r="F22" i="8"/>
  <c r="Y21" i="8"/>
  <c r="U21" i="8"/>
  <c r="Q21" i="8"/>
  <c r="M21" i="8"/>
  <c r="I21" i="8"/>
  <c r="Q20" i="8"/>
  <c r="M20" i="8"/>
  <c r="I20" i="8"/>
  <c r="Z19" i="8"/>
  <c r="R19" i="8"/>
  <c r="N19" i="8"/>
  <c r="J19" i="8"/>
  <c r="F19" i="8"/>
  <c r="W17" i="8"/>
  <c r="S17" i="8"/>
  <c r="O17" i="8"/>
  <c r="G17" i="8"/>
  <c r="AA16" i="8"/>
  <c r="W16" i="8"/>
  <c r="S16" i="8"/>
  <c r="K16" i="8"/>
  <c r="G16" i="8"/>
  <c r="E47" i="8"/>
  <c r="AB59" i="8"/>
  <c r="AF63" i="8"/>
  <c r="L42" i="8"/>
  <c r="P46" i="8"/>
  <c r="T50" i="8"/>
  <c r="X54" i="8"/>
  <c r="AB58" i="8"/>
  <c r="AF62" i="8"/>
  <c r="L40" i="8"/>
  <c r="P44" i="8"/>
  <c r="T48" i="8"/>
  <c r="X52" i="8"/>
  <c r="AB56" i="8"/>
  <c r="AF60" i="8"/>
  <c r="AJ64" i="8"/>
  <c r="L38" i="8"/>
  <c r="P42" i="8"/>
  <c r="T46" i="8"/>
  <c r="X50" i="8"/>
  <c r="AB54" i="8"/>
  <c r="AF58" i="8"/>
  <c r="AJ62" i="8"/>
  <c r="L37" i="8"/>
  <c r="P41" i="8"/>
  <c r="T45" i="8"/>
  <c r="X49" i="8"/>
  <c r="AB53" i="8"/>
  <c r="AF57" i="8"/>
  <c r="AJ61" i="8"/>
  <c r="L36" i="8"/>
  <c r="P40" i="8"/>
  <c r="T44" i="8"/>
  <c r="X48" i="8"/>
  <c r="AB52" i="8"/>
  <c r="AF56" i="8"/>
  <c r="AJ60" i="8"/>
  <c r="AN64" i="8"/>
  <c r="P39" i="8"/>
  <c r="T43" i="8"/>
  <c r="X47" i="8"/>
  <c r="AB51" i="8"/>
  <c r="AF55" i="8"/>
  <c r="AJ59" i="8"/>
  <c r="AN63" i="8"/>
  <c r="P38" i="8"/>
  <c r="T42" i="8"/>
  <c r="X46" i="8"/>
  <c r="AB50" i="8"/>
  <c r="AF54" i="8"/>
  <c r="AJ58" i="8"/>
  <c r="P36" i="8"/>
  <c r="T40" i="8"/>
  <c r="X44" i="8"/>
  <c r="AB48" i="8"/>
  <c r="P33" i="8"/>
  <c r="AZ63" i="1"/>
  <c r="AZ51" i="1"/>
  <c r="AZ36" i="1"/>
  <c r="AY37" i="1"/>
  <c r="AZ33" i="1"/>
  <c r="AZ16" i="7"/>
  <c r="AX66" i="1"/>
  <c r="AX15" i="1"/>
  <c r="AT66" i="1"/>
  <c r="AT15" i="1"/>
  <c r="AP66" i="1"/>
  <c r="AP15" i="1"/>
  <c r="AL66" i="1"/>
  <c r="AL15" i="1"/>
  <c r="AH66" i="1"/>
  <c r="AH15" i="1"/>
  <c r="AY59" i="8"/>
  <c r="AZ60" i="1"/>
  <c r="AZ45" i="8"/>
  <c r="AB20" i="8"/>
  <c r="AC21" i="8"/>
  <c r="AE23" i="8"/>
  <c r="AF24" i="8"/>
  <c r="AG25" i="8"/>
  <c r="AI27" i="8"/>
  <c r="AO33" i="8"/>
  <c r="AQ35" i="8"/>
  <c r="AS37" i="8"/>
  <c r="AU39" i="8"/>
  <c r="AV40" i="8"/>
  <c r="AY43" i="8"/>
  <c r="AZ44" i="8"/>
  <c r="AC20" i="8"/>
  <c r="AD21" i="8"/>
  <c r="AF23" i="8"/>
  <c r="AJ27" i="8"/>
  <c r="AK28" i="8"/>
  <c r="AL29" i="8"/>
  <c r="AN31" i="8"/>
  <c r="AO32" i="8"/>
  <c r="AR35" i="8"/>
  <c r="AS36" i="8"/>
  <c r="AV39" i="8"/>
  <c r="AX41" i="8"/>
  <c r="AC19" i="8"/>
  <c r="AD20" i="8"/>
  <c r="AE21" i="8"/>
  <c r="AG23" i="8"/>
  <c r="AH24" i="8"/>
  <c r="AI25" i="8"/>
  <c r="AK27" i="8"/>
  <c r="AL28" i="8"/>
  <c r="AM29" i="8"/>
  <c r="AO31" i="8"/>
  <c r="AP32" i="8"/>
  <c r="AQ33" i="8"/>
  <c r="AS35" i="8"/>
  <c r="AT36" i="8"/>
  <c r="AU37" i="8"/>
  <c r="AX40" i="8"/>
  <c r="AY41" i="8"/>
  <c r="AG22" i="8"/>
  <c r="AI24" i="8"/>
  <c r="AJ25" i="8"/>
  <c r="AM28" i="8"/>
  <c r="AN29" i="8"/>
  <c r="AO30" i="8"/>
  <c r="AQ32" i="8"/>
  <c r="AR33" i="8"/>
  <c r="AS34" i="8"/>
  <c r="AU36" i="8"/>
  <c r="AV37" i="8"/>
  <c r="AW38" i="8"/>
  <c r="AY40" i="8"/>
  <c r="AZ25" i="1"/>
  <c r="AR16" i="8"/>
  <c r="AT18" i="8"/>
  <c r="AU19" i="8"/>
  <c r="AV20" i="8"/>
  <c r="AX22" i="8"/>
  <c r="AS16" i="8"/>
  <c r="AU18" i="8"/>
  <c r="AV19" i="8"/>
  <c r="AW20" i="8"/>
  <c r="AT16" i="8"/>
  <c r="AU17" i="8"/>
  <c r="AW19" i="8"/>
  <c r="AX20" i="8"/>
  <c r="AY21" i="8"/>
  <c r="AV17" i="8"/>
  <c r="AX19" i="8"/>
  <c r="AW17" i="8"/>
  <c r="AX18" i="8"/>
  <c r="AY19" i="8"/>
  <c r="AX17" i="8"/>
  <c r="AY18" i="8"/>
  <c r="AX16" i="8"/>
  <c r="AZ18" i="8"/>
  <c r="AY16" i="8"/>
  <c r="AZ16" i="2"/>
  <c r="AZ66" i="1"/>
  <c r="AZ15" i="1"/>
  <c r="AV66" i="1"/>
  <c r="AV15" i="1"/>
  <c r="AR66" i="1"/>
  <c r="AR15" i="1"/>
  <c r="AN66" i="1"/>
  <c r="AN15" i="1"/>
  <c r="AJ66" i="1"/>
  <c r="AJ15" i="1"/>
  <c r="AZ25" i="8"/>
  <c r="C64" i="8"/>
  <c r="C52" i="8"/>
  <c r="AZ23" i="8"/>
  <c r="AZ24" i="1"/>
  <c r="AZ24" i="8"/>
  <c r="X23" i="8"/>
  <c r="T18" i="8"/>
  <c r="Y22" i="8"/>
  <c r="AZ29" i="1"/>
  <c r="C63" i="8"/>
  <c r="C59" i="8"/>
  <c r="C55" i="8"/>
  <c r="C51" i="8"/>
  <c r="C47" i="8"/>
  <c r="C42" i="8"/>
  <c r="C38" i="8"/>
  <c r="C34" i="8"/>
  <c r="C30" i="8"/>
  <c r="C26" i="8"/>
  <c r="C22" i="8"/>
  <c r="C18" i="8"/>
  <c r="H64" i="8"/>
  <c r="F59" i="8"/>
  <c r="F58" i="8"/>
  <c r="I60" i="8"/>
  <c r="K61" i="8"/>
  <c r="L61" i="8"/>
  <c r="H56" i="8"/>
  <c r="P64" i="8"/>
  <c r="I52" i="8"/>
  <c r="Q60" i="8"/>
  <c r="F40" i="8"/>
  <c r="G39" i="8"/>
  <c r="I38" i="8"/>
  <c r="I36" i="8"/>
  <c r="F32" i="8"/>
  <c r="G32" i="8"/>
  <c r="G31" i="8"/>
  <c r="I30" i="8"/>
  <c r="K31" i="8"/>
  <c r="I28" i="8"/>
  <c r="F24" i="8"/>
  <c r="N32" i="8"/>
  <c r="G23" i="8"/>
  <c r="O31" i="8"/>
  <c r="K26" i="8"/>
  <c r="I22" i="8"/>
  <c r="Q30" i="8"/>
  <c r="J22" i="8"/>
  <c r="L21" i="8"/>
  <c r="P20" i="8"/>
  <c r="AZ45" i="1"/>
  <c r="H39" i="8"/>
  <c r="H36" i="8"/>
  <c r="H31" i="8"/>
  <c r="H28" i="8"/>
  <c r="L29" i="8"/>
  <c r="L28" i="8"/>
  <c r="H23" i="8"/>
  <c r="P31" i="8"/>
  <c r="L23" i="8"/>
  <c r="N24" i="8"/>
  <c r="M22" i="8"/>
  <c r="L20" i="8"/>
  <c r="P21" i="8"/>
  <c r="P18" i="8"/>
  <c r="C62" i="8"/>
  <c r="C58" i="8"/>
  <c r="C54" i="8"/>
  <c r="C50" i="8"/>
  <c r="C46" i="8"/>
  <c r="F64" i="8"/>
  <c r="G63" i="8"/>
  <c r="E58" i="8"/>
  <c r="J56" i="8"/>
  <c r="F53" i="8"/>
  <c r="E50" i="8"/>
  <c r="D43" i="8"/>
  <c r="F39" i="8"/>
  <c r="G37" i="8"/>
  <c r="L35" i="8"/>
  <c r="H35" i="8"/>
  <c r="D35" i="8"/>
  <c r="J34" i="8"/>
  <c r="L27" i="8"/>
  <c r="H27" i="8"/>
  <c r="D27" i="8"/>
  <c r="U25" i="8"/>
  <c r="Q25" i="8"/>
  <c r="M25" i="8"/>
  <c r="U24" i="8"/>
  <c r="Q24" i="8"/>
  <c r="M24" i="8"/>
  <c r="D19" i="8"/>
  <c r="AC17" i="8"/>
  <c r="Y17" i="8"/>
  <c r="U17" i="8"/>
  <c r="Q17" i="8"/>
  <c r="M17" i="8"/>
  <c r="I17" i="8"/>
  <c r="E17" i="8"/>
  <c r="I35" i="8"/>
  <c r="E35" i="8"/>
  <c r="Q27" i="8"/>
  <c r="M27" i="8"/>
  <c r="I27" i="8"/>
  <c r="E27" i="8"/>
  <c r="Y19" i="8"/>
  <c r="U19" i="8"/>
  <c r="Q19" i="8"/>
  <c r="M19" i="8"/>
  <c r="I19" i="8"/>
  <c r="E19" i="8"/>
  <c r="AZ53" i="1"/>
  <c r="AZ49" i="1"/>
  <c r="AZ48" i="1"/>
  <c r="AZ44" i="1"/>
  <c r="AZ43" i="1"/>
  <c r="AZ28" i="1"/>
  <c r="AZ27" i="1"/>
  <c r="L56" i="8"/>
  <c r="T64" i="8"/>
  <c r="O58" i="8"/>
  <c r="E37" i="8"/>
  <c r="E36" i="8"/>
  <c r="I37" i="8"/>
  <c r="H34" i="8"/>
  <c r="E30" i="8"/>
  <c r="E29" i="8"/>
  <c r="E28" i="8"/>
  <c r="L34" i="8"/>
  <c r="K32" i="8"/>
  <c r="I29" i="8"/>
  <c r="G26" i="8"/>
  <c r="H26" i="8"/>
  <c r="E22" i="8"/>
  <c r="M30" i="8"/>
  <c r="E21" i="8"/>
  <c r="M29" i="8"/>
  <c r="E20" i="8"/>
  <c r="M28" i="8"/>
  <c r="L26" i="8"/>
  <c r="H20" i="8"/>
  <c r="P28" i="8"/>
  <c r="P23" i="8"/>
  <c r="L18" i="8"/>
  <c r="T26" i="8"/>
  <c r="Q22" i="8"/>
  <c r="R22" i="8"/>
  <c r="T21" i="8"/>
  <c r="X20" i="8"/>
  <c r="AB18" i="8"/>
  <c r="P59" i="8"/>
  <c r="L59" i="8"/>
  <c r="H59" i="8"/>
  <c r="D59" i="8"/>
  <c r="L58" i="8"/>
  <c r="H58" i="8"/>
  <c r="H51" i="8"/>
  <c r="D51" i="8"/>
  <c r="D41" i="8"/>
  <c r="L33" i="8"/>
  <c r="H33" i="8"/>
  <c r="L32" i="8"/>
  <c r="H32" i="8"/>
  <c r="M31" i="8"/>
  <c r="I31" i="8"/>
  <c r="E31" i="8"/>
  <c r="N29" i="8"/>
  <c r="F29" i="8"/>
  <c r="T25" i="8"/>
  <c r="P25" i="8"/>
  <c r="L25" i="8"/>
  <c r="H25" i="8"/>
  <c r="D25" i="8"/>
  <c r="H24" i="8"/>
  <c r="U23" i="8"/>
  <c r="Q23" i="8"/>
  <c r="M23" i="8"/>
  <c r="I23" i="8"/>
  <c r="E23" i="8"/>
  <c r="F21" i="8"/>
  <c r="AB17" i="8"/>
  <c r="X17" i="8"/>
  <c r="T17" i="8"/>
  <c r="P17" i="8"/>
  <c r="L17" i="8"/>
  <c r="H17" i="8"/>
  <c r="AB16" i="8"/>
  <c r="X16" i="8"/>
  <c r="T16" i="8"/>
  <c r="P16" i="8"/>
  <c r="L16" i="8"/>
  <c r="H16" i="8"/>
  <c r="AZ64" i="1"/>
  <c r="AZ59" i="1"/>
  <c r="AZ32" i="1"/>
  <c r="AZ31" i="1"/>
  <c r="AZ26" i="1"/>
  <c r="AZ18" i="1"/>
  <c r="D63" i="8"/>
  <c r="H62" i="8"/>
  <c r="D55" i="8"/>
  <c r="D47" i="8"/>
  <c r="L55" i="8"/>
  <c r="T63" i="8"/>
  <c r="D39" i="8"/>
  <c r="H37" i="8"/>
  <c r="D31" i="8"/>
  <c r="H29" i="8"/>
  <c r="D23" i="8"/>
  <c r="L31" i="8"/>
  <c r="H21" i="8"/>
  <c r="P29" i="8"/>
  <c r="H18" i="8"/>
  <c r="P26" i="8"/>
  <c r="T23" i="8"/>
  <c r="U22" i="8"/>
  <c r="T20" i="8"/>
  <c r="X21" i="8"/>
  <c r="X18" i="8"/>
  <c r="C43" i="8"/>
  <c r="C39" i="8"/>
  <c r="C35" i="8"/>
  <c r="C31" i="8"/>
  <c r="C27" i="8"/>
  <c r="C23" i="8"/>
  <c r="C19" i="8"/>
  <c r="AZ47" i="1"/>
  <c r="AZ35" i="1"/>
  <c r="AZ30" i="1"/>
  <c r="AZ19" i="1"/>
  <c r="P60" i="8"/>
  <c r="L60" i="8"/>
  <c r="H60" i="8"/>
  <c r="L57" i="8"/>
  <c r="H57" i="8"/>
  <c r="H52" i="8"/>
  <c r="H38" i="8"/>
  <c r="M33" i="8"/>
  <c r="I33" i="8"/>
  <c r="E33" i="8"/>
  <c r="M32" i="8"/>
  <c r="I32" i="8"/>
  <c r="E32" i="8"/>
  <c r="P30" i="8"/>
  <c r="L30" i="8"/>
  <c r="H30" i="8"/>
  <c r="T27" i="8"/>
  <c r="P27" i="8"/>
  <c r="I25" i="8"/>
  <c r="E25" i="8"/>
  <c r="I24" i="8"/>
  <c r="E24" i="8"/>
  <c r="X22" i="8"/>
  <c r="T22" i="8"/>
  <c r="P22" i="8"/>
  <c r="L22" i="8"/>
  <c r="H22" i="8"/>
  <c r="AB19" i="8"/>
  <c r="X19" i="8"/>
  <c r="T19" i="8"/>
  <c r="P19" i="8"/>
  <c r="L19" i="8"/>
  <c r="H19" i="8"/>
  <c r="AC16" i="8"/>
  <c r="Y16" i="8"/>
  <c r="U16" i="8"/>
  <c r="Q16" i="8"/>
  <c r="M16" i="8"/>
  <c r="I16" i="8"/>
  <c r="E16" i="8"/>
  <c r="M34" i="8"/>
  <c r="I34" i="8"/>
  <c r="E34" i="8"/>
  <c r="U26" i="8"/>
  <c r="Q26" i="8"/>
  <c r="M26" i="8"/>
  <c r="I26" i="8"/>
  <c r="E26" i="8"/>
  <c r="T24" i="8"/>
  <c r="P24" i="8"/>
  <c r="L24" i="8"/>
  <c r="AC18" i="8"/>
  <c r="Y18" i="8"/>
  <c r="U18" i="8"/>
  <c r="Q18" i="8"/>
  <c r="M18" i="8"/>
  <c r="I18" i="8"/>
  <c r="E18" i="8"/>
  <c r="D57" i="8"/>
  <c r="D52" i="8"/>
  <c r="D30" i="8"/>
  <c r="Q64" i="8"/>
  <c r="R63" i="8"/>
  <c r="K62" i="8"/>
  <c r="F62" i="8"/>
  <c r="J61" i="8"/>
  <c r="E61" i="8"/>
  <c r="E56" i="8"/>
  <c r="J55" i="8"/>
  <c r="J54" i="8"/>
  <c r="G52" i="8"/>
  <c r="E41" i="8"/>
  <c r="G38" i="8"/>
  <c r="F36" i="8"/>
  <c r="K35" i="8"/>
  <c r="J28" i="8"/>
  <c r="V21" i="8"/>
  <c r="K21" i="8"/>
  <c r="S20" i="8"/>
  <c r="N20" i="8"/>
  <c r="C21" i="8"/>
  <c r="C29" i="8"/>
  <c r="C37" i="8"/>
  <c r="C53" i="8"/>
  <c r="C61" i="8"/>
  <c r="L63" i="8"/>
  <c r="H54" i="8"/>
  <c r="P62" i="8"/>
  <c r="AJ63" i="8"/>
  <c r="AF61" i="8"/>
  <c r="AF59" i="8"/>
  <c r="AB57" i="8"/>
  <c r="AB55" i="8"/>
  <c r="X53" i="8"/>
  <c r="X51" i="8"/>
  <c r="T49" i="8"/>
  <c r="T47" i="8"/>
  <c r="P45" i="8"/>
  <c r="X43" i="8"/>
  <c r="P43" i="8"/>
  <c r="T41" i="8"/>
  <c r="L41" i="8"/>
  <c r="T39" i="8"/>
  <c r="L39" i="8"/>
  <c r="P37" i="8"/>
  <c r="P35" i="8"/>
  <c r="AZ62" i="1"/>
  <c r="AY63" i="1"/>
  <c r="AZ61" i="1"/>
  <c r="AZ54" i="1"/>
  <c r="AY55" i="1"/>
  <c r="AZ50" i="1"/>
  <c r="AZ42" i="1"/>
  <c r="AZ46" i="1"/>
  <c r="AZ39" i="1"/>
  <c r="AZ16" i="1"/>
  <c r="AY27" i="1"/>
  <c r="AY18" i="1"/>
  <c r="AY21" i="1"/>
  <c r="AY33" i="1"/>
  <c r="AY20" i="1"/>
  <c r="AY17" i="1"/>
  <c r="AY16" i="1"/>
  <c r="AX17" i="1"/>
  <c r="AY28" i="1"/>
  <c r="AY52" i="1"/>
  <c r="AY19" i="1"/>
  <c r="AY59" i="1"/>
  <c r="AY57" i="1"/>
  <c r="AY58" i="1"/>
  <c r="AX58" i="1"/>
  <c r="AY48" i="1"/>
  <c r="AY25" i="1"/>
  <c r="AY26" i="1"/>
  <c r="AX27" i="1"/>
  <c r="AY64" i="1"/>
  <c r="AX64" i="1"/>
  <c r="AY29" i="1"/>
  <c r="AX28" i="1"/>
  <c r="AX56" i="1"/>
  <c r="AY35" i="1"/>
  <c r="AY31" i="1"/>
  <c r="AY30" i="1"/>
  <c r="AX30" i="1"/>
  <c r="AY44" i="1"/>
  <c r="AY53" i="1"/>
  <c r="AZ16" i="8"/>
  <c r="AY32" i="1"/>
  <c r="AY62" i="1"/>
  <c r="AY24" i="1"/>
  <c r="AX25" i="1"/>
  <c r="AY36" i="1"/>
  <c r="AX36" i="1"/>
  <c r="AX20" i="1"/>
  <c r="AY34" i="1"/>
  <c r="AX34" i="1"/>
  <c r="AX18" i="1"/>
  <c r="AY23" i="1"/>
  <c r="AY45" i="1"/>
  <c r="AY47" i="1"/>
  <c r="AY43" i="1"/>
  <c r="AY41" i="1"/>
  <c r="AY42" i="1"/>
  <c r="AY51" i="1"/>
  <c r="AX52" i="1"/>
  <c r="AY49" i="1"/>
  <c r="AY50" i="1"/>
  <c r="AY46" i="1"/>
  <c r="AX19" i="1"/>
  <c r="AY40" i="1"/>
  <c r="AY38" i="1"/>
  <c r="AY39" i="1"/>
  <c r="AX22" i="1"/>
  <c r="AX21" i="1"/>
  <c r="AX26" i="1"/>
  <c r="AY60" i="1"/>
  <c r="AY61" i="1"/>
  <c r="AX29" i="1"/>
  <c r="AY54" i="1"/>
  <c r="AX55" i="1"/>
  <c r="AX16" i="1"/>
  <c r="AX63" i="1"/>
  <c r="AX31" i="1"/>
  <c r="AX40" i="1"/>
  <c r="AX41" i="1"/>
  <c r="AX42" i="1"/>
  <c r="AW41" i="1"/>
  <c r="AX35" i="1"/>
  <c r="AW35" i="1"/>
  <c r="AX47" i="1"/>
  <c r="AX32" i="1"/>
  <c r="AW27" i="1"/>
  <c r="AX62" i="1"/>
  <c r="AW63" i="1"/>
  <c r="AW64" i="1"/>
  <c r="AX43" i="1"/>
  <c r="AX59" i="1"/>
  <c r="AX49" i="1"/>
  <c r="AX23" i="1"/>
  <c r="AW30" i="1"/>
  <c r="AW20" i="1"/>
  <c r="AX50" i="1"/>
  <c r="AX24" i="1"/>
  <c r="AW25" i="1"/>
  <c r="AX33" i="1"/>
  <c r="AW34" i="1"/>
  <c r="AX39" i="1"/>
  <c r="AX38" i="1"/>
  <c r="AX60" i="1"/>
  <c r="AX61" i="1"/>
  <c r="AW62" i="1"/>
  <c r="AX53" i="1"/>
  <c r="AW16" i="1"/>
  <c r="AW17" i="1"/>
  <c r="AW31" i="1"/>
  <c r="AX57" i="1"/>
  <c r="AW56" i="1"/>
  <c r="AX51" i="1"/>
  <c r="AW18" i="1"/>
  <c r="AW32" i="1"/>
  <c r="AX37" i="1"/>
  <c r="AW29" i="1"/>
  <c r="AX44" i="1"/>
  <c r="AW19" i="1"/>
  <c r="AX45" i="1"/>
  <c r="AX46" i="1"/>
  <c r="AX54" i="1"/>
  <c r="AW55" i="1"/>
  <c r="AW26" i="1"/>
  <c r="AW28" i="1"/>
  <c r="AX48" i="1"/>
  <c r="AW21" i="1"/>
  <c r="AW53" i="1"/>
  <c r="AW59" i="1"/>
  <c r="AW60" i="1"/>
  <c r="AV64" i="1"/>
  <c r="AW51" i="1"/>
  <c r="AV29" i="1"/>
  <c r="AW24" i="1"/>
  <c r="AW49" i="1"/>
  <c r="AW50" i="1"/>
  <c r="AW22" i="1"/>
  <c r="AV63" i="1"/>
  <c r="AV27" i="1"/>
  <c r="AV31" i="1"/>
  <c r="AW45" i="1"/>
  <c r="AW38" i="1"/>
  <c r="AW52" i="1"/>
  <c r="AV52" i="1"/>
  <c r="AW46" i="1"/>
  <c r="AW39" i="1"/>
  <c r="AV30" i="1"/>
  <c r="AW23" i="1"/>
  <c r="AV22" i="1"/>
  <c r="AW33" i="1"/>
  <c r="AV34" i="1"/>
  <c r="AV26" i="1"/>
  <c r="AW36" i="1"/>
  <c r="AW47" i="1"/>
  <c r="AV19" i="1"/>
  <c r="AW54" i="1"/>
  <c r="AV55" i="1"/>
  <c r="AW44" i="1"/>
  <c r="AW58" i="1"/>
  <c r="AV59" i="1"/>
  <c r="AW57" i="1"/>
  <c r="AW48" i="1"/>
  <c r="AV24" i="1"/>
  <c r="AV20" i="1"/>
  <c r="AV21" i="1"/>
  <c r="AW43" i="1"/>
  <c r="AW42" i="1"/>
  <c r="AV17" i="1"/>
  <c r="AV16" i="1"/>
  <c r="AV25" i="1"/>
  <c r="AW37" i="1"/>
  <c r="AV28" i="1"/>
  <c r="AU29" i="1"/>
  <c r="AV18" i="1"/>
  <c r="AW61" i="1"/>
  <c r="AV62" i="1"/>
  <c r="AW40" i="1"/>
  <c r="AU64" i="1"/>
  <c r="AU30" i="1"/>
  <c r="AV45" i="1"/>
  <c r="AV51" i="1"/>
  <c r="AV50" i="1"/>
  <c r="AU51" i="1"/>
  <c r="AV49" i="1"/>
  <c r="AU63" i="1"/>
  <c r="AT64" i="1"/>
  <c r="AV38" i="1"/>
  <c r="AV39" i="1"/>
  <c r="AV44" i="1"/>
  <c r="AV58" i="1"/>
  <c r="AV32" i="1"/>
  <c r="AU31" i="1"/>
  <c r="AT30" i="1"/>
  <c r="AV23" i="1"/>
  <c r="AU23" i="1"/>
  <c r="AU21" i="1"/>
  <c r="AU26" i="1"/>
  <c r="AV43" i="1"/>
  <c r="AU19" i="1"/>
  <c r="AV56" i="1"/>
  <c r="AU18" i="1"/>
  <c r="AU22" i="1"/>
  <c r="AV33" i="1"/>
  <c r="AV48" i="1"/>
  <c r="AU27" i="1"/>
  <c r="AV53" i="1"/>
  <c r="AU28" i="1"/>
  <c r="AT29" i="1"/>
  <c r="AV47" i="1"/>
  <c r="AU20" i="1"/>
  <c r="AV42" i="1"/>
  <c r="AV46" i="1"/>
  <c r="AV37" i="1"/>
  <c r="AV35" i="1"/>
  <c r="AV36" i="1"/>
  <c r="AV41" i="1"/>
  <c r="AV60" i="1"/>
  <c r="AV61" i="1"/>
  <c r="AU62" i="1"/>
  <c r="AU16" i="1"/>
  <c r="AU17" i="1"/>
  <c r="AV40" i="1"/>
  <c r="AU25" i="1"/>
  <c r="AV54" i="1"/>
  <c r="AU55" i="1"/>
  <c r="AV57" i="1"/>
  <c r="AU38" i="1"/>
  <c r="AU58" i="1"/>
  <c r="AU61" i="1"/>
  <c r="AT26" i="1"/>
  <c r="AT19" i="1"/>
  <c r="AU33" i="1"/>
  <c r="AU50" i="1"/>
  <c r="AT18" i="1"/>
  <c r="AU32" i="1"/>
  <c r="AT62" i="1"/>
  <c r="AU43" i="1"/>
  <c r="AT20" i="1"/>
  <c r="AU44" i="1"/>
  <c r="AU24" i="1"/>
  <c r="AT23" i="1"/>
  <c r="AT63" i="1"/>
  <c r="AS64" i="1"/>
  <c r="AU45" i="1"/>
  <c r="AU49" i="1"/>
  <c r="AT50" i="1"/>
  <c r="AU37" i="1"/>
  <c r="AU39" i="1"/>
  <c r="AT38" i="1"/>
  <c r="AT31" i="1"/>
  <c r="AU40" i="1"/>
  <c r="AU48" i="1"/>
  <c r="AT49" i="1"/>
  <c r="AS30" i="1"/>
  <c r="AT21" i="1"/>
  <c r="AT22" i="1"/>
  <c r="AU56" i="1"/>
  <c r="AS20" i="1"/>
  <c r="AU54" i="1"/>
  <c r="AU52" i="1"/>
  <c r="AU57" i="1"/>
  <c r="AT17" i="1"/>
  <c r="AS18" i="1"/>
  <c r="AT16" i="1"/>
  <c r="AU46" i="1"/>
  <c r="AU41" i="1"/>
  <c r="AT40" i="1"/>
  <c r="AU36" i="1"/>
  <c r="AU34" i="1"/>
  <c r="AU35" i="1"/>
  <c r="AT28" i="1"/>
  <c r="AS29" i="1"/>
  <c r="AU60" i="1"/>
  <c r="AT61" i="1"/>
  <c r="AS19" i="1"/>
  <c r="AU42" i="1"/>
  <c r="AT39" i="1"/>
  <c r="AU47" i="1"/>
  <c r="AU59" i="1"/>
  <c r="AT27" i="1"/>
  <c r="AU53" i="1"/>
  <c r="AT32" i="1"/>
  <c r="AT44" i="1"/>
  <c r="AS62" i="1"/>
  <c r="AT54" i="1"/>
  <c r="AT25" i="1"/>
  <c r="AS31" i="1"/>
  <c r="AR30" i="1"/>
  <c r="AS21" i="1"/>
  <c r="AR20" i="1"/>
  <c r="AT43" i="1"/>
  <c r="AT24" i="1"/>
  <c r="AS25" i="1"/>
  <c r="AT37" i="1"/>
  <c r="AS38" i="1"/>
  <c r="AS22" i="1"/>
  <c r="AT48" i="1"/>
  <c r="AS49" i="1"/>
  <c r="AT45" i="1"/>
  <c r="AT52" i="1"/>
  <c r="AS63" i="1"/>
  <c r="AR64" i="1"/>
  <c r="AR19" i="1"/>
  <c r="AT58" i="1"/>
  <c r="AS28" i="1"/>
  <c r="AR29" i="1"/>
  <c r="AT55" i="1"/>
  <c r="AT42" i="1"/>
  <c r="AS17" i="1"/>
  <c r="AR18" i="1"/>
  <c r="AS16" i="1"/>
  <c r="AT53" i="1"/>
  <c r="AT51" i="1"/>
  <c r="AS50" i="1"/>
  <c r="AR21" i="1"/>
  <c r="AT57" i="1"/>
  <c r="AT56" i="1"/>
  <c r="AT36" i="1"/>
  <c r="AT47" i="1"/>
  <c r="AS39" i="1"/>
  <c r="AT60" i="1"/>
  <c r="AS61" i="1"/>
  <c r="AS27" i="1"/>
  <c r="AR28" i="1"/>
  <c r="AT35" i="1"/>
  <c r="AT34" i="1"/>
  <c r="AT33" i="1"/>
  <c r="AT46" i="1"/>
  <c r="AT59" i="1"/>
  <c r="AS24" i="1"/>
  <c r="AS23" i="1"/>
  <c r="AS26" i="1"/>
  <c r="AR27" i="1"/>
  <c r="AQ28" i="1"/>
  <c r="AT41" i="1"/>
  <c r="AS56" i="1"/>
  <c r="AS43" i="1"/>
  <c r="AR62" i="1"/>
  <c r="AS55" i="1"/>
  <c r="AQ20" i="1"/>
  <c r="AQ19" i="1"/>
  <c r="AS44" i="1"/>
  <c r="AS42" i="1"/>
  <c r="AS36" i="1"/>
  <c r="AS54" i="1"/>
  <c r="AR55" i="1"/>
  <c r="AS48" i="1"/>
  <c r="AR49" i="1"/>
  <c r="AS46" i="1"/>
  <c r="AR63" i="1"/>
  <c r="AQ64" i="1"/>
  <c r="AQ63" i="1"/>
  <c r="AP64" i="1"/>
  <c r="AS37" i="1"/>
  <c r="AS60" i="1"/>
  <c r="AR61" i="1"/>
  <c r="AQ62" i="1"/>
  <c r="AS53" i="1"/>
  <c r="AQ29" i="1"/>
  <c r="AS57" i="1"/>
  <c r="AS52" i="1"/>
  <c r="AR24" i="1"/>
  <c r="AS34" i="1"/>
  <c r="AS33" i="1"/>
  <c r="AS32" i="1"/>
  <c r="AR23" i="1"/>
  <c r="AS51" i="1"/>
  <c r="AR50" i="1"/>
  <c r="AR26" i="1"/>
  <c r="AQ27" i="1"/>
  <c r="AS59" i="1"/>
  <c r="AR38" i="1"/>
  <c r="AS40" i="1"/>
  <c r="AR39" i="1"/>
  <c r="AS47" i="1"/>
  <c r="AS45" i="1"/>
  <c r="AR25" i="1"/>
  <c r="AS35" i="1"/>
  <c r="AR36" i="1"/>
  <c r="AS58" i="1"/>
  <c r="AR17" i="1"/>
  <c r="AQ18" i="1"/>
  <c r="AP19" i="1"/>
  <c r="AR16" i="1"/>
  <c r="AS41" i="1"/>
  <c r="AR22" i="1"/>
  <c r="AQ23" i="1"/>
  <c r="AP28" i="1"/>
  <c r="AR56" i="1"/>
  <c r="AR51" i="1"/>
  <c r="AR60" i="1"/>
  <c r="AQ61" i="1"/>
  <c r="AR42" i="1"/>
  <c r="AR54" i="1"/>
  <c r="AR37" i="1"/>
  <c r="AR43" i="1"/>
  <c r="AR48" i="1"/>
  <c r="AQ49" i="1"/>
  <c r="AP62" i="1"/>
  <c r="AQ26" i="1"/>
  <c r="AP27" i="1"/>
  <c r="AR40" i="1"/>
  <c r="AP63" i="1"/>
  <c r="AO64" i="1"/>
  <c r="AQ55" i="1"/>
  <c r="AQ37" i="1"/>
  <c r="AQ24" i="1"/>
  <c r="AQ38" i="1"/>
  <c r="AR52" i="1"/>
  <c r="AQ51" i="1"/>
  <c r="AR35" i="1"/>
  <c r="AQ36" i="1"/>
  <c r="AR53" i="1"/>
  <c r="AR59" i="1"/>
  <c r="AQ60" i="1"/>
  <c r="AP61" i="1"/>
  <c r="AQ21" i="1"/>
  <c r="AQ25" i="1"/>
  <c r="AR58" i="1"/>
  <c r="AQ59" i="1"/>
  <c r="AP60" i="1"/>
  <c r="AQ39" i="1"/>
  <c r="AR33" i="1"/>
  <c r="AR31" i="1"/>
  <c r="AR32" i="1"/>
  <c r="AR46" i="1"/>
  <c r="AR45" i="1"/>
  <c r="AQ22" i="1"/>
  <c r="AP23" i="1"/>
  <c r="AQ16" i="1"/>
  <c r="AQ17" i="1"/>
  <c r="AP18" i="1"/>
  <c r="AQ50" i="1"/>
  <c r="AR57" i="1"/>
  <c r="AR41" i="1"/>
  <c r="AQ42" i="1"/>
  <c r="AR47" i="1"/>
  <c r="AR34" i="1"/>
  <c r="AR44" i="1"/>
  <c r="AO61" i="1"/>
  <c r="AQ56" i="1"/>
  <c r="AO62" i="1"/>
  <c r="AQ48" i="1"/>
  <c r="AP49" i="1"/>
  <c r="AO63" i="1"/>
  <c r="AN64" i="1"/>
  <c r="AN63" i="1"/>
  <c r="AM64" i="1"/>
  <c r="AQ43" i="1"/>
  <c r="AP37" i="1"/>
  <c r="AP26" i="1"/>
  <c r="AO27" i="1"/>
  <c r="AQ52" i="1"/>
  <c r="AP51" i="1"/>
  <c r="AQ41" i="1"/>
  <c r="AQ53" i="1"/>
  <c r="AP25" i="1"/>
  <c r="AO26" i="1"/>
  <c r="AQ54" i="1"/>
  <c r="AP38" i="1"/>
  <c r="AQ35" i="1"/>
  <c r="AP36" i="1"/>
  <c r="AQ34" i="1"/>
  <c r="AQ57" i="1"/>
  <c r="AP22" i="1"/>
  <c r="AP21" i="1"/>
  <c r="AP20" i="1"/>
  <c r="AQ45" i="1"/>
  <c r="AQ44" i="1"/>
  <c r="AP43" i="1"/>
  <c r="AP17" i="1"/>
  <c r="AO18" i="1"/>
  <c r="AP16" i="1"/>
  <c r="AQ46" i="1"/>
  <c r="AQ33" i="1"/>
  <c r="AP24" i="1"/>
  <c r="AO25" i="1"/>
  <c r="AN26" i="1"/>
  <c r="AQ40" i="1"/>
  <c r="AP41" i="1"/>
  <c r="AO37" i="1"/>
  <c r="AQ58" i="1"/>
  <c r="AP59" i="1"/>
  <c r="AO60" i="1"/>
  <c r="AN61" i="1"/>
  <c r="AP42" i="1"/>
  <c r="AQ47" i="1"/>
  <c r="AQ32" i="1"/>
  <c r="AQ31" i="1"/>
  <c r="AQ30" i="1"/>
  <c r="AP50" i="1"/>
  <c r="AP52" i="1"/>
  <c r="AP54" i="1"/>
  <c r="AP53" i="1"/>
  <c r="AO53" i="1"/>
  <c r="AP35" i="1"/>
  <c r="AO36" i="1"/>
  <c r="AP48" i="1"/>
  <c r="AN62" i="1"/>
  <c r="AM63" i="1"/>
  <c r="AL64" i="1"/>
  <c r="AP34" i="1"/>
  <c r="AO35" i="1"/>
  <c r="AN36" i="1"/>
  <c r="AP55" i="1"/>
  <c r="AP58" i="1"/>
  <c r="AO59" i="1"/>
  <c r="AN60" i="1"/>
  <c r="AM61" i="1"/>
  <c r="AP39" i="1"/>
  <c r="AO38" i="1"/>
  <c r="AN37" i="1"/>
  <c r="AP33" i="1"/>
  <c r="AP32" i="1"/>
  <c r="AO49" i="1"/>
  <c r="AO22" i="1"/>
  <c r="AP31" i="1"/>
  <c r="AP30" i="1"/>
  <c r="AO31" i="1"/>
  <c r="AP29" i="1"/>
  <c r="AO42" i="1"/>
  <c r="AP40" i="1"/>
  <c r="AO21" i="1"/>
  <c r="AO20" i="1"/>
  <c r="AO24" i="1"/>
  <c r="AN25" i="1"/>
  <c r="AP56" i="1"/>
  <c r="AP46" i="1"/>
  <c r="AO51" i="1"/>
  <c r="AO52" i="1"/>
  <c r="AO19" i="1"/>
  <c r="AP57" i="1"/>
  <c r="AO17" i="1"/>
  <c r="AO16" i="1"/>
  <c r="AP47" i="1"/>
  <c r="AO48" i="1"/>
  <c r="AP45" i="1"/>
  <c r="AO23" i="1"/>
  <c r="AO50" i="1"/>
  <c r="AP44" i="1"/>
  <c r="AO54" i="1"/>
  <c r="AM62" i="1"/>
  <c r="AL63" i="1"/>
  <c r="AK64" i="1"/>
  <c r="AO55" i="1"/>
  <c r="AN53" i="1"/>
  <c r="AO34" i="1"/>
  <c r="AN35" i="1"/>
  <c r="AO33" i="1"/>
  <c r="AN34" i="1"/>
  <c r="AO40" i="1"/>
  <c r="AO58" i="1"/>
  <c r="AN59" i="1"/>
  <c r="AM60" i="1"/>
  <c r="AL61" i="1"/>
  <c r="AN51" i="1"/>
  <c r="AN20" i="1"/>
  <c r="AN21" i="1"/>
  <c r="AO32" i="1"/>
  <c r="AN33" i="1"/>
  <c r="AM34" i="1"/>
  <c r="AO47" i="1"/>
  <c r="AN48" i="1"/>
  <c r="AN24" i="1"/>
  <c r="AM25" i="1"/>
  <c r="AN18" i="1"/>
  <c r="AN54" i="1"/>
  <c r="AN17" i="1"/>
  <c r="AN16" i="1"/>
  <c r="AO45" i="1"/>
  <c r="AO46" i="1"/>
  <c r="AM36" i="1"/>
  <c r="AN50" i="1"/>
  <c r="AN23" i="1"/>
  <c r="AM35" i="1"/>
  <c r="AO56" i="1"/>
  <c r="AN22" i="1"/>
  <c r="AO43" i="1"/>
  <c r="AO41" i="1"/>
  <c r="AO39" i="1"/>
  <c r="AN49" i="1"/>
  <c r="AO44" i="1"/>
  <c r="AN52" i="1"/>
  <c r="AO57" i="1"/>
  <c r="AN58" i="1"/>
  <c r="AM59" i="1"/>
  <c r="AL60" i="1"/>
  <c r="AN19" i="1"/>
  <c r="AO30" i="1"/>
  <c r="AO28" i="1"/>
  <c r="AO29" i="1"/>
  <c r="AL62" i="1"/>
  <c r="AK63" i="1"/>
  <c r="AJ64" i="1"/>
  <c r="AN30" i="1"/>
  <c r="AM53" i="1"/>
  <c r="AK62" i="1"/>
  <c r="AJ63" i="1"/>
  <c r="AI64" i="1"/>
  <c r="AM50" i="1"/>
  <c r="AN31" i="1"/>
  <c r="AN32" i="1"/>
  <c r="AM33" i="1"/>
  <c r="AL34" i="1"/>
  <c r="AN47" i="1"/>
  <c r="AN46" i="1"/>
  <c r="AM20" i="1"/>
  <c r="AM18" i="1"/>
  <c r="AM24" i="1"/>
  <c r="AN44" i="1"/>
  <c r="AM19" i="1"/>
  <c r="AN56" i="1"/>
  <c r="AL35" i="1"/>
  <c r="AN29" i="1"/>
  <c r="AN28" i="1"/>
  <c r="AN27" i="1"/>
  <c r="AN40" i="1"/>
  <c r="AN39" i="1"/>
  <c r="AN38" i="1"/>
  <c r="AM22" i="1"/>
  <c r="AN45" i="1"/>
  <c r="AM46" i="1"/>
  <c r="AN42" i="1"/>
  <c r="AM23" i="1"/>
  <c r="AM51" i="1"/>
  <c r="AN57" i="1"/>
  <c r="AM58" i="1"/>
  <c r="AL59" i="1"/>
  <c r="AK60" i="1"/>
  <c r="AN55" i="1"/>
  <c r="AM49" i="1"/>
  <c r="AL50" i="1"/>
  <c r="AM52" i="1"/>
  <c r="AM21" i="1"/>
  <c r="AM48" i="1"/>
  <c r="AM16" i="1"/>
  <c r="AM17" i="1"/>
  <c r="AN43" i="1"/>
  <c r="AM54" i="1"/>
  <c r="AN41" i="1"/>
  <c r="AM32" i="1"/>
  <c r="AL33" i="1"/>
  <c r="AK61" i="1"/>
  <c r="AJ62" i="1"/>
  <c r="AI63" i="1"/>
  <c r="AH64" i="1"/>
  <c r="AL24" i="1"/>
  <c r="AM31" i="1"/>
  <c r="AL32" i="1"/>
  <c r="AM30" i="1"/>
  <c r="AM47" i="1"/>
  <c r="AL19" i="1"/>
  <c r="AM29" i="1"/>
  <c r="AK34" i="1"/>
  <c r="AL22" i="1"/>
  <c r="AL18" i="1"/>
  <c r="AL53" i="1"/>
  <c r="AL47" i="1"/>
  <c r="AM42" i="1"/>
  <c r="AM39" i="1"/>
  <c r="AM38" i="1"/>
  <c r="AM37" i="1"/>
  <c r="AL17" i="1"/>
  <c r="AL16" i="1"/>
  <c r="AL51" i="1"/>
  <c r="AM45" i="1"/>
  <c r="AL46" i="1"/>
  <c r="AL52" i="1"/>
  <c r="AM40" i="1"/>
  <c r="AL49" i="1"/>
  <c r="AM56" i="1"/>
  <c r="AL21" i="1"/>
  <c r="AL23" i="1"/>
  <c r="AM41" i="1"/>
  <c r="AM44" i="1"/>
  <c r="AL48" i="1"/>
  <c r="AL20" i="1"/>
  <c r="AM55" i="1"/>
  <c r="AM43" i="1"/>
  <c r="AM28" i="1"/>
  <c r="AM27" i="1"/>
  <c r="AM26" i="1"/>
  <c r="AM57" i="1"/>
  <c r="AL58" i="1"/>
  <c r="AK59" i="1"/>
  <c r="AJ60" i="1"/>
  <c r="AJ61" i="1"/>
  <c r="AI62" i="1"/>
  <c r="AH63" i="1"/>
  <c r="AG64" i="1"/>
  <c r="AK33" i="1"/>
  <c r="AK23" i="1"/>
  <c r="AL30" i="1"/>
  <c r="AL31" i="1"/>
  <c r="AK31" i="1"/>
  <c r="AK32" i="1"/>
  <c r="AL55" i="1"/>
  <c r="AL42" i="1"/>
  <c r="AL29" i="1"/>
  <c r="AK49" i="1"/>
  <c r="AL28" i="1"/>
  <c r="AK52" i="1"/>
  <c r="AL44" i="1"/>
  <c r="AL45" i="1"/>
  <c r="AK46" i="1"/>
  <c r="AK18" i="1"/>
  <c r="AK22" i="1"/>
  <c r="AK48" i="1"/>
  <c r="AL27" i="1"/>
  <c r="AL25" i="1"/>
  <c r="AL26" i="1"/>
  <c r="AL56" i="1"/>
  <c r="AL54" i="1"/>
  <c r="AK53" i="1"/>
  <c r="AL57" i="1"/>
  <c r="AK58" i="1"/>
  <c r="AJ59" i="1"/>
  <c r="AI60" i="1"/>
  <c r="AK47" i="1"/>
  <c r="AK17" i="1"/>
  <c r="AK16" i="1"/>
  <c r="AL38" i="1"/>
  <c r="AL37" i="1"/>
  <c r="AL36" i="1"/>
  <c r="AK21" i="1"/>
  <c r="AK20" i="1"/>
  <c r="AK24" i="1"/>
  <c r="AL39" i="1"/>
  <c r="AK19" i="1"/>
  <c r="AK50" i="1"/>
  <c r="AL41" i="1"/>
  <c r="AK51" i="1"/>
  <c r="AL43" i="1"/>
  <c r="AL40" i="1"/>
  <c r="AI61" i="1"/>
  <c r="AH62" i="1"/>
  <c r="AG63" i="1"/>
  <c r="AF64" i="1"/>
  <c r="AJ33" i="1"/>
  <c r="AJ32" i="1"/>
  <c r="AK57" i="1"/>
  <c r="AJ58" i="1"/>
  <c r="AI59" i="1"/>
  <c r="AH60" i="1"/>
  <c r="AK45" i="1"/>
  <c r="AK30" i="1"/>
  <c r="AJ31" i="1"/>
  <c r="AK44" i="1"/>
  <c r="AJ45" i="1"/>
  <c r="AJ21" i="1"/>
  <c r="AK38" i="1"/>
  <c r="AJ49" i="1"/>
  <c r="AK29" i="1"/>
  <c r="AJ30" i="1"/>
  <c r="AI31" i="1"/>
  <c r="AK28" i="1"/>
  <c r="AJ48" i="1"/>
  <c r="AK42" i="1"/>
  <c r="AJ22" i="1"/>
  <c r="AK39" i="1"/>
  <c r="AJ20" i="1"/>
  <c r="AK27" i="1"/>
  <c r="AJ46" i="1"/>
  <c r="AK41" i="1"/>
  <c r="AJ51" i="1"/>
  <c r="AK40" i="1"/>
  <c r="AJ17" i="1"/>
  <c r="AJ16" i="1"/>
  <c r="AK43" i="1"/>
  <c r="AK26" i="1"/>
  <c r="AK25" i="1"/>
  <c r="AJ23" i="1"/>
  <c r="AJ52" i="1"/>
  <c r="AJ50" i="1"/>
  <c r="AJ19" i="1"/>
  <c r="AI20" i="1"/>
  <c r="AK37" i="1"/>
  <c r="AK36" i="1"/>
  <c r="AK35" i="1"/>
  <c r="AJ18" i="1"/>
  <c r="AK55" i="1"/>
  <c r="AK54" i="1"/>
  <c r="AJ53" i="1"/>
  <c r="AJ47" i="1"/>
  <c r="AK56" i="1"/>
  <c r="AJ57" i="1"/>
  <c r="AI58" i="1"/>
  <c r="AH59" i="1"/>
  <c r="AI46" i="1"/>
  <c r="AH61" i="1"/>
  <c r="AG62" i="1"/>
  <c r="AF63" i="1"/>
  <c r="AE64" i="1"/>
  <c r="AJ38" i="1"/>
  <c r="AJ44" i="1"/>
  <c r="AI45" i="1"/>
  <c r="AJ25" i="1"/>
  <c r="AJ41" i="1"/>
  <c r="AJ28" i="1"/>
  <c r="AJ43" i="1"/>
  <c r="AI44" i="1"/>
  <c r="AI32" i="1"/>
  <c r="AI49" i="1"/>
  <c r="AI21" i="1"/>
  <c r="AI48" i="1"/>
  <c r="AJ40" i="1"/>
  <c r="AJ29" i="1"/>
  <c r="AI30" i="1"/>
  <c r="AI19" i="1"/>
  <c r="AH20" i="1"/>
  <c r="AJ26" i="1"/>
  <c r="AJ56" i="1"/>
  <c r="AI57" i="1"/>
  <c r="AH58" i="1"/>
  <c r="AG59" i="1"/>
  <c r="AI16" i="1"/>
  <c r="AI17" i="1"/>
  <c r="AI52" i="1"/>
  <c r="AJ39" i="1"/>
  <c r="AI18" i="1"/>
  <c r="AJ42" i="1"/>
  <c r="AI43" i="1"/>
  <c r="AI50" i="1"/>
  <c r="AJ24" i="1"/>
  <c r="AI24" i="1"/>
  <c r="AJ36" i="1"/>
  <c r="AJ35" i="1"/>
  <c r="AJ34" i="1"/>
  <c r="AJ27" i="1"/>
  <c r="AI47" i="1"/>
  <c r="AJ55" i="1"/>
  <c r="AI56" i="1"/>
  <c r="AH57" i="1"/>
  <c r="AG58" i="1"/>
  <c r="AJ37" i="1"/>
  <c r="AI51" i="1"/>
  <c r="AI22" i="1"/>
  <c r="AH21" i="1"/>
  <c r="AJ54" i="1"/>
  <c r="AI40" i="1"/>
  <c r="AG61" i="1"/>
  <c r="AF62" i="1"/>
  <c r="AE63" i="1"/>
  <c r="AD64" i="1"/>
  <c r="AH49" i="1"/>
  <c r="AG60" i="1"/>
  <c r="AF61" i="1"/>
  <c r="AE62" i="1"/>
  <c r="AD63" i="1"/>
  <c r="AC64" i="1"/>
  <c r="AI42" i="1"/>
  <c r="AH43" i="1"/>
  <c r="AH19" i="1"/>
  <c r="AH31" i="1"/>
  <c r="AH48" i="1"/>
  <c r="AH46" i="1"/>
  <c r="AI28" i="1"/>
  <c r="AH45" i="1"/>
  <c r="AH44" i="1"/>
  <c r="AI29" i="1"/>
  <c r="AH30" i="1"/>
  <c r="AI55" i="1"/>
  <c r="AH56" i="1"/>
  <c r="AG57" i="1"/>
  <c r="AF58" i="1"/>
  <c r="AI25" i="1"/>
  <c r="AI38" i="1"/>
  <c r="AI53" i="1"/>
  <c r="AH52" i="1"/>
  <c r="AH50" i="1"/>
  <c r="AG49" i="1"/>
  <c r="AI39" i="1"/>
  <c r="AI36" i="1"/>
  <c r="AI26" i="1"/>
  <c r="AG20" i="1"/>
  <c r="AI27" i="1"/>
  <c r="AH17" i="1"/>
  <c r="AH16" i="1"/>
  <c r="AI54" i="1"/>
  <c r="AH55" i="1"/>
  <c r="AG56" i="1"/>
  <c r="AF57" i="1"/>
  <c r="AI37" i="1"/>
  <c r="AH18" i="1"/>
  <c r="AI35" i="1"/>
  <c r="AI33" i="1"/>
  <c r="AI34" i="1"/>
  <c r="AH51" i="1"/>
  <c r="AI41" i="1"/>
  <c r="AH42" i="1"/>
  <c r="AH47" i="1"/>
  <c r="AG48" i="1"/>
  <c r="AI23" i="1"/>
  <c r="AH23" i="1"/>
  <c r="AF60" i="1"/>
  <c r="AE61" i="1"/>
  <c r="AD62" i="1"/>
  <c r="AC63" i="1"/>
  <c r="AB64" i="1"/>
  <c r="AF59" i="1"/>
  <c r="AE58" i="1"/>
  <c r="AH25" i="1"/>
  <c r="AG19" i="1"/>
  <c r="AH28" i="1"/>
  <c r="AH41" i="1"/>
  <c r="AG42" i="1"/>
  <c r="AH36" i="1"/>
  <c r="AG45" i="1"/>
  <c r="AG43" i="1"/>
  <c r="AG44" i="1"/>
  <c r="AF44" i="1"/>
  <c r="AH38" i="1"/>
  <c r="AH29" i="1"/>
  <c r="AG30" i="1"/>
  <c r="AG51" i="1"/>
  <c r="AH39" i="1"/>
  <c r="AG47" i="1"/>
  <c r="AF48" i="1"/>
  <c r="AH34" i="1"/>
  <c r="AH32" i="1"/>
  <c r="AH33" i="1"/>
  <c r="AH26" i="1"/>
  <c r="AH54" i="1"/>
  <c r="AG55" i="1"/>
  <c r="AF56" i="1"/>
  <c r="AE57" i="1"/>
  <c r="AH24" i="1"/>
  <c r="AH22" i="1"/>
  <c r="AG16" i="1"/>
  <c r="AG17" i="1"/>
  <c r="AG50" i="1"/>
  <c r="AF49" i="1"/>
  <c r="AG46" i="1"/>
  <c r="AH40" i="1"/>
  <c r="AG18" i="1"/>
  <c r="AF19" i="1"/>
  <c r="AH53" i="1"/>
  <c r="AG52" i="1"/>
  <c r="AH37" i="1"/>
  <c r="AG38" i="1"/>
  <c r="AH35" i="1"/>
  <c r="AH27" i="1"/>
  <c r="AE60" i="1"/>
  <c r="AD61" i="1"/>
  <c r="AC62" i="1"/>
  <c r="AB63" i="1"/>
  <c r="AA64" i="1"/>
  <c r="AE59" i="1"/>
  <c r="AD60" i="1"/>
  <c r="AC61" i="1"/>
  <c r="AB62" i="1"/>
  <c r="AA63" i="1"/>
  <c r="Z64" i="1"/>
  <c r="AG29" i="1"/>
  <c r="AG28" i="1"/>
  <c r="AF29" i="1"/>
  <c r="AG54" i="1"/>
  <c r="AF55" i="1"/>
  <c r="AE56" i="1"/>
  <c r="AD57" i="1"/>
  <c r="AF43" i="1"/>
  <c r="AG37" i="1"/>
  <c r="AG27" i="1"/>
  <c r="AF28" i="1"/>
  <c r="AG36" i="1"/>
  <c r="AF37" i="1"/>
  <c r="AG35" i="1"/>
  <c r="AG41" i="1"/>
  <c r="AF42" i="1"/>
  <c r="AG40" i="1"/>
  <c r="AF41" i="1"/>
  <c r="AF51" i="1"/>
  <c r="AG23" i="1"/>
  <c r="AG22" i="1"/>
  <c r="AG21" i="1"/>
  <c r="AF50" i="1"/>
  <c r="AF18" i="1"/>
  <c r="AG25" i="1"/>
  <c r="AG34" i="1"/>
  <c r="AG39" i="1"/>
  <c r="AG26" i="1"/>
  <c r="AF47" i="1"/>
  <c r="AE48" i="1"/>
  <c r="AF45" i="1"/>
  <c r="AF46" i="1"/>
  <c r="AF17" i="1"/>
  <c r="AE18" i="1"/>
  <c r="AF16" i="1"/>
  <c r="AG53" i="1"/>
  <c r="AF54" i="1"/>
  <c r="AE55" i="1"/>
  <c r="AD56" i="1"/>
  <c r="AG33" i="1"/>
  <c r="AG31" i="1"/>
  <c r="AG32" i="1"/>
  <c r="AG24" i="1"/>
  <c r="AD58" i="1"/>
  <c r="AC57" i="1"/>
  <c r="AF35" i="1"/>
  <c r="AE42" i="1"/>
  <c r="AD59" i="1"/>
  <c r="AC60" i="1"/>
  <c r="AB61" i="1"/>
  <c r="AA62" i="1"/>
  <c r="Z63" i="1"/>
  <c r="Y64" i="1"/>
  <c r="AE43" i="1"/>
  <c r="AF36" i="1"/>
  <c r="AE36" i="1"/>
  <c r="AF27" i="1"/>
  <c r="AE28" i="1"/>
  <c r="AE47" i="1"/>
  <c r="AF40" i="1"/>
  <c r="AE41" i="1"/>
  <c r="AD42" i="1"/>
  <c r="AF39" i="1"/>
  <c r="AF52" i="1"/>
  <c r="AE51" i="1"/>
  <c r="AF33" i="1"/>
  <c r="AE17" i="1"/>
  <c r="AE16" i="1"/>
  <c r="AF53" i="1"/>
  <c r="AE54" i="1"/>
  <c r="AD55" i="1"/>
  <c r="AC56" i="1"/>
  <c r="AF24" i="1"/>
  <c r="AE53" i="1"/>
  <c r="AD54" i="1"/>
  <c r="AC55" i="1"/>
  <c r="AB56" i="1"/>
  <c r="AF34" i="1"/>
  <c r="AF26" i="1"/>
  <c r="AE27" i="1"/>
  <c r="AF22" i="1"/>
  <c r="AF21" i="1"/>
  <c r="AF20" i="1"/>
  <c r="AE19" i="1"/>
  <c r="AF38" i="1"/>
  <c r="AE49" i="1"/>
  <c r="AF32" i="1"/>
  <c r="AF31" i="1"/>
  <c r="AF30" i="1"/>
  <c r="AF25" i="1"/>
  <c r="AE46" i="1"/>
  <c r="AE45" i="1"/>
  <c r="AE44" i="1"/>
  <c r="AD43" i="1"/>
  <c r="AF23" i="1"/>
  <c r="AE50" i="1"/>
  <c r="AC59" i="1"/>
  <c r="AB60" i="1"/>
  <c r="AA61" i="1"/>
  <c r="Z62" i="1"/>
  <c r="Y63" i="1"/>
  <c r="X64" i="1"/>
  <c r="AC58" i="1"/>
  <c r="AB58" i="1"/>
  <c r="AE37" i="1"/>
  <c r="AE35" i="1"/>
  <c r="AD36" i="1"/>
  <c r="AD47" i="1"/>
  <c r="AE26" i="1"/>
  <c r="AD27" i="1"/>
  <c r="AE40" i="1"/>
  <c r="AD41" i="1"/>
  <c r="AC42" i="1"/>
  <c r="AE25" i="1"/>
  <c r="AE32" i="1"/>
  <c r="AE24" i="1"/>
  <c r="AE23" i="1"/>
  <c r="AD17" i="1"/>
  <c r="AD16" i="1"/>
  <c r="AD45" i="1"/>
  <c r="AE33" i="1"/>
  <c r="AE21" i="1"/>
  <c r="AE20" i="1"/>
  <c r="AE34" i="1"/>
  <c r="AD35" i="1"/>
  <c r="AE31" i="1"/>
  <c r="AE29" i="1"/>
  <c r="AE30" i="1"/>
  <c r="AE39" i="1"/>
  <c r="AD40" i="1"/>
  <c r="AC41" i="1"/>
  <c r="AE38" i="1"/>
  <c r="AD37" i="1"/>
  <c r="AD28" i="1"/>
  <c r="AD18" i="1"/>
  <c r="AD44" i="1"/>
  <c r="AD46" i="1"/>
  <c r="AD50" i="1"/>
  <c r="AE22" i="1"/>
  <c r="AD48" i="1"/>
  <c r="AD19" i="1"/>
  <c r="AD49" i="1"/>
  <c r="AE52" i="1"/>
  <c r="AD53" i="1"/>
  <c r="AC54" i="1"/>
  <c r="AB55" i="1"/>
  <c r="AB57" i="1"/>
  <c r="AA56" i="1"/>
  <c r="AB59" i="1"/>
  <c r="AA60" i="1"/>
  <c r="Z61" i="1"/>
  <c r="Y62" i="1"/>
  <c r="X63" i="1"/>
  <c r="W64" i="1"/>
  <c r="AD26" i="1"/>
  <c r="AD20" i="1"/>
  <c r="AC19" i="1"/>
  <c r="AD23" i="1"/>
  <c r="AD24" i="1"/>
  <c r="AD31" i="1"/>
  <c r="AD25" i="1"/>
  <c r="AC26" i="1"/>
  <c r="AC45" i="1"/>
  <c r="AD34" i="1"/>
  <c r="AC35" i="1"/>
  <c r="AC48" i="1"/>
  <c r="AC47" i="1"/>
  <c r="AC44" i="1"/>
  <c r="AC27" i="1"/>
  <c r="AD30" i="1"/>
  <c r="AD29" i="1"/>
  <c r="AC43" i="1"/>
  <c r="AB42" i="1"/>
  <c r="AC46" i="1"/>
  <c r="AC18" i="1"/>
  <c r="AC36" i="1"/>
  <c r="AC17" i="1"/>
  <c r="AC16" i="1"/>
  <c r="AC49" i="1"/>
  <c r="AD33" i="1"/>
  <c r="AD39" i="1"/>
  <c r="AC40" i="1"/>
  <c r="AB41" i="1"/>
  <c r="AD32" i="1"/>
  <c r="AD21" i="1"/>
  <c r="AC20" i="1"/>
  <c r="AD51" i="1"/>
  <c r="AD38" i="1"/>
  <c r="AC37" i="1"/>
  <c r="AD22" i="1"/>
  <c r="AD52" i="1"/>
  <c r="AC53" i="1"/>
  <c r="AB54" i="1"/>
  <c r="AA55" i="1"/>
  <c r="AA58" i="1"/>
  <c r="AA59" i="1"/>
  <c r="Z59" i="1"/>
  <c r="AA57" i="1"/>
  <c r="Z58" i="1"/>
  <c r="Z60" i="1"/>
  <c r="Y59" i="1"/>
  <c r="Y61" i="1"/>
  <c r="X62" i="1"/>
  <c r="W63" i="1"/>
  <c r="V64" i="1"/>
  <c r="AC23" i="1"/>
  <c r="AC32" i="1"/>
  <c r="AB18" i="1"/>
  <c r="AC24" i="1"/>
  <c r="AC34" i="1"/>
  <c r="AB35" i="1"/>
  <c r="AC29" i="1"/>
  <c r="AC25" i="1"/>
  <c r="AB26" i="1"/>
  <c r="AC52" i="1"/>
  <c r="AB53" i="1"/>
  <c r="AA54" i="1"/>
  <c r="Z55" i="1"/>
  <c r="AB45" i="1"/>
  <c r="AC51" i="1"/>
  <c r="AB48" i="1"/>
  <c r="AC33" i="1"/>
  <c r="AB17" i="1"/>
  <c r="AB16" i="1"/>
  <c r="AB19" i="1"/>
  <c r="AC31" i="1"/>
  <c r="AC22" i="1"/>
  <c r="AB46" i="1"/>
  <c r="AB47" i="1"/>
  <c r="AC50" i="1"/>
  <c r="AB49" i="1"/>
  <c r="AC30" i="1"/>
  <c r="AC28" i="1"/>
  <c r="AC39" i="1"/>
  <c r="AB40" i="1"/>
  <c r="AA41" i="1"/>
  <c r="AC21" i="1"/>
  <c r="AB44" i="1"/>
  <c r="AB43" i="1"/>
  <c r="AA42" i="1"/>
  <c r="AB36" i="1"/>
  <c r="AC38" i="1"/>
  <c r="Y60" i="1"/>
  <c r="X61" i="1"/>
  <c r="W62" i="1"/>
  <c r="V63" i="1"/>
  <c r="U64" i="1"/>
  <c r="AB23" i="1"/>
  <c r="Z56" i="1"/>
  <c r="Z57" i="1"/>
  <c r="Y57" i="1"/>
  <c r="Y58" i="1"/>
  <c r="X58" i="1"/>
  <c r="X59" i="1"/>
  <c r="AB24" i="1"/>
  <c r="AA18" i="1"/>
  <c r="AB34" i="1"/>
  <c r="AA45" i="1"/>
  <c r="AB25" i="1"/>
  <c r="AA25" i="1"/>
  <c r="AB39" i="1"/>
  <c r="AA40" i="1"/>
  <c r="Z41" i="1"/>
  <c r="AB30" i="1"/>
  <c r="AB52" i="1"/>
  <c r="AA53" i="1"/>
  <c r="Z54" i="1"/>
  <c r="AB22" i="1"/>
  <c r="AA23" i="1"/>
  <c r="AB29" i="1"/>
  <c r="AB27" i="1"/>
  <c r="AA26" i="1"/>
  <c r="AB32" i="1"/>
  <c r="AB50" i="1"/>
  <c r="AA43" i="1"/>
  <c r="Z42" i="1"/>
  <c r="AB51" i="1"/>
  <c r="AA47" i="1"/>
  <c r="AB33" i="1"/>
  <c r="AB38" i="1"/>
  <c r="AB28" i="1"/>
  <c r="AA46" i="1"/>
  <c r="AA48" i="1"/>
  <c r="AA17" i="1"/>
  <c r="AA16" i="1"/>
  <c r="AB20" i="1"/>
  <c r="AA44" i="1"/>
  <c r="AA35" i="1"/>
  <c r="AB31" i="1"/>
  <c r="AB37" i="1"/>
  <c r="AB21" i="1"/>
  <c r="Y55" i="1"/>
  <c r="Y56" i="1"/>
  <c r="X56" i="1"/>
  <c r="X57" i="1"/>
  <c r="W57" i="1"/>
  <c r="AA52" i="1"/>
  <c r="Z53" i="1"/>
  <c r="Y54" i="1"/>
  <c r="X55" i="1"/>
  <c r="W56" i="1"/>
  <c r="W58" i="1"/>
  <c r="V57" i="1"/>
  <c r="X60" i="1"/>
  <c r="W61" i="1"/>
  <c r="V62" i="1"/>
  <c r="U63" i="1"/>
  <c r="T64" i="1"/>
  <c r="AA34" i="1"/>
  <c r="AA51" i="1"/>
  <c r="Z52" i="1"/>
  <c r="Y53" i="1"/>
  <c r="X54" i="1"/>
  <c r="W55" i="1"/>
  <c r="V56" i="1"/>
  <c r="Z43" i="1"/>
  <c r="Y42" i="1"/>
  <c r="AA29" i="1"/>
  <c r="AA32" i="1"/>
  <c r="AA22" i="1"/>
  <c r="Z45" i="1"/>
  <c r="AA38" i="1"/>
  <c r="AA39" i="1"/>
  <c r="Z40" i="1"/>
  <c r="Y41" i="1"/>
  <c r="AA24" i="1"/>
  <c r="Z25" i="1"/>
  <c r="Z47" i="1"/>
  <c r="AA50" i="1"/>
  <c r="Z46" i="1"/>
  <c r="AA49" i="1"/>
  <c r="Z48" i="1"/>
  <c r="AA30" i="1"/>
  <c r="AA33" i="1"/>
  <c r="Z34" i="1"/>
  <c r="AA28" i="1"/>
  <c r="AA36" i="1"/>
  <c r="Z35" i="1"/>
  <c r="AA21" i="1"/>
  <c r="AA19" i="1"/>
  <c r="Z18" i="1"/>
  <c r="AA27" i="1"/>
  <c r="Z26" i="1"/>
  <c r="Z17" i="1"/>
  <c r="Z16" i="1"/>
  <c r="AA20" i="1"/>
  <c r="AA31" i="1"/>
  <c r="AA37" i="1"/>
  <c r="Z44" i="1"/>
  <c r="W60" i="1"/>
  <c r="V61" i="1"/>
  <c r="U62" i="1"/>
  <c r="T63" i="1"/>
  <c r="S64" i="1"/>
  <c r="W59" i="1"/>
  <c r="V58" i="1"/>
  <c r="V60" i="1"/>
  <c r="U61" i="1"/>
  <c r="T62" i="1"/>
  <c r="S63" i="1"/>
  <c r="R64" i="1"/>
  <c r="Y43" i="1"/>
  <c r="Z22" i="1"/>
  <c r="Z51" i="1"/>
  <c r="Y52" i="1"/>
  <c r="X53" i="1"/>
  <c r="W54" i="1"/>
  <c r="V55" i="1"/>
  <c r="U56" i="1"/>
  <c r="X42" i="1"/>
  <c r="Z29" i="1"/>
  <c r="Z38" i="1"/>
  <c r="Z33" i="1"/>
  <c r="Y34" i="1"/>
  <c r="Y46" i="1"/>
  <c r="Z32" i="1"/>
  <c r="Z24" i="1"/>
  <c r="Y25" i="1"/>
  <c r="Z27" i="1"/>
  <c r="Z23" i="1"/>
  <c r="Y45" i="1"/>
  <c r="Z28" i="1"/>
  <c r="Z39" i="1"/>
  <c r="Y40" i="1"/>
  <c r="X41" i="1"/>
  <c r="Y47" i="1"/>
  <c r="Z36" i="1"/>
  <c r="Z49" i="1"/>
  <c r="Y48" i="1"/>
  <c r="Z50" i="1"/>
  <c r="Y51" i="1"/>
  <c r="X52" i="1"/>
  <c r="W53" i="1"/>
  <c r="V54" i="1"/>
  <c r="U55" i="1"/>
  <c r="X46" i="1"/>
  <c r="Y44" i="1"/>
  <c r="Z37" i="1"/>
  <c r="Y17" i="1"/>
  <c r="Y16" i="1"/>
  <c r="Z21" i="1"/>
  <c r="Z30" i="1"/>
  <c r="Y29" i="1"/>
  <c r="Z20" i="1"/>
  <c r="Z19" i="1"/>
  <c r="X43" i="1"/>
  <c r="Z31" i="1"/>
  <c r="Y35" i="1"/>
  <c r="X45" i="1"/>
  <c r="U57" i="1"/>
  <c r="T56" i="1"/>
  <c r="V59" i="1"/>
  <c r="U60" i="1"/>
  <c r="T61" i="1"/>
  <c r="S62" i="1"/>
  <c r="R63" i="1"/>
  <c r="Q64" i="1"/>
  <c r="U58" i="1"/>
  <c r="Y32" i="1"/>
  <c r="Y38" i="1"/>
  <c r="Y24" i="1"/>
  <c r="Y22" i="1"/>
  <c r="Y33" i="1"/>
  <c r="X33" i="1"/>
  <c r="Y28" i="1"/>
  <c r="Y26" i="1"/>
  <c r="Y49" i="1"/>
  <c r="X48" i="1"/>
  <c r="Y39" i="1"/>
  <c r="X40" i="1"/>
  <c r="W41" i="1"/>
  <c r="Y30" i="1"/>
  <c r="Y23" i="1"/>
  <c r="X24" i="1"/>
  <c r="Y27" i="1"/>
  <c r="X28" i="1"/>
  <c r="X44" i="1"/>
  <c r="W45" i="1"/>
  <c r="X47" i="1"/>
  <c r="X25" i="1"/>
  <c r="Y20" i="1"/>
  <c r="W42" i="1"/>
  <c r="Y50" i="1"/>
  <c r="X51" i="1"/>
  <c r="W52" i="1"/>
  <c r="V53" i="1"/>
  <c r="U54" i="1"/>
  <c r="T55" i="1"/>
  <c r="Y37" i="1"/>
  <c r="X38" i="1"/>
  <c r="Y21" i="1"/>
  <c r="X22" i="1"/>
  <c r="Y19" i="1"/>
  <c r="Y31" i="1"/>
  <c r="X32" i="1"/>
  <c r="X16" i="1"/>
  <c r="W46" i="1"/>
  <c r="Y36" i="1"/>
  <c r="Y18" i="1"/>
  <c r="W43" i="1"/>
  <c r="U59" i="1"/>
  <c r="T59" i="1"/>
  <c r="T60" i="1"/>
  <c r="S60" i="1"/>
  <c r="S61" i="1"/>
  <c r="R61" i="1"/>
  <c r="R62" i="1"/>
  <c r="Q62" i="1"/>
  <c r="Q63" i="1"/>
  <c r="P63" i="1"/>
  <c r="P64" i="1"/>
  <c r="O64" i="1"/>
  <c r="T57" i="1"/>
  <c r="S56" i="1"/>
  <c r="X29" i="1"/>
  <c r="X30" i="1"/>
  <c r="W29" i="1"/>
  <c r="X34" i="1"/>
  <c r="W33" i="1"/>
  <c r="X23" i="1"/>
  <c r="W23" i="1"/>
  <c r="W47" i="1"/>
  <c r="V46" i="1"/>
  <c r="X39" i="1"/>
  <c r="W40" i="1"/>
  <c r="V41" i="1"/>
  <c r="X36" i="1"/>
  <c r="W44" i="1"/>
  <c r="V45" i="1"/>
  <c r="X19" i="1"/>
  <c r="X27" i="1"/>
  <c r="W28" i="1"/>
  <c r="X50" i="1"/>
  <c r="W51" i="1"/>
  <c r="V52" i="1"/>
  <c r="U53" i="1"/>
  <c r="T54" i="1"/>
  <c r="S55" i="1"/>
  <c r="X26" i="1"/>
  <c r="X31" i="1"/>
  <c r="W32" i="1"/>
  <c r="X21" i="1"/>
  <c r="X20" i="1"/>
  <c r="X49" i="1"/>
  <c r="W48" i="1"/>
  <c r="X18" i="1"/>
  <c r="X17" i="1"/>
  <c r="V42" i="1"/>
  <c r="X37" i="1"/>
  <c r="X35" i="1"/>
  <c r="W38" i="1"/>
  <c r="T58" i="1"/>
  <c r="S59" i="1"/>
  <c r="R60" i="1"/>
  <c r="Q61" i="1"/>
  <c r="P62" i="1"/>
  <c r="O63" i="1"/>
  <c r="N64" i="1"/>
  <c r="W27" i="1"/>
  <c r="S57" i="1"/>
  <c r="W31" i="1"/>
  <c r="V32" i="1"/>
  <c r="V47" i="1"/>
  <c r="W30" i="1"/>
  <c r="W20" i="1"/>
  <c r="W21" i="1"/>
  <c r="W22" i="1"/>
  <c r="V21" i="1"/>
  <c r="W24" i="1"/>
  <c r="W50" i="1"/>
  <c r="V51" i="1"/>
  <c r="U52" i="1"/>
  <c r="T53" i="1"/>
  <c r="S54" i="1"/>
  <c r="R55" i="1"/>
  <c r="W49" i="1"/>
  <c r="W39" i="1"/>
  <c r="V40" i="1"/>
  <c r="U41" i="1"/>
  <c r="V43" i="1"/>
  <c r="U42" i="1"/>
  <c r="V23" i="1"/>
  <c r="V44" i="1"/>
  <c r="U43" i="1"/>
  <c r="W25" i="1"/>
  <c r="W26" i="1"/>
  <c r="V27" i="1"/>
  <c r="U46" i="1"/>
  <c r="W19" i="1"/>
  <c r="V28" i="1"/>
  <c r="W18" i="1"/>
  <c r="W17" i="1"/>
  <c r="W36" i="1"/>
  <c r="W35" i="1"/>
  <c r="W34" i="1"/>
  <c r="W37" i="1"/>
  <c r="W16" i="1"/>
  <c r="V31" i="1"/>
  <c r="S58" i="1"/>
  <c r="R59" i="1"/>
  <c r="Q60" i="1"/>
  <c r="P61" i="1"/>
  <c r="O62" i="1"/>
  <c r="N63" i="1"/>
  <c r="M64" i="1"/>
  <c r="V38" i="1"/>
  <c r="R56" i="1"/>
  <c r="V29" i="1"/>
  <c r="V30" i="1"/>
  <c r="U30" i="1"/>
  <c r="V22" i="1"/>
  <c r="U22" i="1"/>
  <c r="V26" i="1"/>
  <c r="U27" i="1"/>
  <c r="V20" i="1"/>
  <c r="U21" i="1"/>
  <c r="U44" i="1"/>
  <c r="V49" i="1"/>
  <c r="V50" i="1"/>
  <c r="U50" i="1"/>
  <c r="U51" i="1"/>
  <c r="T51" i="1"/>
  <c r="T52" i="1"/>
  <c r="S52" i="1"/>
  <c r="S53" i="1"/>
  <c r="R53" i="1"/>
  <c r="R54" i="1"/>
  <c r="Q54" i="1"/>
  <c r="V48" i="1"/>
  <c r="U45" i="1"/>
  <c r="T45" i="1"/>
  <c r="Q55" i="1"/>
  <c r="U31" i="1"/>
  <c r="V39" i="1"/>
  <c r="U40" i="1"/>
  <c r="T41" i="1"/>
  <c r="V19" i="1"/>
  <c r="U20" i="1"/>
  <c r="V24" i="1"/>
  <c r="U23" i="1"/>
  <c r="V25" i="1"/>
  <c r="V18" i="1"/>
  <c r="U19" i="1"/>
  <c r="V35" i="1"/>
  <c r="V33" i="1"/>
  <c r="V34" i="1"/>
  <c r="V36" i="1"/>
  <c r="V17" i="1"/>
  <c r="V16" i="1"/>
  <c r="U49" i="1"/>
  <c r="T42" i="1"/>
  <c r="T43" i="1"/>
  <c r="V37" i="1"/>
  <c r="U28" i="1"/>
  <c r="R57" i="1"/>
  <c r="Q56" i="1"/>
  <c r="P55" i="1"/>
  <c r="R58" i="1"/>
  <c r="Q59" i="1"/>
  <c r="P60" i="1"/>
  <c r="O61" i="1"/>
  <c r="N62" i="1"/>
  <c r="M63" i="1"/>
  <c r="L64" i="1"/>
  <c r="Q58" i="1"/>
  <c r="P59" i="1"/>
  <c r="O60" i="1"/>
  <c r="N61" i="1"/>
  <c r="M62" i="1"/>
  <c r="L63" i="1"/>
  <c r="K64" i="1"/>
  <c r="T21" i="1"/>
  <c r="U29" i="1"/>
  <c r="T30" i="1"/>
  <c r="T50" i="1"/>
  <c r="S51" i="1"/>
  <c r="R52" i="1"/>
  <c r="Q53" i="1"/>
  <c r="P54" i="1"/>
  <c r="U26" i="1"/>
  <c r="T44" i="1"/>
  <c r="S44" i="1"/>
  <c r="U48" i="1"/>
  <c r="T49" i="1"/>
  <c r="U38" i="1"/>
  <c r="T20" i="1"/>
  <c r="U39" i="1"/>
  <c r="T40" i="1"/>
  <c r="S41" i="1"/>
  <c r="U47" i="1"/>
  <c r="T46" i="1"/>
  <c r="U18" i="1"/>
  <c r="T19" i="1"/>
  <c r="S20" i="1"/>
  <c r="U24" i="1"/>
  <c r="U25" i="1"/>
  <c r="T26" i="1"/>
  <c r="U37" i="1"/>
  <c r="T22" i="1"/>
  <c r="U34" i="1"/>
  <c r="U32" i="1"/>
  <c r="U33" i="1"/>
  <c r="S42" i="1"/>
  <c r="U35" i="1"/>
  <c r="T27" i="1"/>
  <c r="U17" i="1"/>
  <c r="T18" i="1"/>
  <c r="U16" i="1"/>
  <c r="U36" i="1"/>
  <c r="T37" i="1"/>
  <c r="S43" i="1"/>
  <c r="R43" i="1"/>
  <c r="S45" i="1"/>
  <c r="S50" i="1"/>
  <c r="R51" i="1"/>
  <c r="Q52" i="1"/>
  <c r="P53" i="1"/>
  <c r="O54" i="1"/>
  <c r="Q57" i="1"/>
  <c r="P58" i="1"/>
  <c r="O59" i="1"/>
  <c r="N60" i="1"/>
  <c r="M61" i="1"/>
  <c r="L62" i="1"/>
  <c r="K63" i="1"/>
  <c r="J64" i="1"/>
  <c r="R44" i="1"/>
  <c r="T29" i="1"/>
  <c r="T48" i="1"/>
  <c r="S49" i="1"/>
  <c r="R50" i="1"/>
  <c r="Q51" i="1"/>
  <c r="P52" i="1"/>
  <c r="O53" i="1"/>
  <c r="T38" i="1"/>
  <c r="T25" i="1"/>
  <c r="T28" i="1"/>
  <c r="S28" i="1"/>
  <c r="T47" i="1"/>
  <c r="S47" i="1"/>
  <c r="T39" i="1"/>
  <c r="S40" i="1"/>
  <c r="R41" i="1"/>
  <c r="T23" i="1"/>
  <c r="S22" i="1"/>
  <c r="T24" i="1"/>
  <c r="R42" i="1"/>
  <c r="Q43" i="1"/>
  <c r="S21" i="1"/>
  <c r="T34" i="1"/>
  <c r="S19" i="1"/>
  <c r="T36" i="1"/>
  <c r="S37" i="1"/>
  <c r="T33" i="1"/>
  <c r="T32" i="1"/>
  <c r="T31" i="1"/>
  <c r="S30" i="1"/>
  <c r="T17" i="1"/>
  <c r="S18" i="1"/>
  <c r="R19" i="1"/>
  <c r="T16" i="1"/>
  <c r="S26" i="1"/>
  <c r="T35" i="1"/>
  <c r="P56" i="1"/>
  <c r="P57" i="1"/>
  <c r="O58" i="1"/>
  <c r="N59" i="1"/>
  <c r="M60" i="1"/>
  <c r="L61" i="1"/>
  <c r="K62" i="1"/>
  <c r="J63" i="1"/>
  <c r="I64" i="1"/>
  <c r="R20" i="1"/>
  <c r="S23" i="1"/>
  <c r="S39" i="1"/>
  <c r="R40" i="1"/>
  <c r="S27" i="1"/>
  <c r="R27" i="1"/>
  <c r="S29" i="1"/>
  <c r="S48" i="1"/>
  <c r="R49" i="1"/>
  <c r="S25" i="1"/>
  <c r="S24" i="1"/>
  <c r="R25" i="1"/>
  <c r="R21" i="1"/>
  <c r="Q20" i="1"/>
  <c r="S46" i="1"/>
  <c r="R45" i="1"/>
  <c r="Q44" i="1"/>
  <c r="S38" i="1"/>
  <c r="R38" i="1"/>
  <c r="Q42" i="1"/>
  <c r="P43" i="1"/>
  <c r="S34" i="1"/>
  <c r="R23" i="1"/>
  <c r="R48" i="1"/>
  <c r="Q49" i="1"/>
  <c r="S33" i="1"/>
  <c r="R22" i="1"/>
  <c r="R47" i="1"/>
  <c r="Q41" i="1"/>
  <c r="Q50" i="1"/>
  <c r="P51" i="1"/>
  <c r="O52" i="1"/>
  <c r="N53" i="1"/>
  <c r="S17" i="1"/>
  <c r="R18" i="1"/>
  <c r="Q19" i="1"/>
  <c r="S16" i="1"/>
  <c r="S32" i="1"/>
  <c r="S31" i="1"/>
  <c r="R29" i="1"/>
  <c r="S36" i="1"/>
  <c r="R37" i="1"/>
  <c r="R46" i="1"/>
  <c r="S35" i="1"/>
  <c r="O57" i="1"/>
  <c r="N58" i="1"/>
  <c r="M59" i="1"/>
  <c r="L60" i="1"/>
  <c r="K61" i="1"/>
  <c r="J62" i="1"/>
  <c r="I63" i="1"/>
  <c r="H64" i="1"/>
  <c r="O56" i="1"/>
  <c r="O55" i="1"/>
  <c r="R33" i="1"/>
  <c r="R28" i="1"/>
  <c r="Q28" i="1"/>
  <c r="R39" i="1"/>
  <c r="Q40" i="1"/>
  <c r="P41" i="1"/>
  <c r="P42" i="1"/>
  <c r="O42" i="1"/>
  <c r="Q38" i="1"/>
  <c r="Q48" i="1"/>
  <c r="P49" i="1"/>
  <c r="R24" i="1"/>
  <c r="Q23" i="1"/>
  <c r="R26" i="1"/>
  <c r="Q27" i="1"/>
  <c r="Q22" i="1"/>
  <c r="Q21" i="1"/>
  <c r="P21" i="1"/>
  <c r="R32" i="1"/>
  <c r="P50" i="1"/>
  <c r="R17" i="1"/>
  <c r="Q18" i="1"/>
  <c r="P19" i="1"/>
  <c r="R16" i="1"/>
  <c r="R31" i="1"/>
  <c r="R36" i="1"/>
  <c r="Q37" i="1"/>
  <c r="Q47" i="1"/>
  <c r="P48" i="1"/>
  <c r="Q46" i="1"/>
  <c r="Q45" i="1"/>
  <c r="R35" i="1"/>
  <c r="Q36" i="1"/>
  <c r="R34" i="1"/>
  <c r="R30" i="1"/>
  <c r="N57" i="1"/>
  <c r="M58" i="1"/>
  <c r="L59" i="1"/>
  <c r="K60" i="1"/>
  <c r="J61" i="1"/>
  <c r="I62" i="1"/>
  <c r="H63" i="1"/>
  <c r="G64" i="1"/>
  <c r="N56" i="1"/>
  <c r="M57" i="1"/>
  <c r="L58" i="1"/>
  <c r="K59" i="1"/>
  <c r="J60" i="1"/>
  <c r="I61" i="1"/>
  <c r="H62" i="1"/>
  <c r="G63" i="1"/>
  <c r="F64" i="1"/>
  <c r="N54" i="1"/>
  <c r="N55" i="1"/>
  <c r="M56" i="1"/>
  <c r="L57" i="1"/>
  <c r="K58" i="1"/>
  <c r="J59" i="1"/>
  <c r="I60" i="1"/>
  <c r="H61" i="1"/>
  <c r="G62" i="1"/>
  <c r="F63" i="1"/>
  <c r="E64" i="1"/>
  <c r="Q24" i="1"/>
  <c r="P23" i="1"/>
  <c r="Q25" i="1"/>
  <c r="Q26" i="1"/>
  <c r="P26" i="1"/>
  <c r="O50" i="1"/>
  <c r="P37" i="1"/>
  <c r="Q39" i="1"/>
  <c r="P40" i="1"/>
  <c r="O41" i="1"/>
  <c r="P20" i="1"/>
  <c r="O20" i="1"/>
  <c r="Q34" i="1"/>
  <c r="Q31" i="1"/>
  <c r="Q32" i="1"/>
  <c r="Q30" i="1"/>
  <c r="O51" i="1"/>
  <c r="N52" i="1"/>
  <c r="M53" i="1"/>
  <c r="Q35" i="1"/>
  <c r="P36" i="1"/>
  <c r="O49" i="1"/>
  <c r="P46" i="1"/>
  <c r="P45" i="1"/>
  <c r="P44" i="1"/>
  <c r="P22" i="1"/>
  <c r="P47" i="1"/>
  <c r="O48" i="1"/>
  <c r="Q33" i="1"/>
  <c r="P27" i="1"/>
  <c r="Q17" i="1"/>
  <c r="P18" i="1"/>
  <c r="Q16" i="1"/>
  <c r="Q29" i="1"/>
  <c r="O19" i="1"/>
  <c r="P25" i="1"/>
  <c r="O26" i="1"/>
  <c r="M55" i="1"/>
  <c r="L56" i="1"/>
  <c r="K57" i="1"/>
  <c r="J58" i="1"/>
  <c r="I59" i="1"/>
  <c r="H60" i="1"/>
  <c r="G61" i="1"/>
  <c r="F62" i="1"/>
  <c r="E63" i="1"/>
  <c r="D64" i="1"/>
  <c r="M54" i="1"/>
  <c r="L55" i="1"/>
  <c r="K56" i="1"/>
  <c r="J57" i="1"/>
  <c r="I58" i="1"/>
  <c r="H59" i="1"/>
  <c r="G60" i="1"/>
  <c r="F61" i="1"/>
  <c r="E62" i="1"/>
  <c r="D63" i="1"/>
  <c r="C64" i="1"/>
  <c r="N51" i="1"/>
  <c r="M52" i="1"/>
  <c r="L53" i="1"/>
  <c r="N49" i="1"/>
  <c r="P24" i="1"/>
  <c r="N50" i="1"/>
  <c r="P38" i="1"/>
  <c r="O37" i="1"/>
  <c r="P39" i="1"/>
  <c r="O40" i="1"/>
  <c r="N41" i="1"/>
  <c r="O39" i="1"/>
  <c r="N40" i="1"/>
  <c r="P31" i="1"/>
  <c r="P34" i="1"/>
  <c r="P30" i="1"/>
  <c r="P33" i="1"/>
  <c r="P35" i="1"/>
  <c r="O36" i="1"/>
  <c r="P28" i="1"/>
  <c r="O27" i="1"/>
  <c r="O46" i="1"/>
  <c r="O25" i="1"/>
  <c r="P29" i="1"/>
  <c r="O30" i="1"/>
  <c r="O23" i="1"/>
  <c r="O22" i="1"/>
  <c r="O21" i="1"/>
  <c r="O47" i="1"/>
  <c r="N48" i="1"/>
  <c r="M49" i="1"/>
  <c r="O45" i="1"/>
  <c r="O43" i="1"/>
  <c r="O44" i="1"/>
  <c r="P17" i="1"/>
  <c r="O18" i="1"/>
  <c r="N19" i="1"/>
  <c r="P16" i="1"/>
  <c r="P32" i="1"/>
  <c r="O24" i="1"/>
  <c r="M50" i="1"/>
  <c r="M51" i="1"/>
  <c r="L51" i="1"/>
  <c r="L52" i="1"/>
  <c r="K52" i="1"/>
  <c r="L54" i="1"/>
  <c r="K55" i="1"/>
  <c r="J56" i="1"/>
  <c r="I57" i="1"/>
  <c r="H58" i="1"/>
  <c r="G59" i="1"/>
  <c r="F60" i="1"/>
  <c r="E61" i="1"/>
  <c r="D62" i="1"/>
  <c r="C63" i="1"/>
  <c r="N45" i="1"/>
  <c r="O38" i="1"/>
  <c r="N39" i="1"/>
  <c r="M40" i="1"/>
  <c r="N25" i="1"/>
  <c r="N46" i="1"/>
  <c r="O34" i="1"/>
  <c r="O35" i="1"/>
  <c r="N36" i="1"/>
  <c r="O17" i="1"/>
  <c r="N18" i="1"/>
  <c r="O16" i="1"/>
  <c r="N23" i="1"/>
  <c r="N26" i="1"/>
  <c r="N24" i="1"/>
  <c r="O29" i="1"/>
  <c r="O33" i="1"/>
  <c r="O32" i="1"/>
  <c r="N47" i="1"/>
  <c r="M48" i="1"/>
  <c r="L49" i="1"/>
  <c r="O28" i="1"/>
  <c r="N44" i="1"/>
  <c r="M45" i="1"/>
  <c r="N42" i="1"/>
  <c r="N43" i="1"/>
  <c r="N22" i="1"/>
  <c r="N21" i="1"/>
  <c r="O31" i="1"/>
  <c r="N20" i="1"/>
  <c r="N38" i="1"/>
  <c r="M39" i="1"/>
  <c r="K53" i="1"/>
  <c r="M20" i="1"/>
  <c r="L50" i="1"/>
  <c r="K51" i="1"/>
  <c r="J52" i="1"/>
  <c r="K54" i="1"/>
  <c r="J55" i="1"/>
  <c r="I56" i="1"/>
  <c r="H57" i="1"/>
  <c r="G58" i="1"/>
  <c r="F59" i="1"/>
  <c r="E60" i="1"/>
  <c r="D61" i="1"/>
  <c r="C62" i="1"/>
  <c r="N37" i="1"/>
  <c r="M38" i="1"/>
  <c r="L39" i="1"/>
  <c r="M23" i="1"/>
  <c r="N35" i="1"/>
  <c r="N32" i="1"/>
  <c r="M22" i="1"/>
  <c r="N34" i="1"/>
  <c r="M46" i="1"/>
  <c r="N30" i="1"/>
  <c r="N17" i="1"/>
  <c r="M18" i="1"/>
  <c r="N16" i="1"/>
  <c r="M43" i="1"/>
  <c r="M42" i="1"/>
  <c r="M41" i="1"/>
  <c r="N31" i="1"/>
  <c r="M47" i="1"/>
  <c r="L48" i="1"/>
  <c r="N29" i="1"/>
  <c r="N27" i="1"/>
  <c r="M19" i="1"/>
  <c r="M21" i="1"/>
  <c r="M44" i="1"/>
  <c r="N33" i="1"/>
  <c r="M25" i="1"/>
  <c r="M24" i="1"/>
  <c r="N28" i="1"/>
  <c r="M31" i="1"/>
  <c r="K50" i="1"/>
  <c r="J51" i="1"/>
  <c r="K49" i="1"/>
  <c r="J50" i="1"/>
  <c r="I51" i="1"/>
  <c r="J53" i="1"/>
  <c r="J54" i="1"/>
  <c r="I55" i="1"/>
  <c r="H56" i="1"/>
  <c r="G57" i="1"/>
  <c r="F58" i="1"/>
  <c r="E59" i="1"/>
  <c r="D60" i="1"/>
  <c r="C61" i="1"/>
  <c r="M34" i="1"/>
  <c r="L23" i="1"/>
  <c r="L22" i="1"/>
  <c r="M36" i="1"/>
  <c r="M37" i="1"/>
  <c r="L37" i="1"/>
  <c r="L38" i="1"/>
  <c r="K38" i="1"/>
  <c r="L47" i="1"/>
  <c r="K48" i="1"/>
  <c r="J49" i="1"/>
  <c r="I50" i="1"/>
  <c r="M35" i="1"/>
  <c r="L45" i="1"/>
  <c r="L43" i="1"/>
  <c r="M30" i="1"/>
  <c r="M29" i="1"/>
  <c r="L19" i="1"/>
  <c r="M17" i="1"/>
  <c r="L18" i="1"/>
  <c r="M16" i="1"/>
  <c r="L20" i="1"/>
  <c r="L44" i="1"/>
  <c r="L46" i="1"/>
  <c r="M28" i="1"/>
  <c r="L29" i="1"/>
  <c r="M26" i="1"/>
  <c r="L42" i="1"/>
  <c r="K43" i="1"/>
  <c r="L40" i="1"/>
  <c r="L41" i="1"/>
  <c r="M27" i="1"/>
  <c r="L24" i="1"/>
  <c r="M32" i="1"/>
  <c r="M33" i="1"/>
  <c r="L21" i="1"/>
  <c r="L33" i="1"/>
  <c r="K47" i="1"/>
  <c r="J48" i="1"/>
  <c r="I49" i="1"/>
  <c r="I52" i="1"/>
  <c r="I53" i="1"/>
  <c r="I54" i="1"/>
  <c r="H53" i="1"/>
  <c r="L30" i="1"/>
  <c r="L36" i="1"/>
  <c r="K37" i="1"/>
  <c r="H55" i="1"/>
  <c r="G56" i="1"/>
  <c r="F57" i="1"/>
  <c r="E58" i="1"/>
  <c r="D59" i="1"/>
  <c r="C60" i="1"/>
  <c r="K46" i="1"/>
  <c r="J47" i="1"/>
  <c r="I48" i="1"/>
  <c r="K22" i="1"/>
  <c r="L34" i="1"/>
  <c r="L35" i="1"/>
  <c r="K36" i="1"/>
  <c r="J37" i="1"/>
  <c r="L28" i="1"/>
  <c r="K45" i="1"/>
  <c r="J46" i="1"/>
  <c r="I47" i="1"/>
  <c r="H48" i="1"/>
  <c r="L27" i="1"/>
  <c r="H49" i="1"/>
  <c r="K42" i="1"/>
  <c r="H50" i="1"/>
  <c r="K19" i="1"/>
  <c r="L31" i="1"/>
  <c r="K30" i="1"/>
  <c r="L26" i="1"/>
  <c r="K21" i="1"/>
  <c r="L25" i="1"/>
  <c r="K24" i="1"/>
  <c r="L32" i="1"/>
  <c r="K29" i="1"/>
  <c r="K41" i="1"/>
  <c r="J42" i="1"/>
  <c r="K40" i="1"/>
  <c r="K39" i="1"/>
  <c r="K20" i="1"/>
  <c r="K23" i="1"/>
  <c r="L17" i="1"/>
  <c r="K18" i="1"/>
  <c r="L16" i="1"/>
  <c r="K44" i="1"/>
  <c r="J45" i="1"/>
  <c r="K27" i="1"/>
  <c r="K33" i="1"/>
  <c r="H51" i="1"/>
  <c r="G50" i="1"/>
  <c r="H54" i="1"/>
  <c r="G55" i="1"/>
  <c r="F56" i="1"/>
  <c r="E57" i="1"/>
  <c r="D58" i="1"/>
  <c r="C59" i="1"/>
  <c r="H52" i="1"/>
  <c r="G53" i="1"/>
  <c r="K28" i="1"/>
  <c r="J21" i="1"/>
  <c r="G49" i="1"/>
  <c r="K34" i="1"/>
  <c r="K35" i="1"/>
  <c r="J34" i="1"/>
  <c r="J36" i="1"/>
  <c r="J43" i="1"/>
  <c r="J41" i="1"/>
  <c r="K17" i="1"/>
  <c r="J18" i="1"/>
  <c r="K16" i="1"/>
  <c r="J20" i="1"/>
  <c r="J22" i="1"/>
  <c r="J28" i="1"/>
  <c r="J19" i="1"/>
  <c r="K31" i="1"/>
  <c r="J30" i="1"/>
  <c r="K32" i="1"/>
  <c r="J29" i="1"/>
  <c r="I46" i="1"/>
  <c r="H47" i="1"/>
  <c r="G48" i="1"/>
  <c r="F49" i="1"/>
  <c r="J44" i="1"/>
  <c r="I45" i="1"/>
  <c r="J40" i="1"/>
  <c r="I41" i="1"/>
  <c r="J39" i="1"/>
  <c r="J38" i="1"/>
  <c r="J23" i="1"/>
  <c r="K26" i="1"/>
  <c r="J27" i="1"/>
  <c r="K25" i="1"/>
  <c r="J33" i="1"/>
  <c r="I42" i="1"/>
  <c r="G52" i="1"/>
  <c r="G54" i="1"/>
  <c r="F53" i="1"/>
  <c r="F54" i="1"/>
  <c r="F55" i="1"/>
  <c r="E54" i="1"/>
  <c r="E55" i="1"/>
  <c r="E56" i="1"/>
  <c r="D55" i="1"/>
  <c r="D56" i="1"/>
  <c r="D57" i="1"/>
  <c r="C56" i="1"/>
  <c r="C57" i="1"/>
  <c r="C58" i="1"/>
  <c r="G51" i="1"/>
  <c r="F50" i="1"/>
  <c r="I20" i="1"/>
  <c r="I19" i="1"/>
  <c r="J35" i="1"/>
  <c r="I36" i="1"/>
  <c r="J31" i="1"/>
  <c r="I30" i="1"/>
  <c r="J26" i="1"/>
  <c r="I27" i="1"/>
  <c r="I40" i="1"/>
  <c r="H41" i="1"/>
  <c r="J25" i="1"/>
  <c r="I26" i="1"/>
  <c r="H46" i="1"/>
  <c r="G47" i="1"/>
  <c r="F48" i="1"/>
  <c r="I43" i="1"/>
  <c r="I39" i="1"/>
  <c r="I38" i="1"/>
  <c r="I37" i="1"/>
  <c r="J24" i="1"/>
  <c r="I21" i="1"/>
  <c r="H20" i="1"/>
  <c r="I44" i="1"/>
  <c r="H45" i="1"/>
  <c r="G46" i="1"/>
  <c r="F47" i="1"/>
  <c r="E48" i="1"/>
  <c r="I28" i="1"/>
  <c r="J32" i="1"/>
  <c r="I33" i="1"/>
  <c r="I29" i="1"/>
  <c r="J17" i="1"/>
  <c r="I18" i="1"/>
  <c r="H19" i="1"/>
  <c r="J16" i="1"/>
  <c r="I22" i="1"/>
  <c r="F51" i="1"/>
  <c r="F52" i="1"/>
  <c r="E52" i="1"/>
  <c r="E53" i="1"/>
  <c r="D53" i="1"/>
  <c r="D54" i="1"/>
  <c r="C54" i="1"/>
  <c r="E49" i="1"/>
  <c r="C55" i="1"/>
  <c r="I34" i="1"/>
  <c r="I35" i="1"/>
  <c r="H39" i="1"/>
  <c r="H29" i="1"/>
  <c r="H40" i="1"/>
  <c r="H43" i="1"/>
  <c r="I25" i="1"/>
  <c r="H26" i="1"/>
  <c r="H44" i="1"/>
  <c r="G45" i="1"/>
  <c r="F46" i="1"/>
  <c r="E47" i="1"/>
  <c r="D48" i="1"/>
  <c r="I24" i="1"/>
  <c r="I32" i="1"/>
  <c r="H33" i="1"/>
  <c r="I31" i="1"/>
  <c r="H30" i="1"/>
  <c r="H38" i="1"/>
  <c r="H37" i="1"/>
  <c r="H36" i="1"/>
  <c r="I23" i="1"/>
  <c r="H24" i="1"/>
  <c r="I17" i="1"/>
  <c r="H18" i="1"/>
  <c r="G19" i="1"/>
  <c r="I16" i="1"/>
  <c r="H42" i="1"/>
  <c r="H21" i="1"/>
  <c r="G20" i="1"/>
  <c r="H28" i="1"/>
  <c r="H27" i="1"/>
  <c r="H25" i="1"/>
  <c r="G40" i="1"/>
  <c r="E50" i="1"/>
  <c r="G25" i="1"/>
  <c r="E51" i="1"/>
  <c r="D52" i="1"/>
  <c r="C53" i="1"/>
  <c r="G44" i="1"/>
  <c r="F45" i="1"/>
  <c r="E46" i="1"/>
  <c r="H35" i="1"/>
  <c r="H22" i="1"/>
  <c r="H34" i="1"/>
  <c r="G34" i="1"/>
  <c r="G41" i="1"/>
  <c r="H23" i="1"/>
  <c r="G24" i="1"/>
  <c r="G39" i="1"/>
  <c r="D47" i="1"/>
  <c r="G29" i="1"/>
  <c r="G28" i="1"/>
  <c r="G22" i="1"/>
  <c r="H32" i="1"/>
  <c r="G33" i="1"/>
  <c r="H31" i="1"/>
  <c r="G43" i="1"/>
  <c r="F44" i="1"/>
  <c r="E45" i="1"/>
  <c r="D46" i="1"/>
  <c r="G42" i="1"/>
  <c r="G23" i="1"/>
  <c r="F24" i="1"/>
  <c r="G37" i="1"/>
  <c r="G36" i="1"/>
  <c r="G27" i="1"/>
  <c r="H16" i="1"/>
  <c r="H17" i="1"/>
  <c r="G18" i="1"/>
  <c r="F19" i="1"/>
  <c r="G35" i="1"/>
  <c r="G38" i="1"/>
  <c r="F39" i="1"/>
  <c r="G26" i="1"/>
  <c r="F25" i="1"/>
  <c r="G21" i="1"/>
  <c r="D50" i="1"/>
  <c r="D49" i="1"/>
  <c r="C48" i="1"/>
  <c r="F40" i="1"/>
  <c r="D51" i="1"/>
  <c r="C52" i="1"/>
  <c r="F37" i="1"/>
  <c r="C47" i="1"/>
  <c r="F22" i="1"/>
  <c r="F34" i="1"/>
  <c r="G31" i="1"/>
  <c r="F43" i="1"/>
  <c r="E44" i="1"/>
  <c r="D45" i="1"/>
  <c r="C46" i="1"/>
  <c r="G32" i="1"/>
  <c r="F33" i="1"/>
  <c r="F20" i="1"/>
  <c r="G17" i="1"/>
  <c r="F18" i="1"/>
  <c r="G16" i="1"/>
  <c r="G30" i="1"/>
  <c r="F36" i="1"/>
  <c r="F21" i="1"/>
  <c r="F23" i="1"/>
  <c r="E24" i="1"/>
  <c r="F27" i="1"/>
  <c r="F35" i="1"/>
  <c r="F28" i="1"/>
  <c r="F38" i="1"/>
  <c r="E39" i="1"/>
  <c r="F42" i="1"/>
  <c r="F26" i="1"/>
  <c r="F41" i="1"/>
  <c r="E40" i="1"/>
  <c r="C50" i="1"/>
  <c r="C49" i="1"/>
  <c r="C51" i="1"/>
  <c r="E27" i="1"/>
  <c r="F32" i="1"/>
  <c r="E33" i="1"/>
  <c r="E20" i="1"/>
  <c r="E37" i="1"/>
  <c r="E43" i="1"/>
  <c r="D44" i="1"/>
  <c r="C45" i="1"/>
  <c r="F3" i="1"/>
  <c r="F10" i="1"/>
  <c r="E19" i="1"/>
  <c r="F17" i="1"/>
  <c r="E18" i="1"/>
  <c r="F16" i="1"/>
  <c r="E36" i="1"/>
  <c r="F31" i="1"/>
  <c r="E32" i="1"/>
  <c r="F30" i="1"/>
  <c r="E23" i="1"/>
  <c r="E42" i="1"/>
  <c r="D43" i="1"/>
  <c r="C44" i="1"/>
  <c r="E41" i="1"/>
  <c r="D40" i="1"/>
  <c r="F29" i="1"/>
  <c r="E22" i="1"/>
  <c r="D23" i="1"/>
  <c r="E38" i="1"/>
  <c r="D39" i="1"/>
  <c r="E34" i="1"/>
  <c r="E25" i="1"/>
  <c r="E35" i="1"/>
  <c r="E21" i="1"/>
  <c r="E26" i="1"/>
  <c r="D26" i="1"/>
  <c r="D19" i="1"/>
  <c r="D20" i="1"/>
  <c r="D25" i="1"/>
  <c r="D37" i="1"/>
  <c r="D33" i="1"/>
  <c r="D36" i="1"/>
  <c r="D38" i="1"/>
  <c r="C39" i="1"/>
  <c r="E30" i="1"/>
  <c r="D21" i="1"/>
  <c r="D22" i="1"/>
  <c r="D42" i="1"/>
  <c r="C43" i="1"/>
  <c r="D24" i="1"/>
  <c r="C25" i="1"/>
  <c r="C38" i="1"/>
  <c r="D41" i="1"/>
  <c r="E28" i="1"/>
  <c r="D27" i="1"/>
  <c r="C26" i="1"/>
  <c r="D35" i="1"/>
  <c r="D34" i="1"/>
  <c r="E29" i="1"/>
  <c r="E31" i="1"/>
  <c r="D32" i="1"/>
  <c r="E17" i="1"/>
  <c r="D18" i="1"/>
  <c r="E16" i="1"/>
  <c r="C22" i="1"/>
  <c r="C36" i="1"/>
  <c r="C19" i="1"/>
  <c r="C24" i="1"/>
  <c r="D31" i="1"/>
  <c r="C32" i="1"/>
  <c r="D30" i="1"/>
  <c r="C37" i="1"/>
  <c r="C35" i="1"/>
  <c r="C42" i="1"/>
  <c r="C23" i="1"/>
  <c r="D17" i="1"/>
  <c r="C18" i="1"/>
  <c r="D16" i="1"/>
  <c r="C40" i="1"/>
  <c r="C31" i="1"/>
  <c r="C34" i="1"/>
  <c r="C33" i="1"/>
  <c r="D29" i="1"/>
  <c r="C30" i="1"/>
  <c r="D28" i="1"/>
  <c r="C20" i="1"/>
  <c r="C41" i="1"/>
  <c r="C21" i="1"/>
  <c r="C29" i="1"/>
  <c r="C27" i="1"/>
  <c r="C17" i="1"/>
  <c r="C16" i="1"/>
  <c r="C28" i="1"/>
</calcChain>
</file>

<file path=xl/sharedStrings.xml><?xml version="1.0" encoding="utf-8"?>
<sst xmlns="http://schemas.openxmlformats.org/spreadsheetml/2006/main" count="56" uniqueCount="31">
  <si>
    <t>d</t>
  </si>
  <si>
    <t>sigma</t>
  </si>
  <si>
    <t>T</t>
  </si>
  <si>
    <t>Time</t>
  </si>
  <si>
    <t>Period</t>
  </si>
  <si>
    <t>Smax</t>
  </si>
  <si>
    <t>Smin</t>
  </si>
  <si>
    <t>dS</t>
  </si>
  <si>
    <t>dt</t>
  </si>
  <si>
    <t>S0</t>
  </si>
  <si>
    <t>r</t>
  </si>
  <si>
    <t>Stock price</t>
  </si>
  <si>
    <t>Stock price count</t>
  </si>
  <si>
    <t xml:space="preserve">K </t>
  </si>
  <si>
    <t>Check</t>
  </si>
  <si>
    <t>BS check</t>
  </si>
  <si>
    <t xml:space="preserve">Error </t>
  </si>
  <si>
    <t>Value</t>
  </si>
  <si>
    <t>V</t>
  </si>
  <si>
    <t>Lambda</t>
  </si>
  <si>
    <t>BS</t>
  </si>
  <si>
    <t>Error</t>
  </si>
  <si>
    <t>K = 39</t>
  </si>
  <si>
    <t>K = 40</t>
  </si>
  <si>
    <t>jmax</t>
  </si>
  <si>
    <t>imax</t>
  </si>
  <si>
    <t>jmax min</t>
  </si>
  <si>
    <t>jmax max</t>
  </si>
  <si>
    <t>jmax step</t>
  </si>
  <si>
    <t>Note the nonlinearity here as the lambda relative to the strike price changes.</t>
  </si>
  <si>
    <t>Here lambda is fixed and convergence is smooth.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</si>
</sst>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0.000000000000000000000"/>
    <numFmt numFmtId="166" formatCode="0.0000000"/>
  </numFmts>
  <fonts count="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1" xfId="0" applyBorder="1" applyAlignment="1">
      <alignment horizontal="right"/>
    </xf>
    <xf numFmtId="0" fontId="0" fillId="2" borderId="0" xfId="0" applyFill="1"/>
    <xf numFmtId="0" fontId="0" fillId="0" borderId="4" xfId="0" applyBorder="1"/>
    <xf numFmtId="0" fontId="0" fillId="3" borderId="4" xfId="0" applyFill="1" applyBorder="1"/>
    <xf numFmtId="10" fontId="0" fillId="3" borderId="4" xfId="0" applyNumberFormat="1" applyFill="1" applyBorder="1"/>
    <xf numFmtId="0" fontId="2" fillId="0" borderId="0" xfId="0" applyFont="1"/>
    <xf numFmtId="0" fontId="2" fillId="0" borderId="4" xfId="0" applyFont="1" applyBorder="1"/>
    <xf numFmtId="0" fontId="2" fillId="3" borderId="4" xfId="0" applyFont="1" applyFill="1" applyBorder="1"/>
    <xf numFmtId="1" fontId="2" fillId="0" borderId="4" xfId="0" applyNumberFormat="1" applyFont="1" applyBorder="1"/>
    <xf numFmtId="0" fontId="2" fillId="0" borderId="0" xfId="0" applyFont="1" applyBorder="1"/>
    <xf numFmtId="0" fontId="0" fillId="4" borderId="0" xfId="0" applyFill="1"/>
    <xf numFmtId="1" fontId="0" fillId="4" borderId="2" xfId="0" applyNumberFormat="1" applyFill="1" applyBorder="1"/>
    <xf numFmtId="0" fontId="0" fillId="4" borderId="1" xfId="0" applyFill="1" applyBorder="1"/>
    <xf numFmtId="0" fontId="0" fillId="4" borderId="3" xfId="0" applyFill="1" applyBorder="1"/>
    <xf numFmtId="0" fontId="0" fillId="4" borderId="0" xfId="0" applyFill="1" applyBorder="1"/>
    <xf numFmtId="0" fontId="0" fillId="4" borderId="2" xfId="0" applyFill="1" applyBorder="1"/>
    <xf numFmtId="0" fontId="0" fillId="4" borderId="1" xfId="0" applyFill="1" applyBorder="1" applyAlignment="1">
      <alignment horizontal="right"/>
    </xf>
    <xf numFmtId="0" fontId="2" fillId="5" borderId="0" xfId="0" applyFont="1" applyFill="1"/>
    <xf numFmtId="0" fontId="1" fillId="0" borderId="0" xfId="0" applyFont="1"/>
    <xf numFmtId="0" fontId="2" fillId="3" borderId="0" xfId="0" applyFont="1" applyFill="1" applyBorder="1"/>
    <xf numFmtId="1" fontId="2" fillId="0" borderId="0" xfId="0" applyNumberFormat="1" applyFont="1" applyBorder="1"/>
    <xf numFmtId="0" fontId="0" fillId="6" borderId="0" xfId="0" applyFont="1" applyFill="1"/>
    <xf numFmtId="2" fontId="2" fillId="0" borderId="4" xfId="0" applyNumberFormat="1" applyFont="1" applyBorder="1"/>
    <xf numFmtId="0" fontId="0" fillId="7" borderId="0" xfId="0" applyFont="1" applyFill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3" fillId="0" borderId="0" xfId="0" applyFont="1"/>
    <xf numFmtId="0" fontId="0" fillId="0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05796150481189"/>
          <c:y val="7.4548702245552642E-2"/>
          <c:w val="0.84115048118985125"/>
          <c:h val="0.8326195683872849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VBA!$E$2:$E$25</c:f>
              <c:numCache>
                <c:formatCode>General</c:formatCode>
                <c:ptCount val="24"/>
                <c:pt idx="0">
                  <c:v>40</c:v>
                </c:pt>
                <c:pt idx="1">
                  <c:v>60</c:v>
                </c:pt>
                <c:pt idx="2">
                  <c:v>80</c:v>
                </c:pt>
                <c:pt idx="3">
                  <c:v>100</c:v>
                </c:pt>
                <c:pt idx="4">
                  <c:v>120</c:v>
                </c:pt>
                <c:pt idx="5">
                  <c:v>140</c:v>
                </c:pt>
                <c:pt idx="6">
                  <c:v>160</c:v>
                </c:pt>
                <c:pt idx="7">
                  <c:v>180</c:v>
                </c:pt>
                <c:pt idx="8">
                  <c:v>200</c:v>
                </c:pt>
                <c:pt idx="9">
                  <c:v>220</c:v>
                </c:pt>
                <c:pt idx="10">
                  <c:v>240</c:v>
                </c:pt>
                <c:pt idx="11">
                  <c:v>260</c:v>
                </c:pt>
                <c:pt idx="12">
                  <c:v>280</c:v>
                </c:pt>
                <c:pt idx="13">
                  <c:v>300</c:v>
                </c:pt>
                <c:pt idx="14">
                  <c:v>320</c:v>
                </c:pt>
                <c:pt idx="15">
                  <c:v>340</c:v>
                </c:pt>
                <c:pt idx="16">
                  <c:v>360</c:v>
                </c:pt>
                <c:pt idx="17">
                  <c:v>380</c:v>
                </c:pt>
                <c:pt idx="18">
                  <c:v>400</c:v>
                </c:pt>
                <c:pt idx="19">
                  <c:v>420</c:v>
                </c:pt>
                <c:pt idx="20">
                  <c:v>440</c:v>
                </c:pt>
                <c:pt idx="21">
                  <c:v>460</c:v>
                </c:pt>
                <c:pt idx="22">
                  <c:v>480</c:v>
                </c:pt>
                <c:pt idx="23">
                  <c:v>500</c:v>
                </c:pt>
              </c:numCache>
            </c:numRef>
          </c:xVal>
          <c:yVal>
            <c:numRef>
              <c:f>VBA!$I$2:$I$25</c:f>
              <c:numCache>
                <c:formatCode>General</c:formatCode>
                <c:ptCount val="24"/>
                <c:pt idx="0">
                  <c:v>1.6476827505051972E-5</c:v>
                </c:pt>
                <c:pt idx="1">
                  <c:v>3.8008716933823905E-6</c:v>
                </c:pt>
                <c:pt idx="2">
                  <c:v>-4.5048602056709797E-3</c:v>
                </c:pt>
                <c:pt idx="3">
                  <c:v>-8.6052174379123159E-3</c:v>
                </c:pt>
                <c:pt idx="4">
                  <c:v>-1.9566180282160062E-3</c:v>
                </c:pt>
                <c:pt idx="5">
                  <c:v>4.3817314062444268E-5</c:v>
                </c:pt>
                <c:pt idx="6">
                  <c:v>4.5220555890068681E-5</c:v>
                </c:pt>
                <c:pt idx="7">
                  <c:v>-8.3889173269469097E-4</c:v>
                </c:pt>
                <c:pt idx="8">
                  <c:v>-2.1019610907648811E-3</c:v>
                </c:pt>
                <c:pt idx="9">
                  <c:v>-5.4281013046786342E-4</c:v>
                </c:pt>
                <c:pt idx="10">
                  <c:v>5.0085579914593836E-5</c:v>
                </c:pt>
                <c:pt idx="11">
                  <c:v>5.0408347171515544E-5</c:v>
                </c:pt>
                <c:pt idx="12">
                  <c:v>-3.1473871668241671E-4</c:v>
                </c:pt>
                <c:pt idx="13">
                  <c:v>-9.0369746288132546E-4</c:v>
                </c:pt>
                <c:pt idx="14">
                  <c:v>-2.2815175494894646E-4</c:v>
                </c:pt>
                <c:pt idx="15">
                  <c:v>5.1809701645311179E-5</c:v>
                </c:pt>
                <c:pt idx="16">
                  <c:v>5.1929234980985228E-5</c:v>
                </c:pt>
                <c:pt idx="17">
                  <c:v>-1.4629836437229926E-4</c:v>
                </c:pt>
                <c:pt idx="18">
                  <c:v>-4.8474357912775545E-4</c:v>
                </c:pt>
                <c:pt idx="19">
                  <c:v>-1.0993535527248355E-4</c:v>
                </c:pt>
                <c:pt idx="20">
                  <c:v>5.2514179157192586E-5</c:v>
                </c:pt>
                <c:pt idx="21">
                  <c:v>5.2570785847194657E-5</c:v>
                </c:pt>
                <c:pt idx="22">
                  <c:v>-7.1662944538530837E-5</c:v>
                </c:pt>
                <c:pt idx="23">
                  <c:v>-2.9090444107859881E-4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894848"/>
        <c:axId val="236990848"/>
      </c:scatterChart>
      <c:valAx>
        <c:axId val="236894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6990848"/>
        <c:crosses val="autoZero"/>
        <c:crossBetween val="midCat"/>
      </c:valAx>
      <c:valAx>
        <c:axId val="236990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6894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05796150481189"/>
          <c:y val="7.4548702245552642E-2"/>
          <c:w val="0.84115048118985125"/>
          <c:h val="0.8326195683872849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VBA!$M$2:$M$25</c:f>
              <c:numCache>
                <c:formatCode>General</c:formatCode>
                <c:ptCount val="24"/>
                <c:pt idx="0">
                  <c:v>40</c:v>
                </c:pt>
                <c:pt idx="1">
                  <c:v>60</c:v>
                </c:pt>
                <c:pt idx="2">
                  <c:v>80</c:v>
                </c:pt>
                <c:pt idx="3">
                  <c:v>100</c:v>
                </c:pt>
                <c:pt idx="4">
                  <c:v>120</c:v>
                </c:pt>
                <c:pt idx="5">
                  <c:v>140</c:v>
                </c:pt>
                <c:pt idx="6">
                  <c:v>160</c:v>
                </c:pt>
                <c:pt idx="7">
                  <c:v>180</c:v>
                </c:pt>
                <c:pt idx="8">
                  <c:v>200</c:v>
                </c:pt>
                <c:pt idx="9">
                  <c:v>220</c:v>
                </c:pt>
                <c:pt idx="10">
                  <c:v>240</c:v>
                </c:pt>
                <c:pt idx="11">
                  <c:v>260</c:v>
                </c:pt>
                <c:pt idx="12">
                  <c:v>280</c:v>
                </c:pt>
                <c:pt idx="13">
                  <c:v>300</c:v>
                </c:pt>
                <c:pt idx="14">
                  <c:v>320</c:v>
                </c:pt>
                <c:pt idx="15">
                  <c:v>340</c:v>
                </c:pt>
                <c:pt idx="16">
                  <c:v>360</c:v>
                </c:pt>
                <c:pt idx="17">
                  <c:v>380</c:v>
                </c:pt>
                <c:pt idx="18">
                  <c:v>400</c:v>
                </c:pt>
                <c:pt idx="19">
                  <c:v>420</c:v>
                </c:pt>
                <c:pt idx="20">
                  <c:v>440</c:v>
                </c:pt>
                <c:pt idx="21">
                  <c:v>460</c:v>
                </c:pt>
                <c:pt idx="22">
                  <c:v>480</c:v>
                </c:pt>
                <c:pt idx="23">
                  <c:v>500</c:v>
                </c:pt>
              </c:numCache>
            </c:numRef>
          </c:xVal>
          <c:yVal>
            <c:numRef>
              <c:f>VBA!$Q$2:$Q$25</c:f>
              <c:numCache>
                <c:formatCode>0.0000</c:formatCode>
                <c:ptCount val="24"/>
                <c:pt idx="0">
                  <c:v>-5.6846925515078528E-2</c:v>
                </c:pt>
                <c:pt idx="1">
                  <c:v>-2.4630891611670869E-2</c:v>
                </c:pt>
                <c:pt idx="2">
                  <c:v>-1.3725129740454811E-2</c:v>
                </c:pt>
                <c:pt idx="3">
                  <c:v>-8.7337476299991224E-3</c:v>
                </c:pt>
                <c:pt idx="4">
                  <c:v>-6.0366795771820136E-3</c:v>
                </c:pt>
                <c:pt idx="5">
                  <c:v>-4.4151930185973853E-3</c:v>
                </c:pt>
                <c:pt idx="6">
                  <c:v>-3.3646790110770652E-3</c:v>
                </c:pt>
                <c:pt idx="7">
                  <c:v>-2.6453045725438606E-3</c:v>
                </c:pt>
                <c:pt idx="8">
                  <c:v>-2.1311645255925882E-3</c:v>
                </c:pt>
                <c:pt idx="9">
                  <c:v>-1.7509859695103991E-3</c:v>
                </c:pt>
                <c:pt idx="10">
                  <c:v>-1.4619578840036063E-3</c:v>
                </c:pt>
                <c:pt idx="11">
                  <c:v>-1.237102971589632E-3</c:v>
                </c:pt>
                <c:pt idx="12">
                  <c:v>-1.0587353022208923E-3</c:v>
                </c:pt>
                <c:pt idx="13">
                  <c:v>-9.1486816913111113E-4</c:v>
                </c:pt>
                <c:pt idx="14">
                  <c:v>-7.9714391086138647E-4</c:v>
                </c:pt>
                <c:pt idx="15">
                  <c:v>-6.9959086371218504E-4</c:v>
                </c:pt>
                <c:pt idx="16">
                  <c:v>-6.1785018384385992E-4</c:v>
                </c:pt>
                <c:pt idx="17">
                  <c:v>-5.4867997235286126E-4</c:v>
                </c:pt>
                <c:pt idx="18">
                  <c:v>-4.896285874078643E-4</c:v>
                </c:pt>
                <c:pt idx="19">
                  <c:v>-4.3881424329539342E-4</c:v>
                </c:pt>
                <c:pt idx="20">
                  <c:v>-3.9477313356339749E-4</c:v>
                </c:pt>
                <c:pt idx="21">
                  <c:v>-3.5635276721146525E-4</c:v>
                </c:pt>
                <c:pt idx="22">
                  <c:v>-3.2263576377911107E-4</c:v>
                </c:pt>
                <c:pt idx="23">
                  <c:v>-2.9288455681619752E-4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VBA!$M$2:$M$25</c:f>
              <c:numCache>
                <c:formatCode>General</c:formatCode>
                <c:ptCount val="24"/>
                <c:pt idx="0">
                  <c:v>40</c:v>
                </c:pt>
                <c:pt idx="1">
                  <c:v>60</c:v>
                </c:pt>
                <c:pt idx="2">
                  <c:v>80</c:v>
                </c:pt>
                <c:pt idx="3">
                  <c:v>100</c:v>
                </c:pt>
                <c:pt idx="4">
                  <c:v>120</c:v>
                </c:pt>
                <c:pt idx="5">
                  <c:v>140</c:v>
                </c:pt>
                <c:pt idx="6">
                  <c:v>160</c:v>
                </c:pt>
                <c:pt idx="7">
                  <c:v>180</c:v>
                </c:pt>
                <c:pt idx="8">
                  <c:v>200</c:v>
                </c:pt>
                <c:pt idx="9">
                  <c:v>220</c:v>
                </c:pt>
                <c:pt idx="10">
                  <c:v>240</c:v>
                </c:pt>
                <c:pt idx="11">
                  <c:v>260</c:v>
                </c:pt>
                <c:pt idx="12">
                  <c:v>280</c:v>
                </c:pt>
                <c:pt idx="13">
                  <c:v>300</c:v>
                </c:pt>
                <c:pt idx="14">
                  <c:v>320</c:v>
                </c:pt>
                <c:pt idx="15">
                  <c:v>340</c:v>
                </c:pt>
                <c:pt idx="16">
                  <c:v>360</c:v>
                </c:pt>
                <c:pt idx="17">
                  <c:v>380</c:v>
                </c:pt>
                <c:pt idx="18">
                  <c:v>400</c:v>
                </c:pt>
                <c:pt idx="19">
                  <c:v>420</c:v>
                </c:pt>
                <c:pt idx="20">
                  <c:v>440</c:v>
                </c:pt>
                <c:pt idx="21">
                  <c:v>460</c:v>
                </c:pt>
                <c:pt idx="22">
                  <c:v>480</c:v>
                </c:pt>
                <c:pt idx="23">
                  <c:v>500</c:v>
                </c:pt>
              </c:numCache>
            </c:numRef>
          </c:xVal>
          <c:yVal>
            <c:numRef>
              <c:f>VBA!$Q$2:$Q$25</c:f>
              <c:numCache>
                <c:formatCode>0.0000</c:formatCode>
                <c:ptCount val="24"/>
                <c:pt idx="0">
                  <c:v>-5.6846925515078528E-2</c:v>
                </c:pt>
                <c:pt idx="1">
                  <c:v>-2.4630891611670869E-2</c:v>
                </c:pt>
                <c:pt idx="2">
                  <c:v>-1.3725129740454811E-2</c:v>
                </c:pt>
                <c:pt idx="3">
                  <c:v>-8.7337476299991224E-3</c:v>
                </c:pt>
                <c:pt idx="4">
                  <c:v>-6.0366795771820136E-3</c:v>
                </c:pt>
                <c:pt idx="5">
                  <c:v>-4.4151930185973853E-3</c:v>
                </c:pt>
                <c:pt idx="6">
                  <c:v>-3.3646790110770652E-3</c:v>
                </c:pt>
                <c:pt idx="7">
                  <c:v>-2.6453045725438606E-3</c:v>
                </c:pt>
                <c:pt idx="8">
                  <c:v>-2.1311645255925882E-3</c:v>
                </c:pt>
                <c:pt idx="9">
                  <c:v>-1.7509859695103991E-3</c:v>
                </c:pt>
                <c:pt idx="10">
                  <c:v>-1.4619578840036063E-3</c:v>
                </c:pt>
                <c:pt idx="11">
                  <c:v>-1.237102971589632E-3</c:v>
                </c:pt>
                <c:pt idx="12">
                  <c:v>-1.0587353022208923E-3</c:v>
                </c:pt>
                <c:pt idx="13">
                  <c:v>-9.1486816913111113E-4</c:v>
                </c:pt>
                <c:pt idx="14">
                  <c:v>-7.9714391086138647E-4</c:v>
                </c:pt>
                <c:pt idx="15">
                  <c:v>-6.9959086371218504E-4</c:v>
                </c:pt>
                <c:pt idx="16">
                  <c:v>-6.1785018384385992E-4</c:v>
                </c:pt>
                <c:pt idx="17">
                  <c:v>-5.4867997235286126E-4</c:v>
                </c:pt>
                <c:pt idx="18">
                  <c:v>-4.896285874078643E-4</c:v>
                </c:pt>
                <c:pt idx="19">
                  <c:v>-4.3881424329539342E-4</c:v>
                </c:pt>
                <c:pt idx="20">
                  <c:v>-3.9477313356339749E-4</c:v>
                </c:pt>
                <c:pt idx="21">
                  <c:v>-3.5635276721146525E-4</c:v>
                </c:pt>
                <c:pt idx="22">
                  <c:v>-3.2263576377911107E-4</c:v>
                </c:pt>
                <c:pt idx="23">
                  <c:v>-2.9288455681619752E-4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007232"/>
        <c:axId val="237008768"/>
      </c:scatterChart>
      <c:valAx>
        <c:axId val="237007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7008768"/>
        <c:crosses val="autoZero"/>
        <c:crossBetween val="midCat"/>
      </c:valAx>
      <c:valAx>
        <c:axId val="237008768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70072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314325</xdr:colOff>
      <xdr:row>26</xdr:row>
      <xdr:rowOff>0</xdr:rowOff>
    </xdr:from>
    <xdr:to>
      <xdr:col>9</xdr:col>
      <xdr:colOff>66675</xdr:colOff>
      <xdr:row>42</xdr:row>
      <xdr:rowOff>152400</xdr:rowOff>
    </xdr:to>
    <xdr:graphicFrame macro="">
      <xdr:nvGraphicFramePr>
        <xdr:cNvPr id="618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590550</xdr:colOff>
      <xdr:row>26</xdr:row>
      <xdr:rowOff>0</xdr:rowOff>
    </xdr:from>
    <xdr:to>
      <xdr:col>18</xdr:col>
      <xdr:colOff>285750</xdr:colOff>
      <xdr:row>42</xdr:row>
      <xdr:rowOff>152400</xdr:rowOff>
    </xdr:to>
    <xdr:graphicFrame macro="">
      <xdr:nvGraphicFramePr>
        <xdr:cNvPr id="618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BA67"/>
  <sheetViews>
    <sheetView workbookViewId="0">
      <selection activeCell="C9" sqref="C9"/>
    </sheetView>
  </sheetViews>
  <sheetFormatPr defaultColWidth="8.85546875" defaultRowHeight="12.75" x14ac:dyDescent="0.2"/>
  <cols>
    <col min="1" max="1" width="15.28515625" bestFit="1" customWidth="1"/>
    <col min="2" max="2" width="9.42578125" bestFit="1" customWidth="1"/>
    <col min="3" max="3" width="9.42578125" customWidth="1"/>
  </cols>
  <sheetData>
    <row r="2" spans="1:53" x14ac:dyDescent="0.2">
      <c r="A2" s="10" t="s">
        <v>5</v>
      </c>
      <c r="B2" s="11">
        <v>100</v>
      </c>
      <c r="C2" s="14"/>
      <c r="E2" s="11" t="s">
        <v>13</v>
      </c>
      <c r="F2" s="27">
        <v>39</v>
      </c>
    </row>
    <row r="3" spans="1:53" x14ac:dyDescent="0.2">
      <c r="A3" s="10" t="s">
        <v>6</v>
      </c>
      <c r="B3" s="11">
        <v>0</v>
      </c>
      <c r="C3" s="14"/>
      <c r="E3" s="11" t="s">
        <v>17</v>
      </c>
      <c r="F3" s="12">
        <f>VLOOKUP(S0,B15:D65,2,FALSE)</f>
        <v>2.8221634924271806</v>
      </c>
    </row>
    <row r="4" spans="1:53" x14ac:dyDescent="0.2">
      <c r="A4" s="10" t="s">
        <v>24</v>
      </c>
      <c r="B4" s="11">
        <v>50</v>
      </c>
      <c r="C4" s="14"/>
    </row>
    <row r="5" spans="1:53" x14ac:dyDescent="0.2">
      <c r="A5" s="10" t="s">
        <v>7</v>
      </c>
      <c r="B5" s="12">
        <f>(Smax-Smin)/(nS)</f>
        <v>2</v>
      </c>
      <c r="C5" s="24"/>
    </row>
    <row r="6" spans="1:53" x14ac:dyDescent="0.2">
      <c r="A6" s="10" t="s">
        <v>2</v>
      </c>
      <c r="B6" s="11">
        <v>0.5</v>
      </c>
      <c r="C6" s="14"/>
    </row>
    <row r="7" spans="1:53" x14ac:dyDescent="0.2">
      <c r="A7" s="10" t="s">
        <v>25</v>
      </c>
      <c r="B7" s="11">
        <v>50</v>
      </c>
      <c r="C7" s="14"/>
    </row>
    <row r="8" spans="1:53" x14ac:dyDescent="0.2">
      <c r="A8" s="10" t="s">
        <v>8</v>
      </c>
      <c r="B8" s="12">
        <f>T/nt</f>
        <v>0.01</v>
      </c>
      <c r="C8" s="24"/>
      <c r="E8" s="7" t="s">
        <v>14</v>
      </c>
      <c r="F8" s="8">
        <f>1/(sigma^2*nS^2)</f>
        <v>9.9999999999999985E-3</v>
      </c>
      <c r="G8" s="8" t="str">
        <f>IF(dt &lt;= F8,"stable","unstable")</f>
        <v>stable</v>
      </c>
    </row>
    <row r="9" spans="1:53" x14ac:dyDescent="0.2">
      <c r="A9" s="10" t="s">
        <v>9</v>
      </c>
      <c r="B9" s="13">
        <v>40</v>
      </c>
      <c r="C9" s="25"/>
      <c r="E9" s="7" t="s">
        <v>15</v>
      </c>
      <c r="F9" s="8">
        <f>S0*EXP(-d*T)*NORMSDIST((LN(S0/K)+(rate-d+0.5*sigma^2)*T)/(sigma*SQRT(T)))-EXP(-rate*T)*K*NORMSDIST((LN(S0/K)+(rate-d-0.5*sigma^2)*T)/(sigma*SQRT(T)))</f>
        <v>2.8154484440601522</v>
      </c>
      <c r="G9" s="8"/>
    </row>
    <row r="10" spans="1:53" x14ac:dyDescent="0.2">
      <c r="A10" s="10" t="s">
        <v>1</v>
      </c>
      <c r="B10" s="11">
        <f>0.2</f>
        <v>0.2</v>
      </c>
      <c r="C10" s="14"/>
      <c r="E10" s="7" t="s">
        <v>16</v>
      </c>
      <c r="F10" s="9">
        <f>ABS((F9-F3)/F9)</f>
        <v>2.3850723962626189E-3</v>
      </c>
      <c r="G10" s="8"/>
    </row>
    <row r="11" spans="1:53" x14ac:dyDescent="0.2">
      <c r="A11" s="10" t="s">
        <v>10</v>
      </c>
      <c r="B11" s="11">
        <v>5.0000000000000001E-3</v>
      </c>
      <c r="C11" s="14"/>
    </row>
    <row r="12" spans="1:53" x14ac:dyDescent="0.2">
      <c r="A12" s="10" t="s">
        <v>0</v>
      </c>
      <c r="B12" s="11">
        <v>0</v>
      </c>
      <c r="C12" s="14"/>
    </row>
    <row r="13" spans="1:53" x14ac:dyDescent="0.2">
      <c r="A13" s="10"/>
      <c r="B13" s="14"/>
      <c r="C13" s="14"/>
    </row>
    <row r="14" spans="1:53" x14ac:dyDescent="0.2">
      <c r="A14" s="22" t="s">
        <v>12</v>
      </c>
      <c r="B14" s="22" t="s">
        <v>11</v>
      </c>
      <c r="C14" s="22"/>
    </row>
    <row r="15" spans="1:53" x14ac:dyDescent="0.2">
      <c r="A15" s="15">
        <v>50</v>
      </c>
      <c r="B15" s="16">
        <f t="shared" ref="B15:B46" si="0">Smin+dS*A15</f>
        <v>100</v>
      </c>
      <c r="C15" s="6">
        <f t="shared" ref="C15:AH15" si="1">$B$15*EXP(-d*(T-C66))-K*EXP(-rate*(T-C66))</f>
        <v>61.097378226499053</v>
      </c>
      <c r="D15" s="6">
        <f t="shared" si="1"/>
        <v>61.095433046781295</v>
      </c>
      <c r="E15" s="6">
        <f t="shared" si="1"/>
        <v>61.09348776980211</v>
      </c>
      <c r="F15" s="6">
        <f t="shared" si="1"/>
        <v>61.091542395556651</v>
      </c>
      <c r="G15" s="6">
        <f t="shared" si="1"/>
        <v>61.089596924040045</v>
      </c>
      <c r="H15" s="6">
        <f t="shared" si="1"/>
        <v>61.087651355247431</v>
      </c>
      <c r="I15" s="6">
        <f t="shared" si="1"/>
        <v>61.085705689173949</v>
      </c>
      <c r="J15" s="6">
        <f t="shared" si="1"/>
        <v>61.083759925814732</v>
      </c>
      <c r="K15" s="6">
        <f t="shared" si="1"/>
        <v>61.081814065164913</v>
      </c>
      <c r="L15" s="6">
        <f t="shared" si="1"/>
        <v>61.079868107219625</v>
      </c>
      <c r="M15" s="6">
        <f t="shared" si="1"/>
        <v>61.077922051974006</v>
      </c>
      <c r="N15" s="6">
        <f t="shared" si="1"/>
        <v>61.075975899423199</v>
      </c>
      <c r="O15" s="6">
        <f t="shared" si="1"/>
        <v>61.074029649562334</v>
      </c>
      <c r="P15" s="6">
        <f t="shared" si="1"/>
        <v>61.072083302386531</v>
      </c>
      <c r="Q15" s="6">
        <f t="shared" si="1"/>
        <v>61.070136857890944</v>
      </c>
      <c r="R15" s="6">
        <f t="shared" si="1"/>
        <v>61.068190316070698</v>
      </c>
      <c r="S15" s="6">
        <f t="shared" si="1"/>
        <v>61.066243676920934</v>
      </c>
      <c r="T15" s="6">
        <f t="shared" si="1"/>
        <v>61.064296940436776</v>
      </c>
      <c r="U15" s="6">
        <f t="shared" si="1"/>
        <v>61.062350106613351</v>
      </c>
      <c r="V15" s="6">
        <f t="shared" si="1"/>
        <v>61.060403175445813</v>
      </c>
      <c r="W15" s="6">
        <f t="shared" si="1"/>
        <v>61.058456146929274</v>
      </c>
      <c r="X15" s="6">
        <f t="shared" si="1"/>
        <v>61.056509021058879</v>
      </c>
      <c r="Y15" s="6">
        <f t="shared" si="1"/>
        <v>61.054561797829763</v>
      </c>
      <c r="Z15" s="6">
        <f t="shared" si="1"/>
        <v>61.052614477237043</v>
      </c>
      <c r="AA15" s="6">
        <f t="shared" si="1"/>
        <v>61.05066705927586</v>
      </c>
      <c r="AB15" s="6">
        <f t="shared" si="1"/>
        <v>61.048719543941345</v>
      </c>
      <c r="AC15" s="6">
        <f t="shared" si="1"/>
        <v>61.046771931228633</v>
      </c>
      <c r="AD15" s="6">
        <f t="shared" si="1"/>
        <v>61.044824221132849</v>
      </c>
      <c r="AE15" s="6">
        <f t="shared" si="1"/>
        <v>61.042876413649125</v>
      </c>
      <c r="AF15" s="6">
        <f t="shared" si="1"/>
        <v>61.040928508772588</v>
      </c>
      <c r="AG15" s="6">
        <f t="shared" si="1"/>
        <v>61.038980506498376</v>
      </c>
      <c r="AH15" s="6">
        <f t="shared" si="1"/>
        <v>61.037032406821616</v>
      </c>
      <c r="AI15" s="6">
        <f t="shared" ref="AI15:BA15" si="2">$B$15*EXP(-d*(T-AI66))-K*EXP(-rate*(T-AI66))</f>
        <v>61.035084209737434</v>
      </c>
      <c r="AJ15" s="6">
        <f t="shared" si="2"/>
        <v>61.033135915240969</v>
      </c>
      <c r="AK15" s="6">
        <f t="shared" si="2"/>
        <v>61.031187523327333</v>
      </c>
      <c r="AL15" s="6">
        <f t="shared" si="2"/>
        <v>61.029239033991672</v>
      </c>
      <c r="AM15" s="6">
        <f t="shared" si="2"/>
        <v>61.027290447229113</v>
      </c>
      <c r="AN15" s="6">
        <f t="shared" si="2"/>
        <v>61.025341763034774</v>
      </c>
      <c r="AO15" s="6">
        <f t="shared" si="2"/>
        <v>61.023392981403788</v>
      </c>
      <c r="AP15" s="6">
        <f t="shared" si="2"/>
        <v>61.021444102331287</v>
      </c>
      <c r="AQ15" s="6">
        <f t="shared" si="2"/>
        <v>61.019495125812398</v>
      </c>
      <c r="AR15" s="6">
        <f t="shared" si="2"/>
        <v>61.017546051842245</v>
      </c>
      <c r="AS15" s="6">
        <f t="shared" si="2"/>
        <v>61.015596880415956</v>
      </c>
      <c r="AT15" s="6">
        <f t="shared" si="2"/>
        <v>61.013647611528661</v>
      </c>
      <c r="AU15" s="6">
        <f t="shared" si="2"/>
        <v>61.011698245175488</v>
      </c>
      <c r="AV15" s="6">
        <f t="shared" si="2"/>
        <v>61.009748781351554</v>
      </c>
      <c r="AW15" s="6">
        <f t="shared" si="2"/>
        <v>61.007799220052</v>
      </c>
      <c r="AX15" s="6">
        <f t="shared" si="2"/>
        <v>61.005849561271937</v>
      </c>
      <c r="AY15" s="6">
        <f t="shared" si="2"/>
        <v>61.003899805006498</v>
      </c>
      <c r="AZ15" s="6">
        <f t="shared" si="2"/>
        <v>61.001949951250815</v>
      </c>
      <c r="BA15" s="6">
        <f t="shared" si="2"/>
        <v>61</v>
      </c>
    </row>
    <row r="16" spans="1:53" x14ac:dyDescent="0.2">
      <c r="A16" s="15">
        <f>A15-1</f>
        <v>49</v>
      </c>
      <c r="B16" s="16">
        <f t="shared" si="0"/>
        <v>98</v>
      </c>
      <c r="C16" s="26">
        <f>('EXP FD A'!C16*EurCall!D15+'EXP FD B'!C16*EurCall!D16+'EXP FD C'!C16*EurCall!D17)/(1+rate*dt)</f>
        <v>59.097377704177759</v>
      </c>
      <c r="D16" s="28">
        <f>('EXP FD A'!D16*EurCall!E15+'EXP FD B'!D16*EurCall!E16+'EXP FD C'!D16*EurCall!E17)/(1+rate*dt)</f>
        <v>59.095432530295653</v>
      </c>
      <c r="E16" s="28">
        <f>('EXP FD A'!E16*EurCall!F15+'EXP FD B'!E16*EurCall!F16+'EXP FD C'!E16*EurCall!F17)/(1+rate*dt)</f>
        <v>59.093487259213063</v>
      </c>
      <c r="F16" s="28">
        <f>('EXP FD A'!F16*EurCall!G15+'EXP FD B'!F16*EurCall!G16+'EXP FD C'!F16*EurCall!G17)/(1+rate*dt)</f>
        <v>59.091541890925313</v>
      </c>
      <c r="G16" s="28">
        <f>('EXP FD A'!G16*EurCall!H15+'EXP FD B'!G16*EurCall!H16+'EXP FD C'!G16*EurCall!H17)/(1+rate*dt)</f>
        <v>59.089596425428333</v>
      </c>
      <c r="H16" s="28">
        <f>('EXP FD A'!H16*EurCall!I15+'EXP FD B'!H16*EurCall!I16+'EXP FD C'!H16*EurCall!I17)/(1+rate*dt)</f>
        <v>59.087650862718441</v>
      </c>
      <c r="I16" s="28">
        <f>('EXP FD A'!I16*EurCall!J15+'EXP FD B'!I16*EurCall!J16+'EXP FD C'!I16*EurCall!J17)/(1+rate*dt)</f>
        <v>59.085705202792361</v>
      </c>
      <c r="J16" s="28">
        <f>('EXP FD A'!J16*EurCall!K15+'EXP FD B'!J16*EurCall!K16+'EXP FD C'!J16*EurCall!K17)/(1+rate*dt)</f>
        <v>59.083759445647068</v>
      </c>
      <c r="K16" s="28">
        <f>('EXP FD A'!K16*EurCall!L15+'EXP FD B'!K16*EurCall!L16+'EXP FD C'!K16*EurCall!L17)/(1+rate*dt)</f>
        <v>59.081813591279797</v>
      </c>
      <c r="L16" s="28">
        <f>('EXP FD A'!L16*EurCall!M15+'EXP FD B'!L16*EurCall!M16+'EXP FD C'!L16*EurCall!M17)/(1+rate*dt)</f>
        <v>59.079867639687983</v>
      </c>
      <c r="M16" s="28">
        <f>('EXP FD A'!M16*EurCall!N15+'EXP FD B'!M16*EurCall!N16+'EXP FD C'!M16*EurCall!N17)/(1+rate*dt)</f>
        <v>59.077921590869281</v>
      </c>
      <c r="N16" s="28">
        <f>('EXP FD A'!N16*EurCall!O15+'EXP FD B'!N16*EurCall!O16+'EXP FD C'!N16*EurCall!O17)/(1+rate*dt)</f>
        <v>59.075975444821474</v>
      </c>
      <c r="O16" s="28">
        <f>('EXP FD A'!O16*EurCall!P15+'EXP FD B'!O16*EurCall!P16+'EXP FD C'!O16*EurCall!P17)/(1+rate*dt)</f>
        <v>59.074029201542587</v>
      </c>
      <c r="P16" s="28">
        <f>('EXP FD A'!P16*EurCall!Q15+'EXP FD B'!P16*EurCall!Q16+'EXP FD C'!P16*EurCall!Q17)/(1+rate*dt)</f>
        <v>59.07208286103085</v>
      </c>
      <c r="Q16" s="28">
        <f>('EXP FD A'!Q16*EurCall!R15+'EXP FD B'!Q16*EurCall!R16+'EXP FD C'!Q16*EurCall!R17)/(1+rate*dt)</f>
        <v>59.070136423284666</v>
      </c>
      <c r="R16" s="28">
        <f>('EXP FD A'!R16*EurCall!S15+'EXP FD B'!R16*EurCall!S16+'EXP FD C'!R16*EurCall!S17)/(1+rate*dt)</f>
        <v>59.068189888302683</v>
      </c>
      <c r="S16" s="28">
        <f>('EXP FD A'!S16*EurCall!T15+'EXP FD B'!S16*EurCall!T16+'EXP FD C'!S16*EurCall!T17)/(1+rate*dt)</f>
        <v>59.066243256083816</v>
      </c>
      <c r="T16" s="28">
        <f>('EXP FD A'!T16*EurCall!U15+'EXP FD B'!T16*EurCall!U16+'EXP FD C'!T16*EurCall!U17)/(1+rate*dt)</f>
        <v>59.064296526627231</v>
      </c>
      <c r="U16" s="28">
        <f>('EXP FD A'!U16*EurCall!V15+'EXP FD B'!U16*EurCall!V16+'EXP FD C'!U16*EurCall!V17)/(1+rate*dt)</f>
        <v>59.062349699932426</v>
      </c>
      <c r="V16" s="28">
        <f>('EXP FD A'!V16*EurCall!W15+'EXP FD B'!V16*EurCall!W16+'EXP FD C'!V16*EurCall!W17)/(1+rate*dt)</f>
        <v>59.060402775999194</v>
      </c>
      <c r="W16" s="28">
        <f>('EXP FD A'!W16*EurCall!X15+'EXP FD B'!W16*EurCall!X16+'EXP FD C'!W16*EurCall!X17)/(1+rate*dt)</f>
        <v>59.058455754827762</v>
      </c>
      <c r="X16" s="28">
        <f>('EXP FD A'!X16*EurCall!Y15+'EXP FD B'!X16*EurCall!Y16+'EXP FD C'!X16*EurCall!Y17)/(1+rate*dt)</f>
        <v>59.056508636418691</v>
      </c>
      <c r="Y16" s="28">
        <f>('EXP FD A'!Y16*EurCall!Z15+'EXP FD B'!Y16*EurCall!Z16+'EXP FD C'!Y16*EurCall!Z17)/(1+rate*dt)</f>
        <v>59.05456142077314</v>
      </c>
      <c r="Z16" s="28">
        <f>('EXP FD A'!Z16*EurCall!AA15+'EXP FD B'!Z16*EurCall!AA16+'EXP FD C'!Z16*EurCall!AA17)/(1+rate*dt)</f>
        <v>59.052614107892587</v>
      </c>
      <c r="AA16" s="28">
        <f>('EXP FD A'!AA16*EurCall!AB15+'EXP FD B'!AA16*EurCall!AB16+'EXP FD C'!AA16*EurCall!AB17)/(1+rate*dt)</f>
        <v>59.050666697779427</v>
      </c>
      <c r="AB16" s="28">
        <f>('EXP FD A'!AB16*EurCall!AC15+'EXP FD B'!AB16*EurCall!AC16+'EXP FD C'!AB16*EurCall!AC17)/(1+rate*dt)</f>
        <v>59.048719190436259</v>
      </c>
      <c r="AC16" s="28">
        <f>('EXP FD A'!AC16*EurCall!AD15+'EXP FD B'!AC16*EurCall!AD16+'EXP FD C'!AC16*EurCall!AD17)/(1+rate*dt)</f>
        <v>59.046771585867127</v>
      </c>
      <c r="AD16" s="28">
        <f>('EXP FD A'!AD16*EurCall!AE15+'EXP FD B'!AD16*EurCall!AE16+'EXP FD C'!AD16*EurCall!AE17)/(1+rate*dt)</f>
        <v>59.044823884075925</v>
      </c>
      <c r="AE16" s="28">
        <f>('EXP FD A'!AE16*EurCall!AF15+'EXP FD B'!AE16*EurCall!AF16+'EXP FD C'!AE16*EurCall!AF17)/(1+rate*dt)</f>
        <v>59.042876085069075</v>
      </c>
      <c r="AF16" s="28">
        <f>('EXP FD A'!AF16*EurCall!AG15+'EXP FD B'!AF16*EurCall!AG16+'EXP FD C'!AF16*EurCall!AG17)/(1+rate*dt)</f>
        <v>59.040928188851964</v>
      </c>
      <c r="AG16" s="28">
        <f>('EXP FD A'!AG16*EurCall!AH15+'EXP FD B'!AG16*EurCall!AH16+'EXP FD C'!AG16*EurCall!AH17)/(1+rate*dt)</f>
        <v>59.038980195434611</v>
      </c>
      <c r="AH16" s="28">
        <f>('EXP FD A'!AH16*EurCall!AI15+'EXP FD B'!AH16*EurCall!AI16+'EXP FD C'!AH16*EurCall!AI17)/(1+rate*dt)</f>
        <v>59.037032104823723</v>
      </c>
      <c r="AI16" s="28">
        <f>('EXP FD A'!AI16*EurCall!AJ15+'EXP FD B'!AI16*EurCall!AJ16+'EXP FD C'!AI16*EurCall!AJ17)/(1+rate*dt)</f>
        <v>59.035083917035188</v>
      </c>
      <c r="AJ16" s="28">
        <f>('EXP FD A'!AJ16*EurCall!AK15+'EXP FD B'!AJ16*EurCall!AK16+'EXP FD C'!AJ16*EurCall!AK17)/(1+rate*dt)</f>
        <v>59.033135632076345</v>
      </c>
      <c r="AK16" s="28">
        <f>('EXP FD A'!AK16*EurCall!AL15+'EXP FD B'!AK16*EurCall!AL16+'EXP FD C'!AK16*EurCall!AL17)/(1+rate*dt)</f>
        <v>59.03118724997325</v>
      </c>
      <c r="AL16" s="28">
        <f>('EXP FD A'!AL16*EurCall!AM15+'EXP FD B'!AL16*EurCall!AM16+'EXP FD C'!AL16*EurCall!AM17)/(1+rate*dt)</f>
        <v>59.029238770731517</v>
      </c>
      <c r="AM16" s="28">
        <f>('EXP FD A'!AM16*EurCall!AN15+'EXP FD B'!AM16*EurCall!AN16+'EXP FD C'!AM16*EurCall!AN17)/(1+rate*dt)</f>
        <v>59.027290194395988</v>
      </c>
      <c r="AN16" s="28">
        <f>('EXP FD A'!AN16*EurCall!AO15+'EXP FD B'!AN16*EurCall!AO16+'EXP FD C'!AN16*EurCall!AO17)/(1+rate*dt)</f>
        <v>59.025341520964332</v>
      </c>
      <c r="AO16" s="28">
        <f>('EXP FD A'!AO16*EurCall!AP15+'EXP FD B'!AO16*EurCall!AP16+'EXP FD C'!AO16*EurCall!AP17)/(1+rate*dt)</f>
        <v>59.023392750518163</v>
      </c>
      <c r="AP16" s="28">
        <f>('EXP FD A'!AP16*EurCall!AQ15+'EXP FD B'!AP16*EurCall!AQ16+'EXP FD C'!AP16*EurCall!AQ17)/(1+rate*dt)</f>
        <v>59.021443883032013</v>
      </c>
      <c r="AQ16" s="28">
        <f>('EXP FD A'!AQ16*EurCall!AR15+'EXP FD B'!AQ16*EurCall!AR16+'EXP FD C'!AQ16*EurCall!AR17)/(1+rate*dt)</f>
        <v>59.019494918662744</v>
      </c>
      <c r="AR16" s="28">
        <f>('EXP FD A'!AR16*EurCall!AS15+'EXP FD B'!AR16*EurCall!AS16+'EXP FD C'!AR16*EurCall!AS17)/(1+rate*dt)</f>
        <v>59.017545857325885</v>
      </c>
      <c r="AS16" s="28">
        <f>('EXP FD A'!AS16*EurCall!AT15+'EXP FD B'!AS16*EurCall!AT16+'EXP FD C'!AS16*EurCall!AT17)/(1+rate*dt)</f>
        <v>59.015596699339483</v>
      </c>
      <c r="AT16" s="28">
        <f>('EXP FD A'!AT16*EurCall!AU15+'EXP FD B'!AT16*EurCall!AU16+'EXP FD C'!AT16*EurCall!AU17)/(1+rate*dt)</f>
        <v>59.013647444475502</v>
      </c>
      <c r="AU16" s="28">
        <f>('EXP FD A'!AU16*EurCall!AV15+'EXP FD B'!AU16*EurCall!AV16+'EXP FD C'!AU16*EurCall!AV17)/(1+rate*dt)</f>
        <v>59.01169809341696</v>
      </c>
      <c r="AV16" s="28">
        <f>('EXP FD A'!AV16*EurCall!AW15+'EXP FD B'!AV16*EurCall!AW16+'EXP FD C'!AV16*EurCall!AW17)/(1+rate*dt)</f>
        <v>59.009748645586562</v>
      </c>
      <c r="AW16" s="28">
        <f>('EXP FD A'!AW16*EurCall!AX15+'EXP FD B'!AW16*EurCall!AX16+'EXP FD C'!AW16*EurCall!AX17)/(1+rate*dt)</f>
        <v>59.007799102576868</v>
      </c>
      <c r="AX16" s="28">
        <f>('EXP FD A'!AX16*EurCall!AY15+'EXP FD B'!AX16*EurCall!AY16+'EXP FD C'!AX16*EurCall!AY17)/(1+rate*dt)</f>
        <v>59.00584946290828</v>
      </c>
      <c r="AY16" s="28">
        <f>('EXP FD A'!AY16*EurCall!AZ15+'EXP FD B'!AY16*EurCall!AZ16+'EXP FD C'!AY16*EurCall!AZ17)/(1+rate*dt)</f>
        <v>59.003899730985829</v>
      </c>
      <c r="AZ16" s="28">
        <f>('EXP FD A'!AZ16*EurCall!BA15+'EXP FD B'!AZ16*EurCall!BA16+'EXP FD C'!AZ16*EurCall!BA17)/(1+rate*dt)</f>
        <v>59.001949902504869</v>
      </c>
      <c r="BA16" s="6">
        <f t="shared" ref="BA16:BA47" si="3">MAX(B16-K,0)</f>
        <v>59</v>
      </c>
    </row>
    <row r="17" spans="1:53" x14ac:dyDescent="0.2">
      <c r="A17" s="15">
        <f t="shared" ref="A17:A65" si="4">A16-1</f>
        <v>48</v>
      </c>
      <c r="B17" s="16">
        <f t="shared" si="0"/>
        <v>96</v>
      </c>
      <c r="C17" s="26">
        <f>('EXP FD A'!C17*EurCall!D16+'EXP FD B'!C17*EurCall!D17+'EXP FD C'!C17*EurCall!D18)/(1+rate*dt)</f>
        <v>57.097377268596645</v>
      </c>
      <c r="D17" s="28">
        <f>('EXP FD A'!D17*EurCall!E16+'EXP FD B'!D17*EurCall!E17+'EXP FD C'!D17*EurCall!E18)/(1+rate*dt)</f>
        <v>57.095432100457387</v>
      </c>
      <c r="E17" s="28">
        <f>('EXP FD A'!E17*EurCall!F16+'EXP FD B'!E17*EurCall!F17+'EXP FD C'!E17*EurCall!F18)/(1+rate*dt)</f>
        <v>57.09348683518003</v>
      </c>
      <c r="F17" s="28">
        <f>('EXP FD A'!F17*EurCall!G16+'EXP FD B'!F17*EurCall!G17+'EXP FD C'!F17*EurCall!G18)/(1+rate*dt)</f>
        <v>57.091541472758557</v>
      </c>
      <c r="G17" s="28">
        <f>('EXP FD A'!G17*EurCall!H16+'EXP FD B'!G17*EurCall!H17+'EXP FD C'!G17*EurCall!H18)/(1+rate*dt)</f>
        <v>57.089596013188441</v>
      </c>
      <c r="H17" s="28">
        <f>('EXP FD A'!H17*EurCall!I16+'EXP FD B'!H17*EurCall!I17+'EXP FD C'!H17*EurCall!I18)/(1+rate*dt)</f>
        <v>57.087650456466342</v>
      </c>
      <c r="I17" s="28">
        <f>('EXP FD A'!I17*EurCall!J16+'EXP FD B'!I17*EurCall!J17+'EXP FD C'!I17*EurCall!J18)/(1+rate*dt)</f>
        <v>57.085704802589774</v>
      </c>
      <c r="J17" s="28">
        <f>('EXP FD A'!J17*EurCall!K16+'EXP FD B'!J17*EurCall!K17+'EXP FD C'!J17*EurCall!K18)/(1+rate*dt)</f>
        <v>57.083759051557017</v>
      </c>
      <c r="K17" s="28">
        <f>('EXP FD A'!K17*EurCall!L16+'EXP FD B'!K17*EurCall!L17+'EXP FD C'!K17*EurCall!L18)/(1+rate*dt)</f>
        <v>57.081813203366885</v>
      </c>
      <c r="L17" s="28">
        <f>('EXP FD A'!L17*EurCall!M16+'EXP FD B'!L17*EurCall!M17+'EXP FD C'!L17*EurCall!M18)/(1+rate*dt)</f>
        <v>57.079867258018723</v>
      </c>
      <c r="M17" s="28">
        <f>('EXP FD A'!M17*EurCall!N16+'EXP FD B'!M17*EurCall!N17+'EXP FD C'!M17*EurCall!N18)/(1+rate*dt)</f>
        <v>57.07792121551222</v>
      </c>
      <c r="N17" s="28">
        <f>('EXP FD A'!N17*EurCall!O16+'EXP FD B'!N17*EurCall!O17+'EXP FD C'!N17*EurCall!O18)/(1+rate*dt)</f>
        <v>57.075975075847545</v>
      </c>
      <c r="O17" s="28">
        <f>('EXP FD A'!O17*EurCall!P16+'EXP FD B'!O17*EurCall!P17+'EXP FD C'!O17*EurCall!P18)/(1+rate*dt)</f>
        <v>57.074028839025182</v>
      </c>
      <c r="P17" s="28">
        <f>('EXP FD A'!P17*EurCall!Q16+'EXP FD B'!P17*EurCall!Q17+'EXP FD C'!P17*EurCall!Q18)/(1+rate*dt)</f>
        <v>57.072082505046026</v>
      </c>
      <c r="Q17" s="28">
        <f>('EXP FD A'!Q17*EurCall!R16+'EXP FD B'!Q17*EurCall!R17+'EXP FD C'!Q17*EurCall!R18)/(1+rate*dt)</f>
        <v>57.070136073911343</v>
      </c>
      <c r="R17" s="28">
        <f>('EXP FD A'!R17*EurCall!S16+'EXP FD B'!R17*EurCall!S17+'EXP FD C'!R17*EurCall!S18)/(1+rate*dt)</f>
        <v>57.068189545622865</v>
      </c>
      <c r="S17" s="28">
        <f>('EXP FD A'!S17*EurCall!T16+'EXP FD B'!S17*EurCall!T17+'EXP FD C'!S17*EurCall!T18)/(1+rate*dt)</f>
        <v>57.066242920182731</v>
      </c>
      <c r="T17" s="28">
        <f>('EXP FD A'!T17*EurCall!U16+'EXP FD B'!T17*EurCall!U17+'EXP FD C'!T17*EurCall!U18)/(1+rate*dt)</f>
        <v>57.064296197593642</v>
      </c>
      <c r="U17" s="28">
        <f>('EXP FD A'!U17*EurCall!V16+'EXP FD B'!U17*EurCall!V17+'EXP FD C'!U17*EurCall!V18)/(1+rate*dt)</f>
        <v>57.06234937785878</v>
      </c>
      <c r="V17" s="28">
        <f>('EXP FD A'!V17*EurCall!W16+'EXP FD B'!V17*EurCall!W17+'EXP FD C'!V17*EurCall!W18)/(1+rate*dt)</f>
        <v>57.060402460982012</v>
      </c>
      <c r="W17" s="28">
        <f>('EXP FD A'!W17*EurCall!X16+'EXP FD B'!W17*EurCall!X17+'EXP FD C'!W17*EurCall!X18)/(1+rate*dt)</f>
        <v>57.05845544696777</v>
      </c>
      <c r="X17" s="28">
        <f>('EXP FD A'!X17*EurCall!Y16+'EXP FD B'!X17*EurCall!Y17+'EXP FD C'!X17*EurCall!Y18)/(1+rate*dt)</f>
        <v>57.056508335821405</v>
      </c>
      <c r="Y17" s="28">
        <f>('EXP FD A'!Y17*EurCall!Z16+'EXP FD B'!Y17*EurCall!Z17+'EXP FD C'!Y17*EurCall!Z18)/(1+rate*dt)</f>
        <v>57.054561127548837</v>
      </c>
      <c r="Z17" s="28">
        <f>('EXP FD A'!Z17*EurCall!AA16+'EXP FD B'!Z17*EurCall!AA17+'EXP FD C'!Z17*EurCall!AA18)/(1+rate*dt)</f>
        <v>57.052613822157305</v>
      </c>
      <c r="AA17" s="28">
        <f>('EXP FD A'!AA17*EurCall!AB16+'EXP FD B'!AA17*EurCall!AB17+'EXP FD C'!AA17*EurCall!AB18)/(1+rate*dt)</f>
        <v>57.050666419654569</v>
      </c>
      <c r="AB17" s="28">
        <f>('EXP FD A'!AB17*EurCall!AC16+'EXP FD B'!AB17*EurCall!AC17+'EXP FD C'!AB17*EurCall!AC18)/(1+rate*dt)</f>
        <v>57.048718920050305</v>
      </c>
      <c r="AC17" s="28">
        <f>('EXP FD A'!AC17*EurCall!AD16+'EXP FD B'!AC17*EurCall!AD17+'EXP FD C'!AC17*EurCall!AD18)/(1+rate*dt)</f>
        <v>57.046771323354477</v>
      </c>
      <c r="AD17" s="28">
        <f>('EXP FD A'!AD17*EurCall!AE16+'EXP FD B'!AD17*EurCall!AE17+'EXP FD C'!AD17*EurCall!AE18)/(1+rate*dt)</f>
        <v>57.044823629580108</v>
      </c>
      <c r="AE17" s="28">
        <f>('EXP FD A'!AE17*EurCall!AF16+'EXP FD B'!AE17*EurCall!AF17+'EXP FD C'!AE17*EurCall!AF18)/(1+rate*dt)</f>
        <v>57.042875838739739</v>
      </c>
      <c r="AF17" s="28">
        <f>('EXP FD A'!AF17*EurCall!AG16+'EXP FD B'!AF17*EurCall!AG17+'EXP FD C'!AF17*EurCall!AG18)/(1+rate*dt)</f>
        <v>57.040927950851213</v>
      </c>
      <c r="AG17" s="28">
        <f>('EXP FD A'!AG17*EurCall!AH16+'EXP FD B'!AG17*EurCall!AH17+'EXP FD C'!AG17*EurCall!AH18)/(1+rate*dt)</f>
        <v>57.038979965929791</v>
      </c>
      <c r="AH17" s="28">
        <f>('EXP FD A'!AH17*EurCall!AI16+'EXP FD B'!AH17*EurCall!AI17+'EXP FD C'!AH17*EurCall!AI18)/(1+rate*dt)</f>
        <v>57.037031884000776</v>
      </c>
      <c r="AI17" s="28">
        <f>('EXP FD A'!AI17*EurCall!AJ16+'EXP FD B'!AI17*EurCall!AJ17+'EXP FD C'!AI17*EurCall!AJ18)/(1+rate*dt)</f>
        <v>57.035083705081746</v>
      </c>
      <c r="AJ17" s="28">
        <f>('EXP FD A'!AJ17*EurCall!AK16+'EXP FD B'!AJ17*EurCall!AK17+'EXP FD C'!AJ17*EurCall!AK18)/(1+rate*dt)</f>
        <v>57.033135429210162</v>
      </c>
      <c r="AK17" s="28">
        <f>('EXP FD A'!AK17*EurCall!AL16+'EXP FD B'!AK17*EurCall!AL17+'EXP FD C'!AK17*EurCall!AL18)/(1+rate*dt)</f>
        <v>57.0311870564041</v>
      </c>
      <c r="AL17" s="28">
        <f>('EXP FD A'!AL17*EurCall!AM16+'EXP FD B'!AL17*EurCall!AM17+'EXP FD C'!AL17*EurCall!AM18)/(1+rate*dt)</f>
        <v>57.029238586722379</v>
      </c>
      <c r="AM17" s="28">
        <f>('EXP FD A'!AM17*EurCall!AN16+'EXP FD B'!AM17*EurCall!AN17+'EXP FD C'!AM17*EurCall!AN18)/(1+rate*dt)</f>
        <v>57.027290020177887</v>
      </c>
      <c r="AN17" s="28">
        <f>('EXP FD A'!AN17*EurCall!AO16+'EXP FD B'!AN17*EurCall!AO17+'EXP FD C'!AN17*EurCall!AO18)/(1+rate*dt)</f>
        <v>57.025341356869383</v>
      </c>
      <c r="AO17" s="28">
        <f>('EXP FD A'!AO17*EurCall!AP16+'EXP FD B'!AO17*EurCall!AP17+'EXP FD C'!AO17*EurCall!AP18)/(1+rate*dt)</f>
        <v>57.023392596790124</v>
      </c>
      <c r="AP17" s="28">
        <f>('EXP FD A'!AP17*EurCall!AQ16+'EXP FD B'!AP17*EurCall!AQ17+'EXP FD C'!AP17*EurCall!AQ18)/(1+rate*dt)</f>
        <v>57.021443740117519</v>
      </c>
      <c r="AQ17" s="28">
        <f>('EXP FD A'!AQ17*EurCall!AR16+'EXP FD B'!AQ17*EurCall!AR17+'EXP FD C'!AQ17*EurCall!AR18)/(1+rate*dt)</f>
        <v>57.019494786790304</v>
      </c>
      <c r="AR17" s="28">
        <f>('EXP FD A'!AR17*EurCall!AS16+'EXP FD B'!AR17*EurCall!AS17+'EXP FD C'!AR17*EurCall!AS18)/(1+rate*dt)</f>
        <v>57.017545737147927</v>
      </c>
      <c r="AS17" s="28">
        <f>('EXP FD A'!AS17*EurCall!AT16+'EXP FD B'!AS17*EurCall!AT17+'EXP FD C'!AS17*EurCall!AT18)/(1+rate*dt)</f>
        <v>57.015596590992573</v>
      </c>
      <c r="AT17" s="28">
        <f>('EXP FD A'!AT17*EurCall!AU16+'EXP FD B'!AT17*EurCall!AU17+'EXP FD C'!AT17*EurCall!AU18)/(1+rate*dt)</f>
        <v>57.013647349012039</v>
      </c>
      <c r="AU17" s="28">
        <f>('EXP FD A'!AU17*EurCall!AV16+'EXP FD B'!AU17*EurCall!AV17+'EXP FD C'!AU17*EurCall!AV18)/(1+rate*dt)</f>
        <v>57.011698010678664</v>
      </c>
      <c r="AV17" s="28">
        <f>('EXP FD A'!AV17*EurCall!AW16+'EXP FD B'!AV17*EurCall!AW17+'EXP FD C'!AV17*EurCall!AW18)/(1+rate*dt)</f>
        <v>57.009748577471129</v>
      </c>
      <c r="AW17" s="28">
        <f>('EXP FD A'!AW17*EurCall!AX16+'EXP FD B'!AW17*EurCall!AX17+'EXP FD C'!AW17*EurCall!AX18)/(1+rate*dt)</f>
        <v>57.007799048057358</v>
      </c>
      <c r="AX17" s="28">
        <f>('EXP FD A'!AX17*EurCall!AY16+'EXP FD B'!AX17*EurCall!AY17+'EXP FD C'!AX17*EurCall!AY18)/(1+rate*dt)</f>
        <v>57.005849425889636</v>
      </c>
      <c r="AY17" s="28">
        <f>('EXP FD A'!AY17*EurCall!AZ16+'EXP FD B'!AY17*EurCall!AZ17+'EXP FD C'!AY17*EurCall!AZ18)/(1+rate*dt)</f>
        <v>57.00389970751948</v>
      </c>
      <c r="AZ17" s="28">
        <f>('EXP FD A'!AZ17*EurCall!BA16+'EXP FD B'!AZ17*EurCall!BA17+'EXP FD C'!AZ17*EurCall!BA18)/(1+rate*dt)</f>
        <v>57.001949902504869</v>
      </c>
      <c r="BA17" s="6">
        <f t="shared" si="3"/>
        <v>57</v>
      </c>
    </row>
    <row r="18" spans="1:53" x14ac:dyDescent="0.2">
      <c r="A18" s="15">
        <f t="shared" si="4"/>
        <v>47</v>
      </c>
      <c r="B18" s="16">
        <f t="shared" si="0"/>
        <v>94</v>
      </c>
      <c r="C18" s="26">
        <f>('EXP FD A'!C18*EurCall!D17+'EXP FD B'!C18*EurCall!D18+'EXP FD C'!C18*EurCall!D19)/(1+rate*dt)</f>
        <v>55.097376911520143</v>
      </c>
      <c r="D18" s="28">
        <f>('EXP FD A'!D18*EurCall!E17+'EXP FD B'!D18*EurCall!E18+'EXP FD C'!D18*EurCall!E19)/(1+rate*dt)</f>
        <v>55.095431748885197</v>
      </c>
      <c r="E18" s="28">
        <f>('EXP FD A'!E18*EurCall!F17+'EXP FD B'!E18*EurCall!F18+'EXP FD C'!E18*EurCall!F19)/(1+rate*dt)</f>
        <v>55.093486489181608</v>
      </c>
      <c r="F18" s="28">
        <f>('EXP FD A'!F18*EurCall!G17+'EXP FD B'!F18*EurCall!G18+'EXP FD C'!F18*EurCall!G19)/(1+rate*dt)</f>
        <v>55.091541132397786</v>
      </c>
      <c r="G18" s="28">
        <f>('EXP FD A'!G18*EurCall!H17+'EXP FD B'!G18*EurCall!H18+'EXP FD C'!G18*EurCall!H19)/(1+rate*dt)</f>
        <v>55.089595678525541</v>
      </c>
      <c r="H18" s="28">
        <f>('EXP FD A'!H18*EurCall!I17+'EXP FD B'!H18*EurCall!I18+'EXP FD C'!H18*EurCall!I19)/(1+rate*dt)</f>
        <v>55.087650127559243</v>
      </c>
      <c r="I18" s="28">
        <f>('EXP FD A'!I18*EurCall!J17+'EXP FD B'!I18*EurCall!J18+'EXP FD C'!I18*EurCall!J19)/(1+rate*dt)</f>
        <v>55.085704479495341</v>
      </c>
      <c r="J18" s="28">
        <f>('EXP FD A'!J18*EurCall!K17+'EXP FD B'!J18*EurCall!K18+'EXP FD C'!J18*EurCall!K19)/(1+rate*dt)</f>
        <v>55.083758734331788</v>
      </c>
      <c r="K18" s="28">
        <f>('EXP FD A'!K18*EurCall!L17+'EXP FD B'!K18*EurCall!L18+'EXP FD C'!K18*EurCall!L19)/(1+rate*dt)</f>
        <v>55.081812892067816</v>
      </c>
      <c r="L18" s="28">
        <f>('EXP FD A'!L18*EurCall!M17+'EXP FD B'!L18*EurCall!M18+'EXP FD C'!L18*EurCall!M19)/(1+rate*dt)</f>
        <v>55.07986695270354</v>
      </c>
      <c r="M18" s="28">
        <f>('EXP FD A'!M18*EurCall!N17+'EXP FD B'!M18*EurCall!N18+'EXP FD C'!M18*EurCall!N19)/(1+rate*dt)</f>
        <v>55.077920916239904</v>
      </c>
      <c r="N18" s="28">
        <f>('EXP FD A'!N18*EurCall!O17+'EXP FD B'!N18*EurCall!O18+'EXP FD C'!N18*EurCall!O19)/(1+rate*dt)</f>
        <v>55.0759747826785</v>
      </c>
      <c r="O18" s="28">
        <f>('EXP FD A'!O18*EurCall!P17+'EXP FD B'!O18*EurCall!P18+'EXP FD C'!O18*EurCall!P19)/(1+rate*dt)</f>
        <v>55.074028552021531</v>
      </c>
      <c r="P18" s="28">
        <f>('EXP FD A'!P18*EurCall!Q17+'EXP FD B'!P18*EurCall!Q18+'EXP FD C'!P18*EurCall!Q19)/(1+rate*dt)</f>
        <v>55.072082224271718</v>
      </c>
      <c r="Q18" s="28">
        <f>('EXP FD A'!Q18*EurCall!R17+'EXP FD B'!Q18*EurCall!R18+'EXP FD C'!Q18*EurCall!R19)/(1+rate*dt)</f>
        <v>55.070135799432371</v>
      </c>
      <c r="R18" s="28">
        <f>('EXP FD A'!R18*EurCall!S17+'EXP FD B'!R18*EurCall!S18+'EXP FD C'!R18*EurCall!S19)/(1+rate*dt)</f>
        <v>55.068189277507351</v>
      </c>
      <c r="S18" s="28">
        <f>('EXP FD A'!S18*EurCall!T17+'EXP FD B'!S18*EurCall!T18+'EXP FD C'!S18*EurCall!T19)/(1+rate*dt)</f>
        <v>55.066242658501089</v>
      </c>
      <c r="T18" s="28">
        <f>('EXP FD A'!T18*EurCall!U17+'EXP FD B'!T18*EurCall!U18+'EXP FD C'!T18*EurCall!U19)/(1+rate*dt)</f>
        <v>55.064295942418696</v>
      </c>
      <c r="U18" s="28">
        <f>('EXP FD A'!U18*EurCall!V17+'EXP FD B'!U18*EurCall!V18+'EXP FD C'!U18*EurCall!V19)/(1+rate*dt)</f>
        <v>55.062349129265932</v>
      </c>
      <c r="V18" s="28">
        <f>('EXP FD A'!V18*EurCall!W17+'EXP FD B'!V18*EurCall!W18+'EXP FD C'!V18*EurCall!W19)/(1+rate*dt)</f>
        <v>55.060402219049308</v>
      </c>
      <c r="W18" s="28">
        <f>('EXP FD A'!W18*EurCall!X17+'EXP FD B'!W18*EurCall!X18+'EXP FD C'!W18*EurCall!X19)/(1+rate*dt)</f>
        <v>55.058455211776263</v>
      </c>
      <c r="X18" s="28">
        <f>('EXP FD A'!X18*EurCall!Y17+'EXP FD B'!X18*EurCall!Y18+'EXP FD C'!X18*EurCall!Y19)/(1+rate*dt)</f>
        <v>55.056508107454945</v>
      </c>
      <c r="Y18" s="28">
        <f>('EXP FD A'!Y18*EurCall!Z17+'EXP FD B'!Y18*EurCall!Z18+'EXP FD C'!Y18*EurCall!Z19)/(1+rate*dt)</f>
        <v>55.054560906094821</v>
      </c>
      <c r="Z18" s="28">
        <f>('EXP FD A'!Z18*EurCall!AA17+'EXP FD B'!Z18*EurCall!AA18+'EXP FD C'!Z18*EurCall!AA19)/(1+rate*dt)</f>
        <v>55.052613607706085</v>
      </c>
      <c r="AA18" s="28">
        <f>('EXP FD A'!AA18*EurCall!AB17+'EXP FD B'!AA18*EurCall!AB18+'EXP FD C'!AA18*EurCall!AB19)/(1+rate*dt)</f>
        <v>55.050666212300705</v>
      </c>
      <c r="AB18" s="28">
        <f>('EXP FD A'!AB18*EurCall!AC17+'EXP FD B'!AB18*EurCall!AC18+'EXP FD C'!AB18*EurCall!AC19)/(1+rate*dt)</f>
        <v>55.048718719891347</v>
      </c>
      <c r="AC18" s="28">
        <f>('EXP FD A'!AC18*EurCall!AD17+'EXP FD B'!AC18*EurCall!AD18+'EXP FD C'!AC18*EurCall!AD19)/(1+rate*dt)</f>
        <v>55.046771130493276</v>
      </c>
      <c r="AD18" s="28">
        <f>('EXP FD A'!AD18*EurCall!AE17+'EXP FD B'!AD18*EurCall!AE18+'EXP FD C'!AD18*EurCall!AE19)/(1+rate*dt)</f>
        <v>55.044823444122052</v>
      </c>
      <c r="AE18" s="28">
        <f>('EXP FD A'!AE18*EurCall!AF17+'EXP FD B'!AE18*EurCall!AF18+'EXP FD C'!AE18*EurCall!AF19)/(1+rate*dt)</f>
        <v>55.042875660797399</v>
      </c>
      <c r="AF18" s="28">
        <f>('EXP FD A'!AF18*EurCall!AG17+'EXP FD B'!AF18*EurCall!AG18+'EXP FD C'!AF18*EurCall!AG19)/(1+rate*dt)</f>
        <v>55.040927780538155</v>
      </c>
      <c r="AG18" s="28">
        <f>('EXP FD A'!AG18*EurCall!AH17+'EXP FD B'!AG18*EurCall!AH18+'EXP FD C'!AG18*EurCall!AH19)/(1+rate*dt)</f>
        <v>55.038979803370495</v>
      </c>
      <c r="AH18" s="28">
        <f>('EXP FD A'!AH18*EurCall!AI17+'EXP FD B'!AH18*EurCall!AI18+'EXP FD C'!AH18*EurCall!AI19)/(1+rate*dt)</f>
        <v>55.037031729316539</v>
      </c>
      <c r="AI18" s="28">
        <f>('EXP FD A'!AI18*EurCall!AJ17+'EXP FD B'!AI18*EurCall!AJ18+'EXP FD C'!AI18*EurCall!AJ19)/(1+rate*dt)</f>
        <v>55.035083558412346</v>
      </c>
      <c r="AJ18" s="28">
        <f>('EXP FD A'!AJ18*EurCall!AK17+'EXP FD B'!AJ18*EurCall!AK18+'EXP FD C'!AJ18*EurCall!AK19)/(1+rate*dt)</f>
        <v>55.033135290682445</v>
      </c>
      <c r="AK18" s="28">
        <f>('EXP FD A'!AK18*EurCall!AL17+'EXP FD B'!AK18*EurCall!AL18+'EXP FD C'!AK18*EurCall!AL19)/(1+rate*dt)</f>
        <v>55.031186926179082</v>
      </c>
      <c r="AL18" s="28">
        <f>('EXP FD A'!AL18*EurCall!AM17+'EXP FD B'!AL18*EurCall!AM18+'EXP FD C'!AL18*EurCall!AM19)/(1+rate*dt)</f>
        <v>55.029238464925868</v>
      </c>
      <c r="AM18" s="28">
        <f>('EXP FD A'!AM18*EurCall!AN17+'EXP FD B'!AM18*EurCall!AN18+'EXP FD C'!AM18*EurCall!AN19)/(1+rate*dt)</f>
        <v>55.027289907003542</v>
      </c>
      <c r="AN18" s="28">
        <f>('EXP FD A'!AN18*EurCall!AO17+'EXP FD B'!AN18*EurCall!AO18+'EXP FD C'!AN18*EurCall!AO19)/(1+rate*dt)</f>
        <v>55.025341252425626</v>
      </c>
      <c r="AO18" s="28">
        <f>('EXP FD A'!AO18*EurCall!AP17+'EXP FD B'!AO18*EurCall!AP18+'EXP FD C'!AO18*EurCall!AP19)/(1+rate*dt)</f>
        <v>55.023392501326143</v>
      </c>
      <c r="AP18" s="28">
        <f>('EXP FD A'!AP18*EurCall!AQ17+'EXP FD B'!AP18*EurCall!AQ18+'EXP FD C'!AP18*EurCall!AQ19)/(1+rate*dt)</f>
        <v>55.021443653685729</v>
      </c>
      <c r="AQ18" s="28">
        <f>('EXP FD A'!AQ18*EurCall!AR17+'EXP FD B'!AQ18*EurCall!AR18+'EXP FD C'!AQ18*EurCall!AR19)/(1+rate*dt)</f>
        <v>55.019494709743213</v>
      </c>
      <c r="AR18" s="28">
        <f>('EXP FD A'!AR18*EurCall!AS17+'EXP FD B'!AR18*EurCall!AS18+'EXP FD C'!AR18*EurCall!AS19)/(1+rate*dt)</f>
        <v>55.017545669392284</v>
      </c>
      <c r="AS18" s="28">
        <f>('EXP FD A'!AS18*EurCall!AT17+'EXP FD B'!AS18*EurCall!AT18+'EXP FD C'!AS18*EurCall!AT19)/(1+rate*dt)</f>
        <v>55.015596533085578</v>
      </c>
      <c r="AT18" s="28">
        <f>('EXP FD A'!AT18*EurCall!AU17+'EXP FD B'!AT18*EurCall!AU18+'EXP FD C'!AT18*EurCall!AU19)/(1+rate*dt)</f>
        <v>55.01364730050458</v>
      </c>
      <c r="AU18" s="28">
        <f>('EXP FD A'!AU18*EurCall!AV17+'EXP FD B'!AU18*EurCall!AV18+'EXP FD C'!AU18*EurCall!AV19)/(1+rate*dt)</f>
        <v>55.011697972549285</v>
      </c>
      <c r="AV18" s="28">
        <f>('EXP FD A'!AV18*EurCall!AW17+'EXP FD B'!AV18*EurCall!AW18+'EXP FD C'!AV18*EurCall!AW19)/(1+rate*dt)</f>
        <v>55.009748548399649</v>
      </c>
      <c r="AW18" s="28">
        <f>('EXP FD A'!AW18*EurCall!AX17+'EXP FD B'!AW18*EurCall!AX18+'EXP FD C'!AW18*EurCall!AX19)/(1+rate*dt)</f>
        <v>55.007799029899473</v>
      </c>
      <c r="AX18" s="28">
        <f>('EXP FD A'!AX18*EurCall!AY17+'EXP FD B'!AX18*EurCall!AY18+'EXP FD C'!AX18*EurCall!AY19)/(1+rate*dt)</f>
        <v>55.005849415048729</v>
      </c>
      <c r="AY18" s="28">
        <f>('EXP FD A'!AY18*EurCall!AZ17+'EXP FD B'!AY18*EurCall!AZ18+'EXP FD C'!AY18*EurCall!AZ19)/(1+rate*dt)</f>
        <v>55.003899707519487</v>
      </c>
      <c r="AZ18" s="28">
        <f>('EXP FD A'!AZ18*EurCall!BA17+'EXP FD B'!AZ18*EurCall!BA18+'EXP FD C'!AZ18*EurCall!BA19)/(1+rate*dt)</f>
        <v>55.001949902504869</v>
      </c>
      <c r="BA18" s="6">
        <f t="shared" si="3"/>
        <v>55</v>
      </c>
    </row>
    <row r="19" spans="1:53" x14ac:dyDescent="0.2">
      <c r="A19" s="15">
        <f t="shared" si="4"/>
        <v>46</v>
      </c>
      <c r="B19" s="16">
        <f t="shared" si="0"/>
        <v>92</v>
      </c>
      <c r="C19" s="26">
        <f>('EXP FD A'!C19*EurCall!D18+'EXP FD B'!C19*EurCall!D19+'EXP FD C'!C19*EurCall!D20)/(1+rate*dt)</f>
        <v>53.097376624439491</v>
      </c>
      <c r="D19" s="28">
        <f>('EXP FD A'!D19*EurCall!E18+'EXP FD B'!D19*EurCall!E19+'EXP FD C'!D19*EurCall!E20)/(1+rate*dt)</f>
        <v>53.095431466883127</v>
      </c>
      <c r="E19" s="28">
        <f>('EXP FD A'!E19*EurCall!F18+'EXP FD B'!E19*EurCall!F19+'EXP FD C'!E19*EurCall!F20)/(1+rate*dt)</f>
        <v>53.093486212352978</v>
      </c>
      <c r="F19" s="28">
        <f>('EXP FD A'!F19*EurCall!G18+'EXP FD B'!F19*EurCall!G19+'EXP FD C'!F19*EurCall!G20)/(1+rate*dt)</f>
        <v>53.091540860822121</v>
      </c>
      <c r="G19" s="28">
        <f>('EXP FD A'!G19*EurCall!H18+'EXP FD B'!G19*EurCall!H19+'EXP FD C'!G19*EurCall!H20)/(1+rate*dt)</f>
        <v>53.08959541227096</v>
      </c>
      <c r="H19" s="28">
        <f>('EXP FD A'!H19*EurCall!I18+'EXP FD B'!H19*EurCall!I19+'EXP FD C'!H19*EurCall!I20)/(1+rate*dt)</f>
        <v>53.087649866685716</v>
      </c>
      <c r="I19" s="28">
        <f>('EXP FD A'!I19*EurCall!J18+'EXP FD B'!I19*EurCall!J19+'EXP FD C'!I19*EurCall!J20)/(1+rate*dt)</f>
        <v>53.085704224057103</v>
      </c>
      <c r="J19" s="28">
        <f>('EXP FD A'!J19*EurCall!K18+'EXP FD B'!J19*EurCall!K19+'EXP FD C'!J19*EurCall!K20)/(1+rate*dt)</f>
        <v>53.083758484379295</v>
      </c>
      <c r="K19" s="28">
        <f>('EXP FD A'!K19*EurCall!L18+'EXP FD B'!K19*EurCall!L19+'EXP FD C'!K19*EurCall!L20)/(1+rate*dt)</f>
        <v>53.081812647649073</v>
      </c>
      <c r="L19" s="28">
        <f>('EXP FD A'!L19*EurCall!M18+'EXP FD B'!L19*EurCall!M19+'EXP FD C'!L19*EurCall!M20)/(1+rate*dt)</f>
        <v>53.079866713865279</v>
      </c>
      <c r="M19" s="28">
        <f>('EXP FD A'!M19*EurCall!N18+'EXP FD B'!M19*EurCall!N19+'EXP FD C'!M19*EurCall!N20)/(1+rate*dt)</f>
        <v>53.07792068302826</v>
      </c>
      <c r="N19" s="28">
        <f>('EXP FD A'!N19*EurCall!O18+'EXP FD B'!N19*EurCall!O19+'EXP FD C'!N19*EurCall!O20)/(1+rate*dt)</f>
        <v>53.075974555139574</v>
      </c>
      <c r="O19" s="28">
        <f>('EXP FD A'!O19*EurCall!P18+'EXP FD B'!O19*EurCall!P19+'EXP FD C'!O19*EurCall!P20)/(1+rate*dt)</f>
        <v>53.074028330201777</v>
      </c>
      <c r="P19" s="28">
        <f>('EXP FD A'!P19*EurCall!Q18+'EXP FD B'!P19*EurCall!Q19+'EXP FD C'!P19*EurCall!Q20)/(1+rate*dt)</f>
        <v>53.072082008218196</v>
      </c>
      <c r="Q19" s="28">
        <f>('EXP FD A'!Q19*EurCall!R18+'EXP FD B'!Q19*EurCall!R19+'EXP FD C'!Q19*EurCall!R20)/(1+rate*dt)</f>
        <v>53.070135589192923</v>
      </c>
      <c r="R19" s="28">
        <f>('EXP FD A'!R19*EurCall!S18+'EXP FD B'!R19*EurCall!S19+'EXP FD C'!R19*EurCall!S20)/(1+rate*dt)</f>
        <v>53.068189073130682</v>
      </c>
      <c r="S19" s="28">
        <f>('EXP FD A'!S19*EurCall!T18+'EXP FD B'!S19*EurCall!T19+'EXP FD C'!S19*EurCall!T20)/(1+rate*dt)</f>
        <v>53.066242460036889</v>
      </c>
      <c r="T19" s="28">
        <f>('EXP FD A'!T19*EurCall!U18+'EXP FD B'!T19*EurCall!U19+'EXP FD C'!T19*EurCall!U20)/(1+rate*dt)</f>
        <v>53.064295749917605</v>
      </c>
      <c r="U19" s="28">
        <f>('EXP FD A'!U19*EurCall!V18+'EXP FD B'!U19*EurCall!V19+'EXP FD C'!U19*EurCall!V20)/(1+rate*dt)</f>
        <v>53.062348942779614</v>
      </c>
      <c r="V19" s="28">
        <f>('EXP FD A'!V19*EurCall!W18+'EXP FD B'!V19*EurCall!W19+'EXP FD C'!V19*EurCall!W20)/(1+rate*dt)</f>
        <v>53.060402038630478</v>
      </c>
      <c r="W19" s="28">
        <f>('EXP FD A'!W19*EurCall!X18+'EXP FD B'!W19*EurCall!X19+'EXP FD C'!W19*EurCall!X20)/(1+rate*dt)</f>
        <v>53.05845503747851</v>
      </c>
      <c r="X19" s="28">
        <f>('EXP FD A'!X19*EurCall!Y18+'EXP FD B'!X19*EurCall!Y19+'EXP FD C'!X19*EurCall!Y20)/(1+rate*dt)</f>
        <v>53.056507939333024</v>
      </c>
      <c r="Y19" s="28">
        <f>('EXP FD A'!Y19*EurCall!Z18+'EXP FD B'!Y19*EurCall!Z19+'EXP FD C'!Y19*EurCall!Z20)/(1+rate*dt)</f>
        <v>53.054560744204124</v>
      </c>
      <c r="Z19" s="28">
        <f>('EXP FD A'!Z19*EurCall!AA18+'EXP FD B'!Z19*EurCall!AA19+'EXP FD C'!Z19*EurCall!AA20)/(1+rate*dt)</f>
        <v>53.052613452103273</v>
      </c>
      <c r="AA19" s="28">
        <f>('EXP FD A'!AA19*EurCall!AB18+'EXP FD B'!AA19*EurCall!AB19+'EXP FD C'!AA19*EurCall!AB20)/(1+rate*dt)</f>
        <v>53.050666063042698</v>
      </c>
      <c r="AB19" s="28">
        <f>('EXP FD A'!AB19*EurCall!AC18+'EXP FD B'!AB19*EurCall!AC19+'EXP FD C'!AB19*EurCall!AC20)/(1+rate*dt)</f>
        <v>53.048718577036446</v>
      </c>
      <c r="AC19" s="28">
        <f>('EXP FD A'!AC19*EurCall!AD18+'EXP FD B'!AC19*EurCall!AD19+'EXP FD C'!AC19*EurCall!AD20)/(1+rate*dt)</f>
        <v>53.046770994099255</v>
      </c>
      <c r="AD19" s="28">
        <f>('EXP FD A'!AD19*EurCall!AE18+'EXP FD B'!AD19*EurCall!AE19+'EXP FD C'!AD19*EurCall!AE20)/(1+rate*dt)</f>
        <v>53.044823314248518</v>
      </c>
      <c r="AE19" s="28">
        <f>('EXP FD A'!AE19*EurCall!AF18+'EXP FD B'!AE19*EurCall!AF19+'EXP FD C'!AE19*EurCall!AF20)/(1+rate*dt)</f>
        <v>53.04287553750175</v>
      </c>
      <c r="AF19" s="28">
        <f>('EXP FD A'!AF19*EurCall!AG18+'EXP FD B'!AF19*EurCall!AG19+'EXP FD C'!AF19*EurCall!AG20)/(1+rate*dt)</f>
        <v>53.040927663880836</v>
      </c>
      <c r="AG19" s="28">
        <f>('EXP FD A'!AG19*EurCall!AH18+'EXP FD B'!AG19*EurCall!AH19+'EXP FD C'!AG19*EurCall!AH20)/(1+rate*dt)</f>
        <v>53.038979693406205</v>
      </c>
      <c r="AH19" s="28">
        <f>('EXP FD A'!AH19*EurCall!AI18+'EXP FD B'!AH19*EurCall!AI19+'EXP FD C'!AH19*EurCall!AI20)/(1+rate*dt)</f>
        <v>53.037031626106057</v>
      </c>
      <c r="AI19" s="28">
        <f>('EXP FD A'!AI19*EurCall!AJ18+'EXP FD B'!AI19*EurCall!AJ19+'EXP FD C'!AI19*EurCall!AJ20)/(1+rate*dt)</f>
        <v>53.035083462003357</v>
      </c>
      <c r="AJ19" s="28">
        <f>('EXP FD A'!AJ19*EurCall!AK18+'EXP FD B'!AJ19*EurCall!AK19+'EXP FD C'!AJ19*EurCall!AK20)/(1+rate*dt)</f>
        <v>53.033135201135806</v>
      </c>
      <c r="AK19" s="28">
        <f>('EXP FD A'!AK19*EurCall!AL18+'EXP FD B'!AK19*EurCall!AL19+'EXP FD C'!AK19*EurCall!AL20)/(1+rate*dt)</f>
        <v>53.031186843527117</v>
      </c>
      <c r="AL19" s="28">
        <f>('EXP FD A'!AL19*EurCall!AM18+'EXP FD B'!AL19*EurCall!AM19+'EXP FD C'!AL19*EurCall!AM20)/(1+rate*dt)</f>
        <v>53.029238389230478</v>
      </c>
      <c r="AM19" s="28">
        <f>('EXP FD A'!AM19*EurCall!AN18+'EXP FD B'!AM19*EurCall!AN19+'EXP FD C'!AM19*EurCall!AN20)/(1+rate*dt)</f>
        <v>53.027289838265226</v>
      </c>
      <c r="AN19" s="28">
        <f>('EXP FD A'!AN19*EurCall!AO18+'EXP FD B'!AN19*EurCall!AO19+'EXP FD C'!AN19*EurCall!AO20)/(1+rate*dt)</f>
        <v>53.025341190711693</v>
      </c>
      <c r="AO19" s="28">
        <f>('EXP FD A'!AO19*EurCall!AP18+'EXP FD B'!AO19*EurCall!AP19+'EXP FD C'!AO19*EurCall!AP20)/(1+rate*dt)</f>
        <v>53.023392446571997</v>
      </c>
      <c r="AP19" s="28">
        <f>('EXP FD A'!AP19*EurCall!AQ18+'EXP FD B'!AP19*EurCall!AQ19+'EXP FD C'!AP19*EurCall!AQ20)/(1+rate*dt)</f>
        <v>53.021443605977055</v>
      </c>
      <c r="AQ19" s="28">
        <f>('EXP FD A'!AQ19*EurCall!AR18+'EXP FD B'!AQ19*EurCall!AR19+'EXP FD C'!AQ19*EurCall!AR20)/(1+rate*dt)</f>
        <v>53.019494668881414</v>
      </c>
      <c r="AR19" s="28">
        <f>('EXP FD A'!AR19*EurCall!AS18+'EXP FD B'!AR19*EurCall!AS19+'EXP FD C'!AR19*EurCall!AS20)/(1+rate*dt)</f>
        <v>53.017545635513969</v>
      </c>
      <c r="AS19" s="28">
        <f>('EXP FD A'!AS19*EurCall!AT18+'EXP FD B'!AS19*EurCall!AT19+'EXP FD C'!AS19*EurCall!AT20)/(1+rate*dt)</f>
        <v>53.015596505712708</v>
      </c>
      <c r="AT19" s="28">
        <f>('EXP FD A'!AT19*EurCall!AU18+'EXP FD B'!AT19*EurCall!AU19+'EXP FD C'!AT19*EurCall!AU20)/(1+rate*dt)</f>
        <v>53.01364727989764</v>
      </c>
      <c r="AU19" s="28">
        <f>('EXP FD A'!AU19*EurCall!AV18+'EXP FD B'!AU19*EurCall!AV19+'EXP FD C'!AU19*EurCall!AV20)/(1+rate*dt)</f>
        <v>53.01169795763856</v>
      </c>
      <c r="AV19" s="28">
        <f>('EXP FD A'!AV19*EurCall!AW18+'EXP FD B'!AV19*EurCall!AW19+'EXP FD C'!AV19*EurCall!AW20)/(1+rate*dt)</f>
        <v>53.009748539708212</v>
      </c>
      <c r="AW19" s="28">
        <f>('EXP FD A'!AW19*EurCall!AX18+'EXP FD B'!AW19*EurCall!AX19+'EXP FD C'!AW19*EurCall!AX20)/(1+rate*dt)</f>
        <v>53.007799025097469</v>
      </c>
      <c r="AX19" s="28">
        <f>('EXP FD A'!AX19*EurCall!AY18+'EXP FD B'!AX19*EurCall!AY19+'EXP FD C'!AX19*EurCall!AY20)/(1+rate*dt)</f>
        <v>53.005849415048729</v>
      </c>
      <c r="AY19" s="28">
        <f>('EXP FD A'!AY19*EurCall!AZ18+'EXP FD B'!AY19*EurCall!AZ19+'EXP FD C'!AY19*EurCall!AZ20)/(1+rate*dt)</f>
        <v>53.003899707519494</v>
      </c>
      <c r="AZ19" s="28">
        <f>('EXP FD A'!AZ19*EurCall!BA18+'EXP FD B'!AZ19*EurCall!BA19+'EXP FD C'!AZ19*EurCall!BA20)/(1+rate*dt)</f>
        <v>53.001949902504869</v>
      </c>
      <c r="BA19" s="6">
        <f t="shared" si="3"/>
        <v>53</v>
      </c>
    </row>
    <row r="20" spans="1:53" x14ac:dyDescent="0.2">
      <c r="A20" s="15">
        <f t="shared" si="4"/>
        <v>45</v>
      </c>
      <c r="B20" s="16">
        <f t="shared" si="0"/>
        <v>90</v>
      </c>
      <c r="C20" s="26">
        <f>('EXP FD A'!C20*EurCall!D19+'EXP FD B'!C20*EurCall!D20+'EXP FD C'!C20*EurCall!D21)/(1+rate*dt)</f>
        <v>51.097376399064487</v>
      </c>
      <c r="D20" s="28">
        <f>('EXP FD A'!D20*EurCall!E19+'EXP FD B'!D20*EurCall!E20+'EXP FD C'!D20*EurCall!E21)/(1+rate*dt)</f>
        <v>51.095431245866692</v>
      </c>
      <c r="E20" s="28">
        <f>('EXP FD A'!E20*EurCall!F19+'EXP FD B'!E20*EurCall!F20+'EXP FD C'!E20*EurCall!F21)/(1+rate*dt)</f>
        <v>51.093485995865038</v>
      </c>
      <c r="F20" s="28">
        <f>('EXP FD A'!F20*EurCall!G19+'EXP FD B'!F20*EurCall!G20+'EXP FD C'!F20*EurCall!G21)/(1+rate*dt)</f>
        <v>51.091540648994979</v>
      </c>
      <c r="G20" s="28">
        <f>('EXP FD A'!G20*EurCall!H19+'EXP FD B'!G20*EurCall!H20+'EXP FD C'!G20*EurCall!H21)/(1+rate*dt)</f>
        <v>51.089595205208006</v>
      </c>
      <c r="H20" s="28">
        <f>('EXP FD A'!H20*EurCall!I19+'EXP FD B'!H20*EurCall!I20+'EXP FD C'!H20*EurCall!I21)/(1+rate*dt)</f>
        <v>51.087649664468401</v>
      </c>
      <c r="I20" s="28">
        <f>('EXP FD A'!I20*EurCall!J19+'EXP FD B'!I20*EurCall!J20+'EXP FD C'!I20*EurCall!J21)/(1+rate*dt)</f>
        <v>51.085704026750477</v>
      </c>
      <c r="J20" s="28">
        <f>('EXP FD A'!J20*EurCall!K19+'EXP FD B'!J20*EurCall!K20+'EXP FD C'!J20*EurCall!K21)/(1+rate*dt)</f>
        <v>51.083758292036386</v>
      </c>
      <c r="K20" s="28">
        <f>('EXP FD A'!K20*EurCall!L19+'EXP FD B'!K20*EurCall!L20+'EXP FD C'!K20*EurCall!L21)/(1+rate*dt)</f>
        <v>51.081812460314282</v>
      </c>
      <c r="L20" s="28">
        <f>('EXP FD A'!L20*EurCall!M19+'EXP FD B'!L20*EurCall!M20+'EXP FD C'!L20*EurCall!M21)/(1+rate*dt)</f>
        <v>51.079866531576869</v>
      </c>
      <c r="M20" s="28">
        <f>('EXP FD A'!M20*EurCall!N19+'EXP FD B'!M20*EurCall!N20+'EXP FD C'!M20*EurCall!N21)/(1+rate*dt)</f>
        <v>51.077920505820245</v>
      </c>
      <c r="N20" s="28">
        <f>('EXP FD A'!N20*EurCall!O19+'EXP FD B'!N20*EurCall!O20+'EXP FD C'!N20*EurCall!O21)/(1+rate*dt)</f>
        <v>51.075974383043125</v>
      </c>
      <c r="O20" s="28">
        <f>('EXP FD A'!O20*EurCall!P19+'EXP FD B'!O20*EurCall!P20+'EXP FD C'!O20*EurCall!P21)/(1+rate*dt)</f>
        <v>51.074028163246076</v>
      </c>
      <c r="P20" s="28">
        <f>('EXP FD A'!P20*EurCall!Q19+'EXP FD B'!P20*EurCall!Q20+'EXP FD C'!P20*EurCall!Q21)/(1+rate*dt)</f>
        <v>51.072081846431146</v>
      </c>
      <c r="Q20" s="28">
        <f>('EXP FD A'!Q20*EurCall!R19+'EXP FD B'!Q20*EurCall!R20+'EXP FD C'!Q20*EurCall!R21)/(1+rate*dt)</f>
        <v>51.070135432601475</v>
      </c>
      <c r="R20" s="28">
        <f>('EXP FD A'!R20*EurCall!S19+'EXP FD B'!R20*EurCall!S20+'EXP FD C'!R20*EurCall!S21)/(1+rate*dt)</f>
        <v>51.068188921761099</v>
      </c>
      <c r="S20" s="28">
        <f>('EXP FD A'!S20*EurCall!T19+'EXP FD B'!S20*EurCall!T20+'EXP FD C'!S20*EurCall!T21)/(1+rate*dt)</f>
        <v>51.066242313914806</v>
      </c>
      <c r="T20" s="28">
        <f>('EXP FD A'!T20*EurCall!U19+'EXP FD B'!T20*EurCall!U20+'EXP FD C'!T20*EurCall!U21)/(1+rate*dt)</f>
        <v>51.064295609068076</v>
      </c>
      <c r="U20" s="28">
        <f>('EXP FD A'!U20*EurCall!V19+'EXP FD B'!U20*EurCall!V20+'EXP FD C'!U20*EurCall!V21)/(1+rate*dt)</f>
        <v>51.062348807227025</v>
      </c>
      <c r="V20" s="28">
        <f>('EXP FD A'!V20*EurCall!W19+'EXP FD B'!V20*EurCall!W20+'EXP FD C'!V20*EurCall!W21)/(1+rate*dt)</f>
        <v>51.060401908398397</v>
      </c>
      <c r="W20" s="28">
        <f>('EXP FD A'!W20*EurCall!X19+'EXP FD B'!W20*EurCall!X20+'EXP FD C'!W20*EurCall!X21)/(1+rate*dt)</f>
        <v>51.058454912589653</v>
      </c>
      <c r="X20" s="28">
        <f>('EXP FD A'!X20*EurCall!Y19+'EXP FD B'!X20*EurCall!Y20+'EXP FD C'!X20*EurCall!Y21)/(1+rate*dt)</f>
        <v>51.056507819808857</v>
      </c>
      <c r="Y20" s="28">
        <f>('EXP FD A'!Y20*EurCall!Z19+'EXP FD B'!Y20*EurCall!Z20+'EXP FD C'!Y20*EurCall!Z21)/(1+rate*dt)</f>
        <v>51.054560630064927</v>
      </c>
      <c r="Z20" s="28">
        <f>('EXP FD A'!Z20*EurCall!AA19+'EXP FD B'!Z20*EurCall!AA20+'EXP FD C'!Z20*EurCall!AA21)/(1+rate*dt)</f>
        <v>51.052613343367398</v>
      </c>
      <c r="AA20" s="28">
        <f>('EXP FD A'!AA20*EurCall!AB19+'EXP FD B'!AA20*EurCall!AB20+'EXP FD C'!AA20*EurCall!AB21)/(1+rate*dt)</f>
        <v>51.050665959726864</v>
      </c>
      <c r="AB20" s="28">
        <f>('EXP FD A'!AB20*EurCall!AC19+'EXP FD B'!AB20*EurCall!AC20+'EXP FD C'!AB20*EurCall!AC21)/(1+rate*dt)</f>
        <v>51.048718479154516</v>
      </c>
      <c r="AC20" s="28">
        <f>('EXP FD A'!AC20*EurCall!AD19+'EXP FD B'!AC20*EurCall!AD20+'EXP FD C'!AC20*EurCall!AD21)/(1+rate*dt)</f>
        <v>51.046770901662924</v>
      </c>
      <c r="AD20" s="28">
        <f>('EXP FD A'!AD20*EurCall!AE19+'EXP FD B'!AD20*EurCall!AE20+'EXP FD C'!AD20*EurCall!AE21)/(1+rate*dt)</f>
        <v>51.04482322726502</v>
      </c>
      <c r="AE20" s="28">
        <f>('EXP FD A'!AE20*EurCall!AF19+'EXP FD B'!AE20*EurCall!AF20+'EXP FD C'!AE20*EurCall!AF21)/(1+rate*dt)</f>
        <v>51.04287545597581</v>
      </c>
      <c r="AF20" s="28">
        <f>('EXP FD A'!AF20*EurCall!AG19+'EXP FD B'!AF20*EurCall!AG20+'EXP FD C'!AF20*EurCall!AG21)/(1+rate*dt)</f>
        <v>51.040927587809904</v>
      </c>
      <c r="AG20" s="28">
        <f>('EXP FD A'!AG20*EurCall!AH19+'EXP FD B'!AG20*EurCall!AH20+'EXP FD C'!AG20*EurCall!AH21)/(1+rate*dt)</f>
        <v>51.038979622785384</v>
      </c>
      <c r="AH20" s="28">
        <f>('EXP FD A'!AH20*EurCall!AI19+'EXP FD B'!AH20*EurCall!AI20+'EXP FD C'!AH20*EurCall!AI21)/(1+rate*dt)</f>
        <v>51.037031560918173</v>
      </c>
      <c r="AI20" s="28">
        <f>('EXP FD A'!AI20*EurCall!AJ19+'EXP FD B'!AI20*EurCall!AJ20+'EXP FD C'!AI20*EurCall!AJ21)/(1+rate*dt)</f>
        <v>51.035083402230484</v>
      </c>
      <c r="AJ20" s="28">
        <f>('EXP FD A'!AJ20*EurCall!AK19+'EXP FD B'!AJ20*EurCall!AK20+'EXP FD C'!AJ20*EurCall!AK21)/(1+rate*dt)</f>
        <v>51.033135146738324</v>
      </c>
      <c r="AK20" s="28">
        <f>('EXP FD A'!AK20*EurCall!AL19+'EXP FD B'!AK20*EurCall!AL20+'EXP FD C'!AK20*EurCall!AL21)/(1+rate*dt)</f>
        <v>51.031186794469875</v>
      </c>
      <c r="AL20" s="28">
        <f>('EXP FD A'!AL20*EurCall!AM19+'EXP FD B'!AL20*EurCall!AM20+'EXP FD C'!AL20*EurCall!AM21)/(1+rate*dt)</f>
        <v>51.029238345438237</v>
      </c>
      <c r="AM20" s="28">
        <f>('EXP FD A'!AM20*EurCall!AN19+'EXP FD B'!AM20*EurCall!AN20+'EXP FD C'!AM20*EurCall!AN21)/(1+rate*dt)</f>
        <v>51.027289799681213</v>
      </c>
      <c r="AN20" s="28">
        <f>('EXP FD A'!AN20*EurCall!AO19+'EXP FD B'!AN20*EurCall!AO20+'EXP FD C'!AN20*EurCall!AO21)/(1+rate*dt)</f>
        <v>51.025341157201794</v>
      </c>
      <c r="AO20" s="28">
        <f>('EXP FD A'!AO20*EurCall!AP19+'EXP FD B'!AO20*EurCall!AP20+'EXP FD C'!AO20*EurCall!AP21)/(1+rate*dt)</f>
        <v>51.023392418054804</v>
      </c>
      <c r="AP20" s="28">
        <f>('EXP FD A'!AP20*EurCall!AQ19+'EXP FD B'!AP20*EurCall!AQ20+'EXP FD C'!AP20*EurCall!AQ21)/(1+rate*dt)</f>
        <v>51.021443582217081</v>
      </c>
      <c r="AQ20" s="28">
        <f>('EXP FD A'!AQ20*EurCall!AR19+'EXP FD B'!AQ20*EurCall!AR20+'EXP FD C'!AQ20*EurCall!AR21)/(1+rate*dt)</f>
        <v>51.019494649775247</v>
      </c>
      <c r="AR20" s="28">
        <f>('EXP FD A'!AR20*EurCall!AS19+'EXP FD B'!AR20*EurCall!AS20+'EXP FD C'!AR20*EurCall!AS21)/(1+rate*dt)</f>
        <v>51.017545620645194</v>
      </c>
      <c r="AS20" s="28">
        <f>('EXP FD A'!AS20*EurCall!AT19+'EXP FD B'!AS20*EurCall!AT20+'EXP FD C'!AS20*EurCall!AT21)/(1+rate*dt)</f>
        <v>51.015596494973138</v>
      </c>
      <c r="AT20" s="28">
        <f>('EXP FD A'!AT20*EurCall!AU19+'EXP FD B'!AT20*EurCall!AU20+'EXP FD C'!AT20*EurCall!AU21)/(1+rate*dt)</f>
        <v>51.013647272542585</v>
      </c>
      <c r="AU20" s="28">
        <f>('EXP FD A'!AU20*EurCall!AV19+'EXP FD B'!AU20*EurCall!AV20+'EXP FD C'!AU20*EurCall!AV21)/(1+rate*dt)</f>
        <v>51.011697953600439</v>
      </c>
      <c r="AV20" s="28">
        <f>('EXP FD A'!AV20*EurCall!AW19+'EXP FD B'!AV20*EurCall!AW20+'EXP FD C'!AV20*EurCall!AW21)/(1+rate*dt)</f>
        <v>51.009748537670589</v>
      </c>
      <c r="AW20" s="28">
        <f>('EXP FD A'!AW20*EurCall!AX19+'EXP FD B'!AW20*EurCall!AX20+'EXP FD C'!AW20*EurCall!AX21)/(1+rate*dt)</f>
        <v>51.007799025097476</v>
      </c>
      <c r="AX20" s="28">
        <f>('EXP FD A'!AX20*EurCall!AY19+'EXP FD B'!AX20*EurCall!AY20+'EXP FD C'!AX20*EurCall!AY21)/(1+rate*dt)</f>
        <v>51.005849415048736</v>
      </c>
      <c r="AY20" s="28">
        <f>('EXP FD A'!AY20*EurCall!AZ19+'EXP FD B'!AY20*EurCall!AZ20+'EXP FD C'!AY20*EurCall!AZ21)/(1+rate*dt)</f>
        <v>51.003899707519487</v>
      </c>
      <c r="AZ20" s="28">
        <f>('EXP FD A'!AZ20*EurCall!BA19+'EXP FD B'!AZ20*EurCall!BA20+'EXP FD C'!AZ20*EurCall!BA21)/(1+rate*dt)</f>
        <v>51.001949902504876</v>
      </c>
      <c r="BA20" s="6">
        <f t="shared" si="3"/>
        <v>51</v>
      </c>
    </row>
    <row r="21" spans="1:53" x14ac:dyDescent="0.2">
      <c r="A21" s="15">
        <f t="shared" si="4"/>
        <v>44</v>
      </c>
      <c r="B21" s="16">
        <f t="shared" si="0"/>
        <v>88</v>
      </c>
      <c r="C21" s="26">
        <f>('EXP FD A'!C21*EurCall!D20+'EXP FD B'!C21*EurCall!D21+'EXP FD C'!C21*EurCall!D22)/(1+rate*dt)</f>
        <v>49.097376228270683</v>
      </c>
      <c r="D21" s="28">
        <f>('EXP FD A'!D21*EurCall!E20+'EXP FD B'!D21*EurCall!E21+'EXP FD C'!D21*EurCall!E22)/(1+rate*dt)</f>
        <v>49.095431078135206</v>
      </c>
      <c r="E21" s="28">
        <f>('EXP FD A'!E21*EurCall!F20+'EXP FD B'!E21*EurCall!F21+'EXP FD C'!E21*EurCall!F22)/(1+rate*dt)</f>
        <v>49.093485831563683</v>
      </c>
      <c r="F21" s="28">
        <f>('EXP FD A'!F21*EurCall!G20+'EXP FD B'!F21*EurCall!G21+'EXP FD C'!F21*EurCall!G22)/(1+rate*dt)</f>
        <v>49.091540488404604</v>
      </c>
      <c r="G21" s="28">
        <f>('EXP FD A'!G21*EurCall!H20+'EXP FD B'!G21*EurCall!H21+'EXP FD C'!G21*EurCall!H22)/(1+rate*dt)</f>
        <v>49.08959504854068</v>
      </c>
      <c r="H21" s="28">
        <f>('EXP FD A'!H21*EurCall!I20+'EXP FD B'!H21*EurCall!I21+'EXP FD C'!H21*EurCall!I22)/(1+rate*dt)</f>
        <v>49.087649511882482</v>
      </c>
      <c r="I21" s="28">
        <f>('EXP FD A'!I21*EurCall!J20+'EXP FD B'!I21*EurCall!J21+'EXP FD C'!I21*EurCall!J22)/(1+rate*dt)</f>
        <v>49.085703878362963</v>
      </c>
      <c r="J21" s="28">
        <f>('EXP FD A'!J21*EurCall!K20+'EXP FD B'!J21*EurCall!K21+'EXP FD C'!J21*EurCall!K22)/(1+rate*dt)</f>
        <v>49.083758147932805</v>
      </c>
      <c r="K21" s="28">
        <f>('EXP FD A'!K21*EurCall!L20+'EXP FD B'!K21*EurCall!L21+'EXP FD C'!K21*EurCall!L22)/(1+rate*dt)</f>
        <v>49.081812320556608</v>
      </c>
      <c r="L21" s="28">
        <f>('EXP FD A'!L21*EurCall!M20+'EXP FD B'!L21*EurCall!M21+'EXP FD C'!L21*EurCall!M22)/(1+rate*dt)</f>
        <v>49.079866396209631</v>
      </c>
      <c r="M21" s="28">
        <f>('EXP FD A'!M21*EurCall!N20+'EXP FD B'!M21*EurCall!N21+'EXP FD C'!M21*EurCall!N22)/(1+rate*dt)</f>
        <v>49.077920374875276</v>
      </c>
      <c r="N21" s="28">
        <f>('EXP FD A'!N21*EurCall!O20+'EXP FD B'!N21*EurCall!O21+'EXP FD C'!N21*EurCall!O22)/(1+rate*dt)</f>
        <v>49.075974256542963</v>
      </c>
      <c r="O21" s="28">
        <f>('EXP FD A'!O21*EurCall!P20+'EXP FD B'!O21*EurCall!P21+'EXP FD C'!O21*EurCall!P22)/(1+rate*dt)</f>
        <v>49.074028041206638</v>
      </c>
      <c r="P21" s="28">
        <f>('EXP FD A'!P21*EurCall!Q20+'EXP FD B'!P21*EurCall!Q21+'EXP FD C'!P21*EurCall!Q22)/(1+rate*dt)</f>
        <v>49.072081728863417</v>
      </c>
      <c r="Q21" s="28">
        <f>('EXP FD A'!Q21*EurCall!R20+'EXP FD B'!Q21*EurCall!R21+'EXP FD C'!Q21*EurCall!R22)/(1+rate*dt)</f>
        <v>49.070135319512765</v>
      </c>
      <c r="R21" s="28">
        <f>('EXP FD A'!R21*EurCall!S20+'EXP FD B'!R21*EurCall!S21+'EXP FD C'!R21*EurCall!S22)/(1+rate*dt)</f>
        <v>49.068188813155814</v>
      </c>
      <c r="S21" s="28">
        <f>('EXP FD A'!S21*EurCall!T20+'EXP FD B'!S21*EurCall!T21+'EXP FD C'!S21*EurCall!T22)/(1+rate*dt)</f>
        <v>49.066242209794851</v>
      </c>
      <c r="T21" s="28">
        <f>('EXP FD A'!T21*EurCall!U20+'EXP FD B'!T21*EurCall!U21+'EXP FD C'!T21*EurCall!U22)/(1+rate*dt)</f>
        <v>49.064295509433087</v>
      </c>
      <c r="U21" s="28">
        <f>('EXP FD A'!U21*EurCall!V20+'EXP FD B'!U21*EurCall!V21+'EXP FD C'!U21*EurCall!V22)/(1+rate*dt)</f>
        <v>49.062348712074346</v>
      </c>
      <c r="V21" s="28">
        <f>('EXP FD A'!V21*EurCall!W20+'EXP FD B'!V21*EurCall!W21+'EXP FD C'!V21*EurCall!W22)/(1+rate*dt)</f>
        <v>49.06040181772304</v>
      </c>
      <c r="W21" s="28">
        <f>('EXP FD A'!W21*EurCall!X20+'EXP FD B'!W21*EurCall!X21+'EXP FD C'!W21*EurCall!X22)/(1+rate*dt)</f>
        <v>49.058454826383993</v>
      </c>
      <c r="X21" s="28">
        <f>('EXP FD A'!X21*EurCall!Y20+'EXP FD B'!X21*EurCall!Y21+'EXP FD C'!X21*EurCall!Y22)/(1+rate*dt)</f>
        <v>49.056507738062486</v>
      </c>
      <c r="Y21" s="28">
        <f>('EXP FD A'!Y21*EurCall!Z20+'EXP FD B'!Y21*EurCall!Z21+'EXP FD C'!Y21*EurCall!Z22)/(1+rate*dt)</f>
        <v>49.054560552764151</v>
      </c>
      <c r="Z21" s="28">
        <f>('EXP FD A'!Z21*EurCall!AA20+'EXP FD B'!Z21*EurCall!AA21+'EXP FD C'!Z21*EurCall!AA22)/(1+rate*dt)</f>
        <v>49.052613270495051</v>
      </c>
      <c r="AA21" s="28">
        <f>('EXP FD A'!AA21*EurCall!AB20+'EXP FD B'!AA21*EurCall!AB21+'EXP FD C'!AA21*EurCall!AB22)/(1+rate*dt)</f>
        <v>49.050665891261538</v>
      </c>
      <c r="AB21" s="28">
        <f>('EXP FD A'!AB21*EurCall!AC20+'EXP FD B'!AB21*EurCall!AC21+'EXP FD C'!AB21*EurCall!AC22)/(1+rate*dt)</f>
        <v>49.048718415070439</v>
      </c>
      <c r="AC21" s="28">
        <f>('EXP FD A'!AC21*EurCall!AD20+'EXP FD B'!AC21*EurCall!AD21+'EXP FD C'!AC21*EurCall!AD22)/(1+rate*dt)</f>
        <v>49.046770841928719</v>
      </c>
      <c r="AD21" s="28">
        <f>('EXP FD A'!AD21*EurCall!AE20+'EXP FD B'!AD21*EurCall!AE21+'EXP FD C'!AD21*EurCall!AE22)/(1+rate*dt)</f>
        <v>49.044823171843966</v>
      </c>
      <c r="AE21" s="28">
        <f>('EXP FD A'!AE21*EurCall!AF20+'EXP FD B'!AE21*EurCall!AF21+'EXP FD C'!AE21*EurCall!AF22)/(1+rate*dt)</f>
        <v>49.042875404823491</v>
      </c>
      <c r="AF21" s="28">
        <f>('EXP FD A'!AF21*EurCall!AG20+'EXP FD B'!AF21*EurCall!AG21+'EXP FD C'!AF21*EurCall!AG22)/(1+rate*dt)</f>
        <v>49.040927540875579</v>
      </c>
      <c r="AG21" s="28">
        <f>('EXP FD A'!AG21*EurCall!AH20+'EXP FD B'!AG21*EurCall!AH21+'EXP FD C'!AG21*EurCall!AH22)/(1+rate*dt)</f>
        <v>49.038979580007371</v>
      </c>
      <c r="AH21" s="28">
        <f>('EXP FD A'!AH21*EurCall!AI20+'EXP FD B'!AH21*EurCall!AI21+'EXP FD C'!AH21*EurCall!AI22)/(1+rate*dt)</f>
        <v>49.037031522227785</v>
      </c>
      <c r="AI21" s="28">
        <f>('EXP FD A'!AI21*EurCall!AJ20+'EXP FD B'!AI21*EurCall!AJ21+'EXP FD C'!AI21*EurCall!AJ22)/(1+rate*dt)</f>
        <v>49.035083367542747</v>
      </c>
      <c r="AJ21" s="28">
        <f>('EXP FD A'!AJ21*EurCall!AK20+'EXP FD B'!AJ21*EurCall!AK21+'EXP FD C'!AJ21*EurCall!AK22)/(1+rate*dt)</f>
        <v>49.033135115961699</v>
      </c>
      <c r="AK21" s="28">
        <f>('EXP FD A'!AK21*EurCall!AL20+'EXP FD B'!AK21*EurCall!AL21+'EXP FD C'!AK21*EurCall!AL22)/(1+rate*dt)</f>
        <v>49.031186767487313</v>
      </c>
      <c r="AL21" s="28">
        <f>('EXP FD A'!AL21*EurCall!AM20+'EXP FD B'!AL21*EurCall!AM21+'EXP FD C'!AL21*EurCall!AM22)/(1+rate*dt)</f>
        <v>49.029238322129643</v>
      </c>
      <c r="AM21" s="28">
        <f>('EXP FD A'!AM21*EurCall!AN20+'EXP FD B'!AM21*EurCall!AN21+'EXP FD C'!AM21*EurCall!AN22)/(1+rate*dt)</f>
        <v>49.027289779883922</v>
      </c>
      <c r="AN21" s="28">
        <f>('EXP FD A'!AN21*EurCall!AO20+'EXP FD B'!AN21*EurCall!AO21+'EXP FD C'!AN21*EurCall!AO22)/(1+rate*dt)</f>
        <v>49.025341140761554</v>
      </c>
      <c r="AO21" s="28">
        <f>('EXP FD A'!AO21*EurCall!AP20+'EXP FD B'!AO21*EurCall!AP21+'EXP FD C'!AO21*EurCall!AP22)/(1+rate*dt)</f>
        <v>49.02339240474204</v>
      </c>
      <c r="AP21" s="28">
        <f>('EXP FD A'!AP21*EurCall!AQ20+'EXP FD B'!AP21*EurCall!AQ21+'EXP FD C'!AP21*EurCall!AQ22)/(1+rate*dt)</f>
        <v>49.021443571840393</v>
      </c>
      <c r="AQ21" s="28">
        <f>('EXP FD A'!AQ21*EurCall!AR20+'EXP FD B'!AQ21*EurCall!AR21+'EXP FD C'!AQ21*EurCall!AR22)/(1+rate*dt)</f>
        <v>49.019494642004176</v>
      </c>
      <c r="AR21" s="28">
        <f>('EXP FD A'!AR21*EurCall!AS20+'EXP FD B'!AR21*EurCall!AS21+'EXP FD C'!AR21*EurCall!AS22)/(1+rate*dt)</f>
        <v>49.017545615257291</v>
      </c>
      <c r="AS21" s="28">
        <f>('EXP FD A'!AS21*EurCall!AT20+'EXP FD B'!AS21*EurCall!AT21+'EXP FD C'!AS21*EurCall!AT22)/(1+rate*dt)</f>
        <v>49.015596491485631</v>
      </c>
      <c r="AT21" s="28">
        <f>('EXP FD A'!AT21*EurCall!AU20+'EXP FD B'!AT21*EurCall!AU21+'EXP FD C'!AT21*EurCall!AU22)/(1+rate*dt)</f>
        <v>49.013647270730715</v>
      </c>
      <c r="AU21" s="28">
        <f>('EXP FD A'!AU21*EurCall!AV20+'EXP FD B'!AU21*EurCall!AV21+'EXP FD C'!AU21*EurCall!AV22)/(1+rate*dt)</f>
        <v>49.011697952772948</v>
      </c>
      <c r="AV21" s="28">
        <f>('EXP FD A'!AV21*EurCall!AW20+'EXP FD B'!AV21*EurCall!AW21+'EXP FD C'!AV21*EurCall!AW22)/(1+rate*dt)</f>
        <v>49.009748537670589</v>
      </c>
      <c r="AW21" s="28">
        <f>('EXP FD A'!AW21*EurCall!AX20+'EXP FD B'!AW21*EurCall!AX21+'EXP FD C'!AW21*EurCall!AX22)/(1+rate*dt)</f>
        <v>49.007799025097476</v>
      </c>
      <c r="AX21" s="28">
        <f>('EXP FD A'!AX21*EurCall!AY20+'EXP FD B'!AX21*EurCall!AY21+'EXP FD C'!AX21*EurCall!AY22)/(1+rate*dt)</f>
        <v>49.005849415048736</v>
      </c>
      <c r="AY21" s="28">
        <f>('EXP FD A'!AY21*EurCall!AZ20+'EXP FD B'!AY21*EurCall!AZ21+'EXP FD C'!AY21*EurCall!AZ22)/(1+rate*dt)</f>
        <v>49.003899707519501</v>
      </c>
      <c r="AZ21" s="28">
        <f>('EXP FD A'!AZ21*EurCall!BA20+'EXP FD B'!AZ21*EurCall!BA21+'EXP FD C'!AZ21*EurCall!BA22)/(1+rate*dt)</f>
        <v>49.001949902504876</v>
      </c>
      <c r="BA21" s="6">
        <f t="shared" si="3"/>
        <v>49</v>
      </c>
    </row>
    <row r="22" spans="1:53" x14ac:dyDescent="0.2">
      <c r="A22" s="15">
        <f t="shared" si="4"/>
        <v>43</v>
      </c>
      <c r="B22" s="16">
        <f t="shared" si="0"/>
        <v>86</v>
      </c>
      <c r="C22" s="26">
        <f>('EXP FD A'!C22*EurCall!D21+'EXP FD B'!C22*EurCall!D22+'EXP FD C'!C22*EurCall!D23)/(1+rate*dt)</f>
        <v>47.097376108191384</v>
      </c>
      <c r="D22" s="28">
        <f>('EXP FD A'!D22*EurCall!E21+'EXP FD B'!D22*EurCall!E22+'EXP FD C'!D22*EurCall!E23)/(1+rate*dt)</f>
        <v>47.095430958520488</v>
      </c>
      <c r="E22" s="28">
        <f>('EXP FD A'!E22*EurCall!F21+'EXP FD B'!E22*EurCall!F22+'EXP FD C'!E22*EurCall!F23)/(1+rate*dt)</f>
        <v>47.09348571327105</v>
      </c>
      <c r="F22" s="28">
        <f>('EXP FD A'!F22*EurCall!G21+'EXP FD B'!F22*EurCall!G22+'EXP FD C'!F22*EurCall!G23)/(1+rate*dt)</f>
        <v>47.091540372096439</v>
      </c>
      <c r="G22" s="28">
        <f>('EXP FD A'!G22*EurCall!H21+'EXP FD B'!G22*EurCall!H22+'EXP FD C'!G22*EurCall!H23)/(1+rate*dt)</f>
        <v>47.089594934721518</v>
      </c>
      <c r="H22" s="28">
        <f>('EXP FD A'!H22*EurCall!I21+'EXP FD B'!H22*EurCall!I22+'EXP FD C'!H22*EurCall!I23)/(1+rate*dt)</f>
        <v>47.087649400930694</v>
      </c>
      <c r="I22" s="28">
        <f>('EXP FD A'!I22*EurCall!J21+'EXP FD B'!I22*EurCall!J22+'EXP FD C'!I22*EurCall!J23)/(1+rate*dt)</f>
        <v>47.08570377055733</v>
      </c>
      <c r="J22" s="28">
        <f>('EXP FD A'!J22*EurCall!K21+'EXP FD B'!J22*EurCall!K22+'EXP FD C'!J22*EurCall!K23)/(1+rate*dt)</f>
        <v>47.083758043474511</v>
      </c>
      <c r="K22" s="28">
        <f>('EXP FD A'!K22*EurCall!L21+'EXP FD B'!K22*EurCall!L22+'EXP FD C'!K22*EurCall!L23)/(1+rate*dt)</f>
        <v>47.081812219587157</v>
      </c>
      <c r="L22" s="28">
        <f>('EXP FD A'!L22*EurCall!M21+'EXP FD B'!L22*EurCall!M22+'EXP FD C'!L22*EurCall!M23)/(1+rate*dt)</f>
        <v>47.079866298825301</v>
      </c>
      <c r="M22" s="28">
        <f>('EXP FD A'!M22*EurCall!N21+'EXP FD B'!M22*EurCall!N22+'EXP FD C'!M22*EurCall!N23)/(1+rate*dt)</f>
        <v>47.077920281138518</v>
      </c>
      <c r="N22" s="28">
        <f>('EXP FD A'!N22*EurCall!O21+'EXP FD B'!N22*EurCall!O22+'EXP FD C'!N22*EurCall!O23)/(1+rate*dt)</f>
        <v>47.075974166491278</v>
      </c>
      <c r="O22" s="28">
        <f>('EXP FD A'!O22*EurCall!P21+'EXP FD B'!O22*EurCall!P22+'EXP FD C'!O22*EurCall!P23)/(1+rate*dt)</f>
        <v>47.07402795485919</v>
      </c>
      <c r="P22" s="28">
        <f>('EXP FD A'!P22*EurCall!Q21+'EXP FD B'!P22*EurCall!Q22+'EXP FD C'!P22*EurCall!Q23)/(1+rate*dt)</f>
        <v>47.072081646226117</v>
      </c>
      <c r="Q22" s="28">
        <f>('EXP FD A'!Q22*EurCall!R21+'EXP FD B'!Q22*EurCall!R22+'EXP FD C'!Q22*EurCall!R23)/(1+rate*dt)</f>
        <v>47.070135240581799</v>
      </c>
      <c r="R22" s="28">
        <f>('EXP FD A'!R22*EurCall!S21+'EXP FD B'!R22*EurCall!S22+'EXP FD C'!R22*EurCall!S23)/(1+rate*dt)</f>
        <v>47.068188737920131</v>
      </c>
      <c r="S22" s="28">
        <f>('EXP FD A'!S22*EurCall!T21+'EXP FD B'!S22*EurCall!T22+'EXP FD C'!S22*EurCall!T23)/(1+rate*dt)</f>
        <v>47.06624213823784</v>
      </c>
      <c r="T22" s="28">
        <f>('EXP FD A'!T22*EurCall!U21+'EXP FD B'!T22*EurCall!U22+'EXP FD C'!T22*EurCall!U23)/(1+rate*dt)</f>
        <v>47.064295441533559</v>
      </c>
      <c r="U22" s="28">
        <f>('EXP FD A'!U22*EurCall!V21+'EXP FD B'!U22*EurCall!V22+'EXP FD C'!U22*EurCall!V23)/(1+rate*dt)</f>
        <v>47.062348647807127</v>
      </c>
      <c r="V22" s="28">
        <f>('EXP FD A'!V22*EurCall!W21+'EXP FD B'!V22*EurCall!W22+'EXP FD C'!V22*EurCall!W23)/(1+rate*dt)</f>
        <v>47.06040175705914</v>
      </c>
      <c r="W22" s="28">
        <f>('EXP FD A'!W22*EurCall!X21+'EXP FD B'!W22*EurCall!X22+'EXP FD C'!W22*EurCall!X23)/(1+rate*dt)</f>
        <v>47.058454769290691</v>
      </c>
      <c r="X22" s="28">
        <f>('EXP FD A'!X22*EurCall!Y21+'EXP FD B'!X22*EurCall!Y22+'EXP FD C'!X22*EurCall!Y23)/(1+rate*dt)</f>
        <v>47.056507684503075</v>
      </c>
      <c r="Y22" s="28">
        <f>('EXP FD A'!Y22*EurCall!Z21+'EXP FD B'!Y22*EurCall!Z22+'EXP FD C'!Y22*EurCall!Z23)/(1+rate*dt)</f>
        <v>47.054560502697719</v>
      </c>
      <c r="Z22" s="28">
        <f>('EXP FD A'!Z22*EurCall!AA21+'EXP FD B'!Z22*EurCall!AA22+'EXP FD C'!Z22*EurCall!AA23)/(1+rate*dt)</f>
        <v>47.052613223876051</v>
      </c>
      <c r="AA22" s="28">
        <f>('EXP FD A'!AA22*EurCall!AB21+'EXP FD B'!AA22*EurCall!AB22+'EXP FD C'!AA22*EurCall!AB23)/(1+rate*dt)</f>
        <v>47.050665848039444</v>
      </c>
      <c r="AB22" s="28">
        <f>('EXP FD A'!AB22*EurCall!AC21+'EXP FD B'!AB22*EurCall!AC22+'EXP FD C'!AB22*EurCall!AC23)/(1+rate*dt)</f>
        <v>47.048718375189083</v>
      </c>
      <c r="AC22" s="28">
        <f>('EXP FD A'!AC22*EurCall!AD21+'EXP FD B'!AC22*EurCall!AD22+'EXP FD C'!AC22*EurCall!AD23)/(1+rate*dt)</f>
        <v>47.046770805325984</v>
      </c>
      <c r="AD22" s="28">
        <f>('EXP FD A'!AD22*EurCall!AE21+'EXP FD B'!AD22*EurCall!AE22+'EXP FD C'!AD22*EurCall!AE23)/(1+rate*dt)</f>
        <v>47.044823138450681</v>
      </c>
      <c r="AE22" s="28">
        <f>('EXP FD A'!AE22*EurCall!AF21+'EXP FD B'!AE22*EurCall!AF22+'EXP FD C'!AE22*EurCall!AF23)/(1+rate*dt)</f>
        <v>47.042875374563536</v>
      </c>
      <c r="AF22" s="28">
        <f>('EXP FD A'!AF22*EurCall!AG21+'EXP FD B'!AF22*EurCall!AG22+'EXP FD C'!AF22*EurCall!AG23)/(1+rate*dt)</f>
        <v>47.040927513663874</v>
      </c>
      <c r="AG22" s="28">
        <f>('EXP FD A'!AG22*EurCall!AH21+'EXP FD B'!AG22*EurCall!AH22+'EXP FD C'!AG22*EurCall!AH23)/(1+rate*dt)</f>
        <v>47.038979555750849</v>
      </c>
      <c r="AH22" s="28">
        <f>('EXP FD A'!AH22*EurCall!AI21+'EXP FD B'!AH22*EurCall!AI22+'EXP FD C'!AH22*EurCall!AI23)/(1+rate*dt)</f>
        <v>47.037031500821712</v>
      </c>
      <c r="AI22" s="28">
        <f>('EXP FD A'!AI22*EurCall!AJ21+'EXP FD B'!AI22*EurCall!AJ22+'EXP FD C'!AI22*EurCall!AJ23)/(1+rate*dt)</f>
        <v>47.035083348873755</v>
      </c>
      <c r="AJ22" s="28">
        <f>('EXP FD A'!AJ22*EurCall!AK21+'EXP FD B'!AJ22*EurCall!AK22+'EXP FD C'!AJ22*EurCall!AK23)/(1+rate*dt)</f>
        <v>47.03313509990074</v>
      </c>
      <c r="AK22" s="28">
        <f>('EXP FD A'!AK22*EurCall!AL21+'EXP FD B'!AK22*EurCall!AL22+'EXP FD C'!AK22*EurCall!AL23)/(1+rate*dt)</f>
        <v>47.031186753897202</v>
      </c>
      <c r="AL22" s="28">
        <f>('EXP FD A'!AL22*EurCall!AM21+'EXP FD B'!AL22*EurCall!AM22+'EXP FD C'!AL22*EurCall!AM23)/(1+rate*dt)</f>
        <v>47.029238310851007</v>
      </c>
      <c r="AM22" s="28">
        <f>('EXP FD A'!AM22*EurCall!AN21+'EXP FD B'!AM22*EurCall!AN22+'EXP FD C'!AM22*EurCall!AN23)/(1+rate*dt)</f>
        <v>47.027289770752965</v>
      </c>
      <c r="AN22" s="28">
        <f>('EXP FD A'!AN22*EurCall!AO21+'EXP FD B'!AN22*EurCall!AO22+'EXP FD C'!AN22*EurCall!AO23)/(1+rate*dt)</f>
        <v>47.02534113358108</v>
      </c>
      <c r="AO22" s="28">
        <f>('EXP FD A'!AO22*EurCall!AP21+'EXP FD B'!AO22*EurCall!AP22+'EXP FD C'!AO22*EurCall!AP23)/(1+rate*dt)</f>
        <v>47.023392399321693</v>
      </c>
      <c r="AP22" s="28">
        <f>('EXP FD A'!AP22*EurCall!AQ21+'EXP FD B'!AP22*EurCall!AQ22+'EXP FD C'!AP22*EurCall!AQ23)/(1+rate*dt)</f>
        <v>47.021443567936288</v>
      </c>
      <c r="AQ22" s="28">
        <f>('EXP FD A'!AQ22*EurCall!AR21+'EXP FD B'!AQ22*EurCall!AR22+'EXP FD C'!AQ22*EurCall!AR23)/(1+rate*dt)</f>
        <v>47.019494639407185</v>
      </c>
      <c r="AR22" s="28">
        <f>('EXP FD A'!AR22*EurCall!AS21+'EXP FD B'!AR22*EurCall!AS22+'EXP FD C'!AR22*EurCall!AS23)/(1+rate*dt)</f>
        <v>47.01754561366927</v>
      </c>
      <c r="AS22" s="28">
        <f>('EXP FD A'!AS22*EurCall!AT21+'EXP FD B'!AS22*EurCall!AT22+'EXP FD C'!AS22*EurCall!AT23)/(1+rate*dt)</f>
        <v>47.015596490704034</v>
      </c>
      <c r="AT22" s="28">
        <f>('EXP FD A'!AT22*EurCall!AU21+'EXP FD B'!AT22*EurCall!AU22+'EXP FD C'!AT22*EurCall!AU23)/(1+rate*dt)</f>
        <v>47.013647270409407</v>
      </c>
      <c r="AU22" s="28">
        <f>('EXP FD A'!AU22*EurCall!AV21+'EXP FD B'!AU22*EurCall!AV22+'EXP FD C'!AU22*EurCall!AV23)/(1+rate*dt)</f>
        <v>47.011697952772941</v>
      </c>
      <c r="AV22" s="28">
        <f>('EXP FD A'!AV22*EurCall!AW21+'EXP FD B'!AV22*EurCall!AW22+'EXP FD C'!AV22*EurCall!AW23)/(1+rate*dt)</f>
        <v>47.009748537670582</v>
      </c>
      <c r="AW22" s="28">
        <f>('EXP FD A'!AW22*EurCall!AX21+'EXP FD B'!AW22*EurCall!AX22+'EXP FD C'!AW22*EurCall!AX23)/(1+rate*dt)</f>
        <v>47.007799025097469</v>
      </c>
      <c r="AX22" s="28">
        <f>('EXP FD A'!AX22*EurCall!AY21+'EXP FD B'!AX22*EurCall!AY22+'EXP FD C'!AX22*EurCall!AY23)/(1+rate*dt)</f>
        <v>47.005849415048722</v>
      </c>
      <c r="AY22" s="28">
        <f>('EXP FD A'!AY22*EurCall!AZ21+'EXP FD B'!AY22*EurCall!AZ22+'EXP FD C'!AY22*EurCall!AZ23)/(1+rate*dt)</f>
        <v>47.00389970751948</v>
      </c>
      <c r="AZ22" s="28">
        <f>('EXP FD A'!AZ22*EurCall!BA21+'EXP FD B'!AZ22*EurCall!BA22+'EXP FD C'!AZ22*EurCall!BA23)/(1+rate*dt)</f>
        <v>47.001949902504869</v>
      </c>
      <c r="BA22" s="6">
        <f t="shared" si="3"/>
        <v>47</v>
      </c>
    </row>
    <row r="23" spans="1:53" x14ac:dyDescent="0.2">
      <c r="A23" s="15">
        <f t="shared" si="4"/>
        <v>42</v>
      </c>
      <c r="B23" s="16">
        <f t="shared" si="0"/>
        <v>84</v>
      </c>
      <c r="C23" s="26">
        <f>('EXP FD A'!C23*EurCall!D22+'EXP FD B'!C23*EurCall!D23+'EXP FD C'!C23*EurCall!D24)/(1+rate*dt)</f>
        <v>45.097376043231783</v>
      </c>
      <c r="D23" s="28">
        <f>('EXP FD A'!D23*EurCall!E22+'EXP FD B'!D23*EurCall!E23+'EXP FD C'!D23*EurCall!E24)/(1+rate*dt)</f>
        <v>45.095430888316947</v>
      </c>
      <c r="E23" s="28">
        <f>('EXP FD A'!E23*EurCall!F22+'EXP FD B'!E23*EurCall!F23+'EXP FD C'!E23*EurCall!F24)/(1+rate*dt)</f>
        <v>45.093485639843934</v>
      </c>
      <c r="F23" s="28">
        <f>('EXP FD A'!F23*EurCall!G22+'EXP FD B'!F23*EurCall!G23+'EXP FD C'!F23*EurCall!G24)/(1+rate*dt)</f>
        <v>45.091540297039138</v>
      </c>
      <c r="G23" s="28">
        <f>('EXP FD A'!G23*EurCall!H22+'EXP FD B'!G23*EurCall!H23+'EXP FD C'!G23*EurCall!H24)/(1+rate*dt)</f>
        <v>45.089594859274641</v>
      </c>
      <c r="H23" s="28">
        <f>('EXP FD A'!H23*EurCall!I22+'EXP FD B'!H23*EurCall!I23+'EXP FD C'!H23*EurCall!I24)/(1+rate*dt)</f>
        <v>45.087649326046488</v>
      </c>
      <c r="I23" s="28">
        <f>('EXP FD A'!I23*EurCall!J22+'EXP FD B'!I23*EurCall!J23+'EXP FD C'!I23*EurCall!J24)/(1+rate*dt)</f>
        <v>45.085703696955079</v>
      </c>
      <c r="J23" s="28">
        <f>('EXP FD A'!J23*EurCall!K22+'EXP FD B'!J23*EurCall!K23+'EXP FD C'!J23*EurCall!K24)/(1+rate*dt)</f>
        <v>45.083757971687646</v>
      </c>
      <c r="K23" s="28">
        <f>('EXP FD A'!K23*EurCall!L22+'EXP FD B'!K23*EurCall!L23+'EXP FD C'!K23*EurCall!L24)/(1+rate*dt)</f>
        <v>45.081812150002754</v>
      </c>
      <c r="L23" s="28">
        <f>('EXP FD A'!L23*EurCall!M22+'EXP FD B'!L23*EurCall!M23+'EXP FD C'!L23*EurCall!M24)/(1+rate*dt)</f>
        <v>45.079866231716821</v>
      </c>
      <c r="M23" s="28">
        <f>('EXP FD A'!M23*EurCall!N22+'EXP FD B'!M23*EurCall!N23+'EXP FD C'!M23*EurCall!N24)/(1+rate*dt)</f>
        <v>45.077920216692434</v>
      </c>
      <c r="N23" s="28">
        <f>('EXP FD A'!N23*EurCall!O22+'EXP FD B'!N23*EurCall!O23+'EXP FD C'!N23*EurCall!O24)/(1+rate*dt)</f>
        <v>45.075974104828482</v>
      </c>
      <c r="O23" s="28">
        <f>('EXP FD A'!O23*EurCall!P22+'EXP FD B'!O23*EurCall!P23+'EXP FD C'!O23*EurCall!P24)/(1+rate*dt)</f>
        <v>45.074027896051959</v>
      </c>
      <c r="P23" s="28">
        <f>('EXP FD A'!P23*EurCall!Q22+'EXP FD B'!P23*EurCall!Q23+'EXP FD C'!P23*EurCall!Q24)/(1+rate*dt)</f>
        <v>45.072081590311036</v>
      </c>
      <c r="Q23" s="28">
        <f>('EXP FD A'!Q23*EurCall!R22+'EXP FD B'!Q23*EurCall!R23+'EXP FD C'!Q23*EurCall!R24)/(1+rate*dt)</f>
        <v>45.070135187569697</v>
      </c>
      <c r="R23" s="28">
        <f>('EXP FD A'!R23*EurCall!S22+'EXP FD B'!R23*EurCall!S23+'EXP FD C'!R23*EurCall!S24)/(1+rate*dt)</f>
        <v>45.0681886878033</v>
      </c>
      <c r="S23" s="28">
        <f>('EXP FD A'!S23*EurCall!T22+'EXP FD B'!S23*EurCall!T23+'EXP FD C'!S23*EurCall!T24)/(1+rate*dt)</f>
        <v>45.066242090995281</v>
      </c>
      <c r="T23" s="28">
        <f>('EXP FD A'!T23*EurCall!U22+'EXP FD B'!T23*EurCall!U23+'EXP FD C'!T23*EurCall!U24)/(1+rate*dt)</f>
        <v>45.064295397134536</v>
      </c>
      <c r="U23" s="28">
        <f>('EXP FD A'!U23*EurCall!V22+'EXP FD B'!U23*EurCall!V23+'EXP FD C'!U23*EurCall!V24)/(1+rate*dt)</f>
        <v>45.062348606213554</v>
      </c>
      <c r="V23" s="28">
        <f>('EXP FD A'!V23*EurCall!W22+'EXP FD B'!V23*EurCall!W23+'EXP FD C'!V23*EurCall!W24)/(1+rate*dt)</f>
        <v>45.060401718227098</v>
      </c>
      <c r="W23" s="28">
        <f>('EXP FD A'!W23*EurCall!X22+'EXP FD B'!W23*EurCall!X23+'EXP FD C'!W23*EurCall!X24)/(1+rate*dt)</f>
        <v>45.058454733171175</v>
      </c>
      <c r="X23" s="28">
        <f>('EXP FD A'!X23*EurCall!Y22+'EXP FD B'!X23*EurCall!Y23+'EXP FD C'!X23*EurCall!Y24)/(1+rate*dt)</f>
        <v>45.05650765104248</v>
      </c>
      <c r="Y23" s="28">
        <f>('EXP FD A'!Y23*EurCall!Z22+'EXP FD B'!Y23*EurCall!Z23+'EXP FD C'!Y23*EurCall!Z24)/(1+rate*dt)</f>
        <v>45.054560471837853</v>
      </c>
      <c r="Z23" s="28">
        <f>('EXP FD A'!Z23*EurCall!AA22+'EXP FD B'!Z23*EurCall!AA23+'EXP FD C'!Z23*EurCall!AA24)/(1+rate*dt)</f>
        <v>45.052613195554102</v>
      </c>
      <c r="AA23" s="28">
        <f>('EXP FD A'!AA23*EurCall!AB22+'EXP FD B'!AA23*EurCall!AB23+'EXP FD C'!AA23*EurCall!AB24)/(1+rate*dt)</f>
        <v>45.050665822187703</v>
      </c>
      <c r="AB23" s="28">
        <f>('EXP FD A'!AB23*EurCall!AC22+'EXP FD B'!AB23*EurCall!AC23+'EXP FD C'!AB23*EurCall!AC24)/(1+rate*dt)</f>
        <v>45.048718351734685</v>
      </c>
      <c r="AC23" s="28">
        <f>('EXP FD A'!AC23*EurCall!AD22+'EXP FD B'!AC23*EurCall!AD23+'EXP FD C'!AC23*EurCall!AD24)/(1+rate*dt)</f>
        <v>45.046770784190514</v>
      </c>
      <c r="AD23" s="28">
        <f>('EXP FD A'!AD23*EurCall!AE22+'EXP FD B'!AD23*EurCall!AE23+'EXP FD C'!AD23*EurCall!AE24)/(1+rate*dt)</f>
        <v>45.044823119549982</v>
      </c>
      <c r="AE23" s="28">
        <f>('EXP FD A'!AE23*EurCall!AF22+'EXP FD B'!AE23*EurCall!AF23+'EXP FD C'!AE23*EurCall!AF24)/(1+rate*dt)</f>
        <v>45.042875357806935</v>
      </c>
      <c r="AF23" s="28">
        <f>('EXP FD A'!AF23*EurCall!AG22+'EXP FD B'!AF23*EurCall!AG23+'EXP FD C'!AF23*EurCall!AG24)/(1+rate*dt)</f>
        <v>45.040927498954431</v>
      </c>
      <c r="AG23" s="28">
        <f>('EXP FD A'!AG23*EurCall!AH22+'EXP FD B'!AG23*EurCall!AH23+'EXP FD C'!AG23*EurCall!AH24)/(1+rate*dt)</f>
        <v>45.038979542984102</v>
      </c>
      <c r="AH23" s="28">
        <f>('EXP FD A'!AH23*EurCall!AI22+'EXP FD B'!AH23*EurCall!AI23+'EXP FD C'!AH23*EurCall!AI24)/(1+rate*dt)</f>
        <v>45.037031489886601</v>
      </c>
      <c r="AI23" s="28">
        <f>('EXP FD A'!AI23*EurCall!AJ22+'EXP FD B'!AI23*EurCall!AJ23+'EXP FD C'!AI23*EurCall!AJ24)/(1+rate*dt)</f>
        <v>45.03508333965047</v>
      </c>
      <c r="AJ23" s="28">
        <f>('EXP FD A'!AJ23*EurCall!AK22+'EXP FD B'!AJ23*EurCall!AK23+'EXP FD C'!AJ23*EurCall!AK24)/(1+rate*dt)</f>
        <v>45.03313509226323</v>
      </c>
      <c r="AK23" s="28">
        <f>('EXP FD A'!AK23*EurCall!AL22+'EXP FD B'!AK23*EurCall!AL23+'EXP FD C'!AK23*EurCall!AL24)/(1+rate*dt)</f>
        <v>45.03118674770915</v>
      </c>
      <c r="AL23" s="28">
        <f>('EXP FD A'!AL23*EurCall!AM22+'EXP FD B'!AL23*EurCall!AM23+'EXP FD C'!AL23*EurCall!AM24)/(1+rate*dt)</f>
        <v>45.029238305971852</v>
      </c>
      <c r="AM23" s="28">
        <f>('EXP FD A'!AM23*EurCall!AN22+'EXP FD B'!AM23*EurCall!AN23+'EXP FD C'!AM23*EurCall!AN24)/(1+rate*dt)</f>
        <v>45.027289767029707</v>
      </c>
      <c r="AN23" s="28">
        <f>('EXP FD A'!AN23*EurCall!AO22+'EXP FD B'!AN23*EurCall!AO23+'EXP FD C'!AN23*EurCall!AO24)/(1+rate*dt)</f>
        <v>45.025341130861911</v>
      </c>
      <c r="AO23" s="28">
        <f>('EXP FD A'!AO23*EurCall!AP22+'EXP FD B'!AO23*EurCall!AP23+'EXP FD C'!AO23*EurCall!AP24)/(1+rate*dt)</f>
        <v>45.023392397438975</v>
      </c>
      <c r="AP23" s="28">
        <f>('EXP FD A'!AP23*EurCall!AQ22+'EXP FD B'!AP23*EurCall!AQ23+'EXP FD C'!AP23*EurCall!AQ24)/(1+rate*dt)</f>
        <v>45.021443566736046</v>
      </c>
      <c r="AQ23" s="28">
        <f>('EXP FD A'!AQ23*EurCall!AR22+'EXP FD B'!AQ23*EurCall!AR23+'EXP FD C'!AQ23*EurCall!AR24)/(1+rate*dt)</f>
        <v>45.019494638713844</v>
      </c>
      <c r="AR23" s="28">
        <f>('EXP FD A'!AR23*EurCall!AS22+'EXP FD B'!AR23*EurCall!AS23+'EXP FD C'!AR23*EurCall!AS24)/(1+rate*dt)</f>
        <v>45.017545613346364</v>
      </c>
      <c r="AS23" s="28">
        <f>('EXP FD A'!AS23*EurCall!AT22+'EXP FD B'!AS23*EurCall!AT23+'EXP FD C'!AS23*EurCall!AT24)/(1+rate*dt)</f>
        <v>45.015596490584869</v>
      </c>
      <c r="AT23" s="28">
        <f>('EXP FD A'!AT23*EurCall!AU22+'EXP FD B'!AT23*EurCall!AU23+'EXP FD C'!AT23*EurCall!AU24)/(1+rate*dt)</f>
        <v>45.013647270409415</v>
      </c>
      <c r="AU23" s="28">
        <f>('EXP FD A'!AU23*EurCall!AV22+'EXP FD B'!AU23*EurCall!AV23+'EXP FD C'!AU23*EurCall!AV24)/(1+rate*dt)</f>
        <v>45.011697952772934</v>
      </c>
      <c r="AV23" s="28">
        <f>('EXP FD A'!AV23*EurCall!AW22+'EXP FD B'!AV23*EurCall!AW23+'EXP FD C'!AV23*EurCall!AW24)/(1+rate*dt)</f>
        <v>45.009748537670575</v>
      </c>
      <c r="AW23" s="28">
        <f>('EXP FD A'!AW23*EurCall!AX22+'EXP FD B'!AW23*EurCall!AX23+'EXP FD C'!AW23*EurCall!AX24)/(1+rate*dt)</f>
        <v>45.007799025097469</v>
      </c>
      <c r="AX23" s="28">
        <f>('EXP FD A'!AX23*EurCall!AY22+'EXP FD B'!AX23*EurCall!AY23+'EXP FD C'!AX23*EurCall!AY24)/(1+rate*dt)</f>
        <v>45.005849415048729</v>
      </c>
      <c r="AY23" s="28">
        <f>('EXP FD A'!AY23*EurCall!AZ22+'EXP FD B'!AY23*EurCall!AZ23+'EXP FD C'!AY23*EurCall!AZ24)/(1+rate*dt)</f>
        <v>45.003899707519487</v>
      </c>
      <c r="AZ23" s="28">
        <f>('EXP FD A'!AZ23*EurCall!BA22+'EXP FD B'!AZ23*EurCall!BA23+'EXP FD C'!AZ23*EurCall!BA24)/(1+rate*dt)</f>
        <v>45.001949902504869</v>
      </c>
      <c r="BA23" s="6">
        <f t="shared" si="3"/>
        <v>45</v>
      </c>
    </row>
    <row r="24" spans="1:53" x14ac:dyDescent="0.2">
      <c r="A24" s="15">
        <f t="shared" si="4"/>
        <v>41</v>
      </c>
      <c r="B24" s="16">
        <f t="shared" si="0"/>
        <v>82</v>
      </c>
      <c r="C24" s="26">
        <f>('EXP FD A'!C24*EurCall!D23+'EXP FD B'!C24*EurCall!D24+'EXP FD C'!C24*EurCall!D25)/(1+rate*dt)</f>
        <v>43.097376058495705</v>
      </c>
      <c r="D24" s="28">
        <f>('EXP FD A'!D24*EurCall!E23+'EXP FD B'!D24*EurCall!E24+'EXP FD C'!D24*EurCall!E25)/(1+rate*dt)</f>
        <v>43.095430885120031</v>
      </c>
      <c r="E24" s="28">
        <f>('EXP FD A'!E24*EurCall!F23+'EXP FD B'!E24*EurCall!F24+'EXP FD C'!E24*EurCall!F25)/(1+rate*dt)</f>
        <v>43.09348562288659</v>
      </c>
      <c r="F24" s="28">
        <f>('EXP FD A'!F24*EurCall!G23+'EXP FD B'!F24*EurCall!G24+'EXP FD C'!F24*EurCall!G25)/(1+rate*dt)</f>
        <v>43.091540270110272</v>
      </c>
      <c r="G24" s="28">
        <f>('EXP FD A'!G24*EurCall!H23+'EXP FD B'!G24*EurCall!H24+'EXP FD C'!G24*EurCall!H25)/(1+rate*dt)</f>
        <v>43.089594825393995</v>
      </c>
      <c r="H24" s="28">
        <f>('EXP FD A'!H24*EurCall!I23+'EXP FD B'!H24*EurCall!I24+'EXP FD C'!H24*EurCall!I25)/(1+rate*dt)</f>
        <v>43.087649287591191</v>
      </c>
      <c r="I24" s="28">
        <f>('EXP FD A'!I24*EurCall!J23+'EXP FD B'!I24*EurCall!J24+'EXP FD C'!I24*EurCall!J25)/(1+rate*dt)</f>
        <v>43.085703655771177</v>
      </c>
      <c r="J24" s="28">
        <f>('EXP FD A'!J24*EurCall!K23+'EXP FD B'!J24*EurCall!K24+'EXP FD C'!J24*EurCall!K25)/(1+rate*dt)</f>
        <v>43.083757929187314</v>
      </c>
      <c r="K24" s="28">
        <f>('EXP FD A'!K24*EurCall!L23+'EXP FD B'!K24*EurCall!L24+'EXP FD C'!K24*EurCall!L25)/(1+rate*dt)</f>
        <v>43.081812107248091</v>
      </c>
      <c r="L24" s="28">
        <f>('EXP FD A'!L24*EurCall!M23+'EXP FD B'!L24*EurCall!M24+'EXP FD C'!L24*EurCall!M25)/(1+rate*dt)</f>
        <v>43.079866189491128</v>
      </c>
      <c r="M24" s="28">
        <f>('EXP FD A'!M24*EurCall!N23+'EXP FD B'!M24*EurCall!N24+'EXP FD C'!M24*EurCall!N25)/(1+rate*dt)</f>
        <v>43.077920175560195</v>
      </c>
      <c r="N24" s="28">
        <f>('EXP FD A'!N24*EurCall!O23+'EXP FD B'!N24*EurCall!O24+'EXP FD C'!N24*EurCall!O25)/(1+rate*dt)</f>
        <v>43.075974065185015</v>
      </c>
      <c r="O24" s="28">
        <f>('EXP FD A'!O24*EurCall!P23+'EXP FD B'!O24*EurCall!P24+'EXP FD C'!O24*EurCall!P25)/(1+rate*dt)</f>
        <v>43.074027858163795</v>
      </c>
      <c r="P24" s="28">
        <f>('EXP FD A'!P24*EurCall!Q23+'EXP FD B'!P24*EurCall!Q24+'EXP FD C'!P24*EurCall!Q25)/(1+rate*dt)</f>
        <v>43.0720815543485</v>
      </c>
      <c r="Q24" s="28">
        <f>('EXP FD A'!Q24*EurCall!R23+'EXP FD B'!Q24*EurCall!R24+'EXP FD C'!Q24*EurCall!R25)/(1+rate*dt)</f>
        <v>43.070135153632329</v>
      </c>
      <c r="R24" s="28">
        <f>('EXP FD A'!R24*EurCall!S23+'EXP FD B'!R24*EurCall!S24+'EXP FD C'!R24*EurCall!S25)/(1+rate*dt)</f>
        <v>43.068188655939579</v>
      </c>
      <c r="S24" s="28">
        <f>('EXP FD A'!S24*EurCall!T23+'EXP FD B'!S24*EurCall!T24+'EXP FD C'!S24*EurCall!T25)/(1+rate*dt)</f>
        <v>43.066242061217416</v>
      </c>
      <c r="T24" s="28">
        <f>('EXP FD A'!T24*EurCall!U23+'EXP FD B'!T24*EurCall!U24+'EXP FD C'!T24*EurCall!U25)/(1+rate*dt)</f>
        <v>43.064295369429374</v>
      </c>
      <c r="U24" s="28">
        <f>('EXP FD A'!U24*EurCall!V23+'EXP FD B'!U24*EurCall!V24+'EXP FD C'!U24*EurCall!V25)/(1+rate*dt)</f>
        <v>43.062348580550321</v>
      </c>
      <c r="V24" s="28">
        <f>('EXP FD A'!V24*EurCall!W23+'EXP FD B'!V24*EurCall!W24+'EXP FD C'!V24*EurCall!W25)/(1+rate*dt)</f>
        <v>43.060401694562728</v>
      </c>
      <c r="W24" s="28">
        <f>('EXP FD A'!W24*EurCall!X23+'EXP FD B'!W24*EurCall!X24+'EXP FD C'!W24*EurCall!X25)/(1+rate*dt)</f>
        <v>43.058454711453898</v>
      </c>
      <c r="X24" s="28">
        <f>('EXP FD A'!X24*EurCall!Y23+'EXP FD B'!X24*EurCall!Y24+'EXP FD C'!X24*EurCall!Y25)/(1+rate*dt)</f>
        <v>43.056507631214004</v>
      </c>
      <c r="Y24" s="28">
        <f>('EXP FD A'!Y24*EurCall!Z23+'EXP FD B'!Y24*EurCall!Z24+'EXP FD C'!Y24*EurCall!Z25)/(1+rate*dt)</f>
        <v>43.054560453834775</v>
      </c>
      <c r="Z24" s="28">
        <f>('EXP FD A'!Z24*EurCall!AA23+'EXP FD B'!Z24*EurCall!AA24+'EXP FD C'!Z24*EurCall!AA25)/(1+rate*dt)</f>
        <v>43.052613179308558</v>
      </c>
      <c r="AA24" s="28">
        <f>('EXP FD A'!AA24*EurCall!AB23+'EXP FD B'!AA24*EurCall!AB24+'EXP FD C'!AA24*EurCall!AB25)/(1+rate*dt)</f>
        <v>43.05066580762778</v>
      </c>
      <c r="AB24" s="28">
        <f>('EXP FD A'!AB24*EurCall!AC23+'EXP FD B'!AB24*EurCall!AC24+'EXP FD C'!AB24*EurCall!AC25)/(1+rate*dt)</f>
        <v>43.048718338784553</v>
      </c>
      <c r="AC24" s="28">
        <f>('EXP FD A'!AC24*EurCall!AD23+'EXP FD B'!AC24*EurCall!AD24+'EXP FD C'!AC24*EurCall!AD25)/(1+rate*dt)</f>
        <v>43.046770772770429</v>
      </c>
      <c r="AD24" s="28">
        <f>('EXP FD A'!AD24*EurCall!AE23+'EXP FD B'!AD24*EurCall!AE24+'EXP FD C'!AD24*EurCall!AE25)/(1+rate*dt)</f>
        <v>43.044823109576235</v>
      </c>
      <c r="AE24" s="28">
        <f>('EXP FD A'!AE24*EurCall!AF23+'EXP FD B'!AE24*EurCall!AF24+'EXP FD C'!AE24*EurCall!AF25)/(1+rate*dt)</f>
        <v>43.042875349192023</v>
      </c>
      <c r="AF24" s="28">
        <f>('EXP FD A'!AF24*EurCall!AG23+'EXP FD B'!AF24*EurCall!AG24+'EXP FD C'!AF24*EurCall!AG25)/(1+rate*dt)</f>
        <v>43.040927491606787</v>
      </c>
      <c r="AG24" s="28">
        <f>('EXP FD A'!AG24*EurCall!AH23+'EXP FD B'!AG24*EurCall!AH24+'EXP FD C'!AG24*EurCall!AH25)/(1+rate*dt)</f>
        <v>43.038979536808625</v>
      </c>
      <c r="AH24" s="28">
        <f>('EXP FD A'!AH24*EurCall!AI23+'EXP FD B'!AH24*EurCall!AI24+'EXP FD C'!AH24*EurCall!AI25)/(1+rate*dt)</f>
        <v>43.037031484784308</v>
      </c>
      <c r="AI24" s="28">
        <f>('EXP FD A'!AI24*EurCall!AJ23+'EXP FD B'!AI24*EurCall!AJ24+'EXP FD C'!AI24*EurCall!AJ25)/(1+rate*dt)</f>
        <v>43.035083335519616</v>
      </c>
      <c r="AJ24" s="28">
        <f>('EXP FD A'!AJ24*EurCall!AK23+'EXP FD B'!AJ24*EurCall!AK24+'EXP FD C'!AJ24*EurCall!AK25)/(1+rate*dt)</f>
        <v>43.033135088998669</v>
      </c>
      <c r="AK24" s="28">
        <f>('EXP FD A'!AK24*EurCall!AL23+'EXP FD B'!AK24*EurCall!AL24+'EXP FD C'!AK24*EurCall!AL25)/(1+rate*dt)</f>
        <v>43.031186745204693</v>
      </c>
      <c r="AL24" s="28">
        <f>('EXP FD A'!AL24*EurCall!AM23+'EXP FD B'!AL24*EurCall!AM24+'EXP FD C'!AL24*EurCall!AM25)/(1+rate*dt)</f>
        <v>43.029238304118842</v>
      </c>
      <c r="AM24" s="28">
        <f>('EXP FD A'!AM24*EurCall!AN23+'EXP FD B'!AM24*EurCall!AN24+'EXP FD C'!AM24*EurCall!AN25)/(1+rate*dt)</f>
        <v>43.027289765721875</v>
      </c>
      <c r="AN24" s="28">
        <f>('EXP FD A'!AN24*EurCall!AO23+'EXP FD B'!AN24*EurCall!AO24+'EXP FD C'!AN24*EurCall!AO25)/(1+rate*dt)</f>
        <v>43.025341129991922</v>
      </c>
      <c r="AO24" s="28">
        <f>('EXP FD A'!AO24*EurCall!AP23+'EXP FD B'!AO24*EurCall!AP24+'EXP FD C'!AO24*EurCall!AP25)/(1+rate*dt)</f>
        <v>43.023392396908164</v>
      </c>
      <c r="AP24" s="28">
        <f>('EXP FD A'!AP24*EurCall!AQ23+'EXP FD B'!AP24*EurCall!AQ24+'EXP FD C'!AP24*EurCall!AQ25)/(1+rate*dt)</f>
        <v>43.021443566446351</v>
      </c>
      <c r="AQ24" s="28">
        <f>('EXP FD A'!AQ24*EurCall!AR23+'EXP FD B'!AQ24*EurCall!AR24+'EXP FD C'!AQ24*EurCall!AR25)/(1+rate*dt)</f>
        <v>43.019494638586494</v>
      </c>
      <c r="AR24" s="28">
        <f>('EXP FD A'!AR24*EurCall!AS23+'EXP FD B'!AR24*EurCall!AS24+'EXP FD C'!AR24*EurCall!AS25)/(1+rate*dt)</f>
        <v>43.017545613304208</v>
      </c>
      <c r="AS24" s="28">
        <f>('EXP FD A'!AS24*EurCall!AT23+'EXP FD B'!AS24*EurCall!AT24+'EXP FD C'!AS24*EurCall!AT25)/(1+rate*dt)</f>
        <v>43.015596490584883</v>
      </c>
      <c r="AT24" s="28">
        <f>('EXP FD A'!AT24*EurCall!AU23+'EXP FD B'!AT24*EurCall!AU24+'EXP FD C'!AT24*EurCall!AU25)/(1+rate*dt)</f>
        <v>43.013647270409415</v>
      </c>
      <c r="AU24" s="28">
        <f>('EXP FD A'!AU24*EurCall!AV23+'EXP FD B'!AU24*EurCall!AV24+'EXP FD C'!AU24*EurCall!AV25)/(1+rate*dt)</f>
        <v>43.011697952772941</v>
      </c>
      <c r="AV24" s="28">
        <f>('EXP FD A'!AV24*EurCall!AW23+'EXP FD B'!AV24*EurCall!AW24+'EXP FD C'!AV24*EurCall!AW25)/(1+rate*dt)</f>
        <v>43.009748537670589</v>
      </c>
      <c r="AW24" s="28">
        <f>('EXP FD A'!AW24*EurCall!AX23+'EXP FD B'!AW24*EurCall!AX24+'EXP FD C'!AW24*EurCall!AX25)/(1+rate*dt)</f>
        <v>43.007799025097469</v>
      </c>
      <c r="AX24" s="28">
        <f>('EXP FD A'!AX24*EurCall!AY23+'EXP FD B'!AX24*EurCall!AY24+'EXP FD C'!AX24*EurCall!AY25)/(1+rate*dt)</f>
        <v>43.005849415048729</v>
      </c>
      <c r="AY24" s="28">
        <f>('EXP FD A'!AY24*EurCall!AZ23+'EXP FD B'!AY24*EurCall!AZ24+'EXP FD C'!AY24*EurCall!AZ25)/(1+rate*dt)</f>
        <v>43.003899707519487</v>
      </c>
      <c r="AZ24" s="28">
        <f>('EXP FD A'!AZ24*EurCall!BA23+'EXP FD B'!AZ24*EurCall!BA24+'EXP FD C'!AZ24*EurCall!BA25)/(1+rate*dt)</f>
        <v>43.001949902504869</v>
      </c>
      <c r="BA24" s="6">
        <f t="shared" si="3"/>
        <v>43</v>
      </c>
    </row>
    <row r="25" spans="1:53" x14ac:dyDescent="0.2">
      <c r="A25" s="15">
        <f t="shared" si="4"/>
        <v>40</v>
      </c>
      <c r="B25" s="16">
        <f t="shared" si="0"/>
        <v>80</v>
      </c>
      <c r="C25" s="26">
        <f>('EXP FD A'!C25*EurCall!D24+'EXP FD B'!C25*EurCall!D25+'EXP FD C'!C25*EurCall!D26)/(1+rate*dt)</f>
        <v>41.097376230750747</v>
      </c>
      <c r="D25" s="28">
        <f>('EXP FD A'!D25*EurCall!E24+'EXP FD B'!D25*EurCall!E25+'EXP FD C'!D25*EurCall!E26)/(1+rate*dt)</f>
        <v>41.095431007744104</v>
      </c>
      <c r="E25" s="28">
        <f>('EXP FD A'!E25*EurCall!F24+'EXP FD B'!E25*EurCall!F25+'EXP FD C'!E25*EurCall!F26)/(1+rate*dt)</f>
        <v>41.093485706601868</v>
      </c>
      <c r="F25" s="28">
        <f>('EXP FD A'!F25*EurCall!G24+'EXP FD B'!F25*EurCall!G25+'EXP FD C'!F25*EurCall!G26)/(1+rate*dt)</f>
        <v>41.091540323743089</v>
      </c>
      <c r="G25" s="28">
        <f>('EXP FD A'!G25*EurCall!H24+'EXP FD B'!G25*EurCall!H25+'EXP FD C'!G25*EurCall!H26)/(1+rate*dt)</f>
        <v>41.089594856137317</v>
      </c>
      <c r="H25" s="28">
        <f>('EXP FD A'!H25*EurCall!I24+'EXP FD B'!H25*EurCall!I25+'EXP FD C'!H25*EurCall!I26)/(1+rate*dt)</f>
        <v>41.087649301243729</v>
      </c>
      <c r="I25" s="28">
        <f>('EXP FD A'!I25*EurCall!J24+'EXP FD B'!I25*EurCall!J25+'EXP FD C'!I25*EurCall!J26)/(1+rate*dt)</f>
        <v>41.085703656953108</v>
      </c>
      <c r="J25" s="28">
        <f>('EXP FD A'!J25*EurCall!K24+'EXP FD B'!J25*EurCall!K25+'EXP FD C'!J25*EurCall!K26)/(1+rate*dt)</f>
        <v>41.083757921533049</v>
      </c>
      <c r="K25" s="28">
        <f>('EXP FD A'!K25*EurCall!L24+'EXP FD B'!K25*EurCall!L25+'EXP FD C'!K25*EurCall!L26)/(1+rate*dt)</f>
        <v>41.081812093576879</v>
      </c>
      <c r="L25" s="28">
        <f>('EXP FD A'!L25*EurCall!M24+'EXP FD B'!L25*EurCall!M25+'EXP FD C'!L25*EurCall!M26)/(1+rate*dt)</f>
        <v>41.079866171956319</v>
      </c>
      <c r="M25" s="28">
        <f>('EXP FD A'!M25*EurCall!N24+'EXP FD B'!M25*EurCall!N25+'EXP FD C'!M25*EurCall!N26)/(1+rate*dt)</f>
        <v>41.077920155778273</v>
      </c>
      <c r="N25" s="28">
        <f>('EXP FD A'!N25*EurCall!O24+'EXP FD B'!N25*EurCall!O25+'EXP FD C'!N25*EurCall!O26)/(1+rate*dt)</f>
        <v>41.075974044345735</v>
      </c>
      <c r="O25" s="28">
        <f>('EXP FD A'!O25*EurCall!P24+'EXP FD B'!O25*EurCall!P25+'EXP FD C'!O25*EurCall!P26)/(1+rate*dt)</f>
        <v>41.074027837122969</v>
      </c>
      <c r="P25" s="28">
        <f>('EXP FD A'!P25*EurCall!Q24+'EXP FD B'!P25*EurCall!Q25+'EXP FD C'!P25*EurCall!Q26)/(1+rate*dt)</f>
        <v>41.07208153370479</v>
      </c>
      <c r="Q25" s="28">
        <f>('EXP FD A'!Q25*EurCall!R24+'EXP FD B'!Q25*EurCall!R25+'EXP FD C'!Q25*EurCall!R26)/(1+rate*dt)</f>
        <v>41.070135133790046</v>
      </c>
      <c r="R25" s="28">
        <f>('EXP FD A'!R25*EurCall!S24+'EXP FD B'!R25*EurCall!S25+'EXP FD C'!R25*EurCall!S26)/(1+rate*dt)</f>
        <v>41.068188637158912</v>
      </c>
      <c r="S25" s="28">
        <f>('EXP FD A'!S25*EurCall!T24+'EXP FD B'!S25*EurCall!T25+'EXP FD C'!S25*EurCall!T26)/(1+rate*dt)</f>
        <v>41.066242043653823</v>
      </c>
      <c r="T25" s="28">
        <f>('EXP FD A'!T25*EurCall!U24+'EXP FD B'!T25*EurCall!U25+'EXP FD C'!T25*EurCall!U26)/(1+rate*dt)</f>
        <v>41.064295353163963</v>
      </c>
      <c r="U25" s="28">
        <f>('EXP FD A'!U25*EurCall!V24+'EXP FD B'!U25*EurCall!V25+'EXP FD C'!U25*EurCall!V26)/(1+rate*dt)</f>
        <v>41.062348565612595</v>
      </c>
      <c r="V25" s="28">
        <f>('EXP FD A'!V25*EurCall!W24+'EXP FD B'!V25*EurCall!W25+'EXP FD C'!V25*EurCall!W26)/(1+rate*dt)</f>
        <v>41.060401680947194</v>
      </c>
      <c r="W25" s="28">
        <f>('EXP FD A'!W25*EurCall!X24+'EXP FD B'!W25*EurCall!X25+'EXP FD C'!W25*EurCall!X26)/(1+rate*dt)</f>
        <v>41.058454699131843</v>
      </c>
      <c r="X25" s="28">
        <f>('EXP FD A'!X25*EurCall!Y24+'EXP FD B'!X25*EurCall!Y25+'EXP FD C'!X25*EurCall!Y26)/(1+rate*dt)</f>
        <v>41.056507620141616</v>
      </c>
      <c r="Y25" s="28">
        <f>('EXP FD A'!Y25*EurCall!Z24+'EXP FD B'!Y25*EurCall!Z25+'EXP FD C'!Y25*EurCall!Z26)/(1+rate*dt)</f>
        <v>41.054560443958458</v>
      </c>
      <c r="Z25" s="28">
        <f>('EXP FD A'!Z25*EurCall!AA24+'EXP FD B'!Z25*EurCall!AA25+'EXP FD C'!Z25*EurCall!AA26)/(1+rate*dt)</f>
        <v>41.052613170568357</v>
      </c>
      <c r="AA25" s="28">
        <f>('EXP FD A'!AA25*EurCall!AB24+'EXP FD B'!AA25*EurCall!AB25+'EXP FD C'!AA25*EurCall!AB26)/(1+rate*dt)</f>
        <v>41.050665799959482</v>
      </c>
      <c r="AB25" s="28">
        <f>('EXP FD A'!AB25*EurCall!AC24+'EXP FD B'!AB25*EurCall!AC25+'EXP FD C'!AB25*EurCall!AC26)/(1+rate*dt)</f>
        <v>41.048718332120892</v>
      </c>
      <c r="AC25" s="28">
        <f>('EXP FD A'!AC25*EurCall!AD24+'EXP FD B'!AC25*EurCall!AD25+'EXP FD C'!AC25*EurCall!AD26)/(1+rate*dt)</f>
        <v>41.046770767041856</v>
      </c>
      <c r="AD25" s="28">
        <f>('EXP FD A'!AD25*EurCall!AE24+'EXP FD B'!AD25*EurCall!AE25+'EXP FD C'!AD25*EurCall!AE26)/(1+rate*dt)</f>
        <v>41.044823104711426</v>
      </c>
      <c r="AE25" s="28">
        <f>('EXP FD A'!AE25*EurCall!AF24+'EXP FD B'!AE25*EurCall!AF25+'EXP FD C'!AE25*EurCall!AF26)/(1+rate*dt)</f>
        <v>41.042875345118134</v>
      </c>
      <c r="AF25" s="28">
        <f>('EXP FD A'!AF25*EurCall!AG24+'EXP FD B'!AF25*EurCall!AG25+'EXP FD C'!AF25*EurCall!AG26)/(1+rate*dt)</f>
        <v>41.040927488249984</v>
      </c>
      <c r="AG25" s="28">
        <f>('EXP FD A'!AG25*EurCall!AH24+'EXP FD B'!AG25*EurCall!AH25+'EXP FD C'!AG25*EurCall!AH26)/(1+rate*dt)</f>
        <v>41.038979534094288</v>
      </c>
      <c r="AH25" s="28">
        <f>('EXP FD A'!AH25*EurCall!AI24+'EXP FD B'!AH25*EurCall!AI25+'EXP FD C'!AH25*EurCall!AI26)/(1+rate*dt)</f>
        <v>41.037031482637786</v>
      </c>
      <c r="AI25" s="28">
        <f>('EXP FD A'!AI25*EurCall!AJ24+'EXP FD B'!AI25*EurCall!AJ25+'EXP FD C'!AI25*EurCall!AJ26)/(1+rate*dt)</f>
        <v>41.035083333866488</v>
      </c>
      <c r="AJ25" s="28">
        <f>('EXP FD A'!AJ25*EurCall!AK24+'EXP FD B'!AJ25*EurCall!AK25+'EXP FD C'!AJ25*EurCall!AK26)/(1+rate*dt)</f>
        <v>41.033135087765984</v>
      </c>
      <c r="AK25" s="28">
        <f>('EXP FD A'!AK25*EurCall!AL24+'EXP FD B'!AK25*EurCall!AL25+'EXP FD C'!AK25*EurCall!AL26)/(1+rate*dt)</f>
        <v>41.031186744321175</v>
      </c>
      <c r="AL25" s="28">
        <f>('EXP FD A'!AL25*EurCall!AM24+'EXP FD B'!AL25*EurCall!AM25+'EXP FD C'!AL25*EurCall!AM26)/(1+rate*dt)</f>
        <v>41.029238303516877</v>
      </c>
      <c r="AM25" s="28">
        <f>('EXP FD A'!AM25*EurCall!AN24+'EXP FD B'!AM25*EurCall!AN25+'EXP FD C'!AM25*EurCall!AN26)/(1+rate*dt)</f>
        <v>41.027289765337422</v>
      </c>
      <c r="AN25" s="28">
        <f>('EXP FD A'!AN25*EurCall!AO24+'EXP FD B'!AN25*EurCall!AO25+'EXP FD C'!AN25*EurCall!AO26)/(1+rate*dt)</f>
        <v>41.025341129767746</v>
      </c>
      <c r="AO25" s="28">
        <f>('EXP FD A'!AO25*EurCall!AP24+'EXP FD B'!AO25*EurCall!AP25+'EXP FD C'!AO25*EurCall!AP26)/(1+rate*dt)</f>
        <v>41.023392396792588</v>
      </c>
      <c r="AP25" s="28">
        <f>('EXP FD A'!AP25*EurCall!AQ24+'EXP FD B'!AP25*EurCall!AQ25+'EXP FD C'!AP25*EurCall!AQ26)/(1+rate*dt)</f>
        <v>41.021443566398524</v>
      </c>
      <c r="AQ25" s="28">
        <f>('EXP FD A'!AQ25*EurCall!AR24+'EXP FD B'!AQ25*EurCall!AR25+'EXP FD C'!AQ25*EurCall!AR26)/(1+rate*dt)</f>
        <v>41.01949463857229</v>
      </c>
      <c r="AR25" s="28">
        <f>('EXP FD A'!AR25*EurCall!AS24+'EXP FD B'!AR25*EurCall!AS25+'EXP FD C'!AR25*EurCall!AS26)/(1+rate*dt)</f>
        <v>41.017545613304222</v>
      </c>
      <c r="AS25" s="28">
        <f>('EXP FD A'!AS25*EurCall!AT24+'EXP FD B'!AS25*EurCall!AT25+'EXP FD C'!AS25*EurCall!AT26)/(1+rate*dt)</f>
        <v>41.01559649058489</v>
      </c>
      <c r="AT25" s="28">
        <f>('EXP FD A'!AT25*EurCall!AU24+'EXP FD B'!AT25*EurCall!AU25+'EXP FD C'!AT25*EurCall!AU26)/(1+rate*dt)</f>
        <v>41.013647270409422</v>
      </c>
      <c r="AU25" s="28">
        <f>('EXP FD A'!AU25*EurCall!AV24+'EXP FD B'!AU25*EurCall!AV25+'EXP FD C'!AU25*EurCall!AV26)/(1+rate*dt)</f>
        <v>41.011697952772948</v>
      </c>
      <c r="AV25" s="28">
        <f>('EXP FD A'!AV25*EurCall!AW24+'EXP FD B'!AV25*EurCall!AW25+'EXP FD C'!AV25*EurCall!AW26)/(1+rate*dt)</f>
        <v>41.009748537670589</v>
      </c>
      <c r="AW25" s="28">
        <f>('EXP FD A'!AW25*EurCall!AX24+'EXP FD B'!AW25*EurCall!AX25+'EXP FD C'!AW25*EurCall!AX26)/(1+rate*dt)</f>
        <v>41.007799025097476</v>
      </c>
      <c r="AX25" s="28">
        <f>('EXP FD A'!AX25*EurCall!AY24+'EXP FD B'!AX25*EurCall!AY25+'EXP FD C'!AX25*EurCall!AY26)/(1+rate*dt)</f>
        <v>41.005849415048729</v>
      </c>
      <c r="AY25" s="28">
        <f>('EXP FD A'!AY25*EurCall!AZ24+'EXP FD B'!AY25*EurCall!AZ25+'EXP FD C'!AY25*EurCall!AZ26)/(1+rate*dt)</f>
        <v>41.003899707519494</v>
      </c>
      <c r="AZ25" s="28">
        <f>('EXP FD A'!AZ25*EurCall!BA24+'EXP FD B'!AZ25*EurCall!BA25+'EXP FD C'!AZ25*EurCall!BA26)/(1+rate*dt)</f>
        <v>41.001949902504876</v>
      </c>
      <c r="BA25" s="6">
        <f t="shared" si="3"/>
        <v>41</v>
      </c>
    </row>
    <row r="26" spans="1:53" x14ac:dyDescent="0.2">
      <c r="A26" s="15">
        <f t="shared" si="4"/>
        <v>39</v>
      </c>
      <c r="B26" s="16">
        <f t="shared" si="0"/>
        <v>78</v>
      </c>
      <c r="C26" s="26">
        <f>('EXP FD A'!C26*EurCall!D25+'EXP FD B'!C26*EurCall!D26+'EXP FD C'!C26*EurCall!D27)/(1+rate*dt)</f>
        <v>39.09737676501031</v>
      </c>
      <c r="D26" s="28">
        <f>('EXP FD A'!D26*EurCall!E25+'EXP FD B'!D26*EurCall!E26+'EXP FD C'!D26*EurCall!E27)/(1+rate*dt)</f>
        <v>39.095431418968275</v>
      </c>
      <c r="E26" s="28">
        <f>('EXP FD A'!E26*EurCall!F25+'EXP FD B'!E26*EurCall!F26+'EXP FD C'!E26*EurCall!F27)/(1+rate*dt)</f>
        <v>39.093486018718572</v>
      </c>
      <c r="F26" s="28">
        <f>('EXP FD A'!F26*EurCall!G25+'EXP FD B'!F26*EurCall!G26+'EXP FD C'!F26*EurCall!G27)/(1+rate*dt)</f>
        <v>39.091540556847306</v>
      </c>
      <c r="G26" s="28">
        <f>('EXP FD A'!G26*EurCall!H25+'EXP FD B'!G26*EurCall!H26+'EXP FD C'!G26*EurCall!H27)/(1+rate*dt)</f>
        <v>39.089595026954136</v>
      </c>
      <c r="H26" s="28">
        <f>('EXP FD A'!H26*EurCall!I25+'EXP FD B'!H26*EurCall!I26+'EXP FD C'!H26*EurCall!I27)/(1+rate*dt)</f>
        <v>39.08764942355991</v>
      </c>
      <c r="I26" s="28">
        <f>('EXP FD A'!I26*EurCall!J25+'EXP FD B'!I26*EurCall!J26+'EXP FD C'!I26*EurCall!J27)/(1+rate*dt)</f>
        <v>39.085703742016086</v>
      </c>
      <c r="J26" s="28">
        <f>('EXP FD A'!J26*EurCall!K25+'EXP FD B'!J26*EurCall!K26+'EXP FD C'!J26*EurCall!K27)/(1+rate*dt)</f>
        <v>39.083757978416706</v>
      </c>
      <c r="K26" s="28">
        <f>('EXP FD A'!K26*EurCall!L25+'EXP FD B'!K26*EurCall!L26+'EXP FD C'!K26*EurCall!L27)/(1+rate*dt)</f>
        <v>39.081812129513516</v>
      </c>
      <c r="L26" s="28">
        <f>('EXP FD A'!L26*EurCall!M25+'EXP FD B'!L26*EurCall!M26+'EXP FD C'!L26*EurCall!M27)/(1+rate*dt)</f>
        <v>39.079866192635201</v>
      </c>
      <c r="M26" s="28">
        <f>('EXP FD A'!M26*EurCall!N25+'EXP FD B'!M26*EurCall!N26+'EXP FD C'!M26*EurCall!N27)/(1+rate*dt)</f>
        <v>39.077920165611019</v>
      </c>
      <c r="N26" s="28">
        <f>('EXP FD A'!N26*EurCall!O25+'EXP FD B'!N26*EurCall!O26+'EXP FD C'!N26*EurCall!O27)/(1+rate*dt)</f>
        <v>39.075974046699706</v>
      </c>
      <c r="O26" s="28">
        <f>('EXP FD A'!O26*EurCall!P25+'EXP FD B'!O26*EurCall!P26+'EXP FD C'!O26*EurCall!P27)/(1+rate*dt)</f>
        <v>39.074027834523847</v>
      </c>
      <c r="P26" s="28">
        <f>('EXP FD A'!P26*EurCall!Q25+'EXP FD B'!P26*EurCall!Q26+'EXP FD C'!P26*EurCall!Q27)/(1+rate*dt)</f>
        <v>39.072081528010116</v>
      </c>
      <c r="Q26" s="28">
        <f>('EXP FD A'!Q26*EurCall!R25+'EXP FD B'!Q26*EurCall!R26+'EXP FD C'!Q26*EurCall!R27)/(1+rate*dt)</f>
        <v>39.070135126335686</v>
      </c>
      <c r="R26" s="28">
        <f>('EXP FD A'!R26*EurCall!S25+'EXP FD B'!R26*EurCall!S26+'EXP FD C'!R26*EurCall!S27)/(1+rate*dt)</f>
        <v>39.068188628880662</v>
      </c>
      <c r="S26" s="28">
        <f>('EXP FD A'!S26*EurCall!T25+'EXP FD B'!S26*EurCall!T26+'EXP FD C'!S26*EurCall!T27)/(1+rate*dt)</f>
        <v>39.066242035186825</v>
      </c>
      <c r="T26" s="28">
        <f>('EXP FD A'!T26*EurCall!U25+'EXP FD B'!T26*EurCall!U26+'EXP FD C'!T26*EurCall!U27)/(1+rate*dt)</f>
        <v>39.064295344922094</v>
      </c>
      <c r="U26" s="28">
        <f>('EXP FD A'!U26*EurCall!V25+'EXP FD B'!U26*EurCall!V26+'EXP FD C'!U26*EurCall!V27)/(1+rate*dt)</f>
        <v>39.062348557850889</v>
      </c>
      <c r="V26" s="28">
        <f>('EXP FD A'!V26*EurCall!W25+'EXP FD B'!V26*EurCall!W26+'EXP FD C'!V26*EurCall!W27)/(1+rate*dt)</f>
        <v>39.060401673809565</v>
      </c>
      <c r="W26" s="28">
        <f>('EXP FD A'!W26*EurCall!X25+'EXP FD B'!W26*EurCall!X26+'EXP FD C'!W26*EurCall!X27)/(1+rate*dt)</f>
        <v>39.058454692686759</v>
      </c>
      <c r="X26" s="28">
        <f>('EXP FD A'!X26*EurCall!Y25+'EXP FD B'!X26*EurCall!Y26+'EXP FD C'!X26*EurCall!Y27)/(1+rate*dt)</f>
        <v>39.05650761440792</v>
      </c>
      <c r="Y26" s="28">
        <f>('EXP FD A'!Y26*EurCall!Z25+'EXP FD B'!Y26*EurCall!Z26+'EXP FD C'!Y26*EurCall!Z27)/(1+rate*dt)</f>
        <v>39.054560438923573</v>
      </c>
      <c r="Z26" s="28">
        <f>('EXP FD A'!Z26*EurCall!AA25+'EXP FD B'!Z26*EurCall!AA26+'EXP FD C'!Z26*EurCall!AA27)/(1+rate*dt)</f>
        <v>39.052613166200622</v>
      </c>
      <c r="AA26" s="28">
        <f>('EXP FD A'!AA26*EurCall!AB25+'EXP FD B'!AA26*EurCall!AB26+'EXP FD C'!AA26*EurCall!AB27)/(1+rate*dt)</f>
        <v>39.050665796216173</v>
      </c>
      <c r="AB26" s="28">
        <f>('EXP FD A'!AB26*EurCall!AC25+'EXP FD B'!AB26*EurCall!AC26+'EXP FD C'!AB26*EurCall!AC27)/(1+rate*dt)</f>
        <v>39.048718328953349</v>
      </c>
      <c r="AC26" s="28">
        <f>('EXP FD A'!AC26*EurCall!AD25+'EXP FD B'!AC26*EurCall!AD26+'EXP FD C'!AC26*EurCall!AD27)/(1+rate*dt)</f>
        <v>39.046770764398509</v>
      </c>
      <c r="AD26" s="28">
        <f>('EXP FD A'!AD26*EurCall!AE25+'EXP FD B'!AD26*EurCall!AE26+'EXP FD C'!AD26*EurCall!AE27)/(1+rate*dt)</f>
        <v>39.044823102539588</v>
      </c>
      <c r="AE26" s="28">
        <f>('EXP FD A'!AE26*EurCall!AF25+'EXP FD B'!AE26*EurCall!AF26+'EXP FD C'!AE26*EurCall!AF27)/(1+rate*dt)</f>
        <v>39.042875343365189</v>
      </c>
      <c r="AF26" s="28">
        <f>('EXP FD A'!AF26*EurCall!AG25+'EXP FD B'!AF26*EurCall!AG26+'EXP FD C'!AF26*EurCall!AG27)/(1+rate*dt)</f>
        <v>39.040927486864007</v>
      </c>
      <c r="AG26" s="28">
        <f>('EXP FD A'!AG26*EurCall!AH25+'EXP FD B'!AG26*EurCall!AH26+'EXP FD C'!AG26*EurCall!AH27)/(1+rate*dt)</f>
        <v>39.038979533024715</v>
      </c>
      <c r="AH26" s="28">
        <f>('EXP FD A'!AH26*EurCall!AI25+'EXP FD B'!AH26*EurCall!AI26+'EXP FD C'!AH26*EurCall!AI27)/(1+rate*dt)</f>
        <v>39.037031481835825</v>
      </c>
      <c r="AI26" s="28">
        <f>('EXP FD A'!AI26*EurCall!AJ25+'EXP FD B'!AI26*EurCall!AJ26+'EXP FD C'!AI26*EurCall!AJ27)/(1+rate*dt)</f>
        <v>39.03508333328584</v>
      </c>
      <c r="AJ26" s="28">
        <f>('EXP FD A'!AJ26*EurCall!AK25+'EXP FD B'!AJ26*EurCall!AK26+'EXP FD C'!AJ26*EurCall!AK27)/(1+rate*dt)</f>
        <v>39.033135087363206</v>
      </c>
      <c r="AK26" s="28">
        <f>('EXP FD A'!AK26*EurCall!AL25+'EXP FD B'!AK26*EurCall!AL26+'EXP FD C'!AK26*EurCall!AL27)/(1+rate*dt)</f>
        <v>39.031186744056555</v>
      </c>
      <c r="AL26" s="28">
        <f>('EXP FD A'!AL26*EurCall!AM25+'EXP FD B'!AL26*EurCall!AM26+'EXP FD C'!AL26*EurCall!AM27)/(1+rate*dt)</f>
        <v>39.029238303354752</v>
      </c>
      <c r="AM26" s="28">
        <f>('EXP FD A'!AM26*EurCall!AN25+'EXP FD B'!AM26*EurCall!AN26+'EXP FD C'!AM26*EurCall!AN27)/(1+rate*dt)</f>
        <v>39.027289765247204</v>
      </c>
      <c r="AN26" s="28">
        <f>('EXP FD A'!AN26*EurCall!AO25+'EXP FD B'!AN26*EurCall!AO26+'EXP FD C'!AN26*EurCall!AO27)/(1+rate*dt)</f>
        <v>39.025341129723813</v>
      </c>
      <c r="AO26" s="28">
        <f>('EXP FD A'!AO26*EurCall!AP25+'EXP FD B'!AO26*EurCall!AP26+'EXP FD C'!AO26*EurCall!AP27)/(1+rate*dt)</f>
        <v>39.02339239677552</v>
      </c>
      <c r="AP26" s="28">
        <f>('EXP FD A'!AP26*EurCall!AQ25+'EXP FD B'!AP26*EurCall!AQ26+'EXP FD C'!AP26*EurCall!AQ27)/(1+rate*dt)</f>
        <v>39.021443566393977</v>
      </c>
      <c r="AQ26" s="28">
        <f>('EXP FD A'!AQ26*EurCall!AR25+'EXP FD B'!AQ26*EurCall!AR26+'EXP FD C'!AQ26*EurCall!AR27)/(1+rate*dt)</f>
        <v>39.01949463857229</v>
      </c>
      <c r="AR26" s="28">
        <f>('EXP FD A'!AR26*EurCall!AS25+'EXP FD B'!AR26*EurCall!AS26+'EXP FD C'!AR26*EurCall!AS27)/(1+rate*dt)</f>
        <v>39.017545613304222</v>
      </c>
      <c r="AS26" s="28">
        <f>('EXP FD A'!AS26*EurCall!AT25+'EXP FD B'!AS26*EurCall!AT26+'EXP FD C'!AS26*EurCall!AT27)/(1+rate*dt)</f>
        <v>39.01559649058489</v>
      </c>
      <c r="AT26" s="28">
        <f>('EXP FD A'!AT26*EurCall!AU25+'EXP FD B'!AT26*EurCall!AU26+'EXP FD C'!AT26*EurCall!AU27)/(1+rate*dt)</f>
        <v>39.013647270409429</v>
      </c>
      <c r="AU26" s="28">
        <f>('EXP FD A'!AU26*EurCall!AV25+'EXP FD B'!AU26*EurCall!AV26+'EXP FD C'!AU26*EurCall!AV27)/(1+rate*dt)</f>
        <v>39.011697952772948</v>
      </c>
      <c r="AV26" s="28">
        <f>('EXP FD A'!AV26*EurCall!AW25+'EXP FD B'!AV26*EurCall!AW26+'EXP FD C'!AV26*EurCall!AW27)/(1+rate*dt)</f>
        <v>39.009748537670589</v>
      </c>
      <c r="AW26" s="28">
        <f>('EXP FD A'!AW26*EurCall!AX25+'EXP FD B'!AW26*EurCall!AX26+'EXP FD C'!AW26*EurCall!AX27)/(1+rate*dt)</f>
        <v>39.007799025097469</v>
      </c>
      <c r="AX26" s="28">
        <f>('EXP FD A'!AX26*EurCall!AY25+'EXP FD B'!AX26*EurCall!AY26+'EXP FD C'!AX26*EurCall!AY27)/(1+rate*dt)</f>
        <v>39.005849415048729</v>
      </c>
      <c r="AY26" s="28">
        <f>('EXP FD A'!AY26*EurCall!AZ25+'EXP FD B'!AY26*EurCall!AZ26+'EXP FD C'!AY26*EurCall!AZ27)/(1+rate*dt)</f>
        <v>39.003899707519487</v>
      </c>
      <c r="AZ26" s="28">
        <f>('EXP FD A'!AZ26*EurCall!BA25+'EXP FD B'!AZ26*EurCall!BA26+'EXP FD C'!AZ26*EurCall!BA27)/(1+rate*dt)</f>
        <v>39.001949902504869</v>
      </c>
      <c r="BA26" s="6">
        <f t="shared" si="3"/>
        <v>39</v>
      </c>
    </row>
    <row r="27" spans="1:53" x14ac:dyDescent="0.2">
      <c r="A27" s="15">
        <f t="shared" si="4"/>
        <v>38</v>
      </c>
      <c r="B27" s="16">
        <f t="shared" si="0"/>
        <v>76</v>
      </c>
      <c r="C27" s="26">
        <f>('EXP FD A'!C27*EurCall!D26+'EXP FD B'!C27*EurCall!D27+'EXP FD C'!C27*EurCall!D28)/(1+rate*dt)</f>
        <v>37.09737818145345</v>
      </c>
      <c r="D27" s="28">
        <f>('EXP FD A'!D27*EurCall!E26+'EXP FD B'!D27*EurCall!E27+'EXP FD C'!D27*EurCall!E28)/(1+rate*dt)</f>
        <v>37.095432541486609</v>
      </c>
      <c r="E27" s="28">
        <f>('EXP FD A'!E27*EurCall!F26+'EXP FD B'!E27*EurCall!F27+'EXP FD C'!E27*EurCall!F28)/(1+rate*dt)</f>
        <v>37.093486899486557</v>
      </c>
      <c r="F27" s="28">
        <f>('EXP FD A'!F27*EurCall!G26+'EXP FD B'!F27*EurCall!G27+'EXP FD C'!F27*EurCall!G28)/(1+rate*dt)</f>
        <v>37.091541240530333</v>
      </c>
      <c r="G27" s="28">
        <f>('EXP FD A'!G27*EurCall!H26+'EXP FD B'!G27*EurCall!H27+'EXP FD C'!G27*EurCall!H28)/(1+rate*dt)</f>
        <v>37.089595551482276</v>
      </c>
      <c r="H27" s="28">
        <f>('EXP FD A'!H27*EurCall!I26+'EXP FD B'!H27*EurCall!I27+'EXP FD C'!H27*EurCall!I28)/(1+rate*dt)</f>
        <v>37.087649820866929</v>
      </c>
      <c r="I27" s="28">
        <f>('EXP FD A'!I27*EurCall!J26+'EXP FD B'!I27*EurCall!J27+'EXP FD C'!I27*EurCall!J28)/(1+rate*dt)</f>
        <v>37.085704038739962</v>
      </c>
      <c r="J27" s="28">
        <f>('EXP FD A'!J27*EurCall!K26+'EXP FD B'!J27*EurCall!K27+'EXP FD C'!J27*EurCall!K28)/(1+rate*dt)</f>
        <v>37.0837581965582</v>
      </c>
      <c r="K27" s="28">
        <f>('EXP FD A'!K27*EurCall!L26+'EXP FD B'!K27*EurCall!L27+'EXP FD C'!K27*EurCall!L28)/(1+rate*dt)</f>
        <v>37.081812287050234</v>
      </c>
      <c r="L27" s="28">
        <f>('EXP FD A'!L27*EurCall!M26+'EXP FD B'!L27*EurCall!M27+'EXP FD C'!L27*EurCall!M28)/(1+rate*dt)</f>
        <v>37.079866304088661</v>
      </c>
      <c r="M27" s="28">
        <f>('EXP FD A'!M27*EurCall!N26+'EXP FD B'!M27*EurCall!N27+'EXP FD C'!M27*EurCall!N28)/(1+rate*dt)</f>
        <v>37.077920242565504</v>
      </c>
      <c r="N27" s="28">
        <f>('EXP FD A'!N27*EurCall!O26+'EXP FD B'!N27*EurCall!O27+'EXP FD C'!N27*EurCall!O28)/(1+rate*dt)</f>
        <v>37.075974098271857</v>
      </c>
      <c r="O27" s="28">
        <f>('EXP FD A'!O27*EurCall!P26+'EXP FD B'!O27*EurCall!P27+'EXP FD C'!O27*EurCall!P28)/(1+rate*dt)</f>
        <v>37.074027867783016</v>
      </c>
      <c r="P27" s="28">
        <f>('EXP FD A'!P27*EurCall!Q26+'EXP FD B'!P27*EurCall!Q27+'EXP FD C'!P27*EurCall!Q28)/(1+rate*dt)</f>
        <v>37.072081548350077</v>
      </c>
      <c r="Q27" s="28">
        <f>('EXP FD A'!Q27*EurCall!R26+'EXP FD B'!Q27*EurCall!R27+'EXP FD C'!Q27*EurCall!R28)/(1+rate*dt)</f>
        <v>37.070135137798964</v>
      </c>
      <c r="R27" s="28">
        <f>('EXP FD A'!R27*EurCall!S26+'EXP FD B'!R27*EurCall!S27+'EXP FD C'!R27*EurCall!S28)/(1+rate*dt)</f>
        <v>37.068188634437689</v>
      </c>
      <c r="S27" s="28">
        <f>('EXP FD A'!S27*EurCall!T26+'EXP FD B'!S27*EurCall!T27+'EXP FD C'!S27*EurCall!T28)/(1+rate*dt)</f>
        <v>37.066242036972227</v>
      </c>
      <c r="T27" s="28">
        <f>('EXP FD A'!T27*EurCall!U26+'EXP FD B'!T27*EurCall!U27+'EXP FD C'!T27*EurCall!U28)/(1+rate*dt)</f>
        <v>37.064295344431628</v>
      </c>
      <c r="U27" s="28">
        <f>('EXP FD A'!U27*EurCall!V26+'EXP FD B'!U27*EurCall!V27+'EXP FD C'!U27*EurCall!V28)/(1+rate*dt)</f>
        <v>37.062348556102272</v>
      </c>
      <c r="V27" s="28">
        <f>('EXP FD A'!V27*EurCall!W26+'EXP FD B'!V27*EurCall!W27+'EXP FD C'!V27*EurCall!W28)/(1+rate*dt)</f>
        <v>37.060401671471347</v>
      </c>
      <c r="W27" s="28">
        <f>('EXP FD A'!W27*EurCall!X26+'EXP FD B'!W27*EurCall!X27+'EXP FD C'!W27*EurCall!X28)/(1+rate*dt)</f>
        <v>37.05845469017914</v>
      </c>
      <c r="X27" s="28">
        <f>('EXP FD A'!X27*EurCall!Y26+'EXP FD B'!X27*EurCall!Y27+'EXP FD C'!X27*EurCall!Y28)/(1+rate*dt)</f>
        <v>37.05650761197969</v>
      </c>
      <c r="Y27" s="28">
        <f>('EXP FD A'!Y27*EurCall!Z26+'EXP FD B'!Y27*EurCall!Z27+'EXP FD C'!Y27*EurCall!Z28)/(1+rate*dt)</f>
        <v>37.054560436709224</v>
      </c>
      <c r="Z27" s="28">
        <f>('EXP FD A'!Z27*EurCall!AA26+'EXP FD B'!Z27*EurCall!AA27+'EXP FD C'!Z27*EurCall!AA28)/(1+rate*dt)</f>
        <v>37.052613164261395</v>
      </c>
      <c r="AA27" s="28">
        <f>('EXP FD A'!AA27*EurCall!AB26+'EXP FD B'!AA27*EurCall!AB27+'EXP FD C'!AA27*EurCall!AB28)/(1+rate*dt)</f>
        <v>37.050665794568545</v>
      </c>
      <c r="AB27" s="28">
        <f>('EXP FD A'!AB27*EurCall!AC26+'EXP FD B'!AB27*EurCall!AC27+'EXP FD C'!AB27*EurCall!AC28)/(1+rate*dt)</f>
        <v>37.048718327587984</v>
      </c>
      <c r="AC27" s="28">
        <f>('EXP FD A'!AC27*EurCall!AD26+'EXP FD B'!AC27*EurCall!AD27+'EXP FD C'!AC27*EurCall!AD28)/(1+rate*dt)</f>
        <v>37.046770763292422</v>
      </c>
      <c r="AD27" s="28">
        <f>('EXP FD A'!AD27*EurCall!AE26+'EXP FD B'!AD27*EurCall!AE27+'EXP FD C'!AD27*EurCall!AE28)/(1+rate*dt)</f>
        <v>37.044823101663503</v>
      </c>
      <c r="AE27" s="28">
        <f>('EXP FD A'!AE27*EurCall!AF26+'EXP FD B'!AE27*EurCall!AF27+'EXP FD C'!AE27*EurCall!AF28)/(1+rate*dt)</f>
        <v>37.042875342687729</v>
      </c>
      <c r="AF27" s="28">
        <f>('EXP FD A'!AF27*EurCall!AG26+'EXP FD B'!AF27*EurCall!AG27+'EXP FD C'!AF27*EurCall!AG28)/(1+rate*dt)</f>
        <v>37.040927486354107</v>
      </c>
      <c r="AG27" s="28">
        <f>('EXP FD A'!AG27*EurCall!AH26+'EXP FD B'!AG27*EurCall!AH27+'EXP FD C'!AG27*EurCall!AH28)/(1+rate*dt)</f>
        <v>37.038979532652824</v>
      </c>
      <c r="AH27" s="28">
        <f>('EXP FD A'!AH27*EurCall!AI26+'EXP FD B'!AH27*EurCall!AI27+'EXP FD C'!AH27*EurCall!AI28)/(1+rate*dt)</f>
        <v>37.037031481574637</v>
      </c>
      <c r="AI27" s="28">
        <f>('EXP FD A'!AI27*EurCall!AJ26+'EXP FD B'!AI27*EurCall!AJ27+'EXP FD C'!AI27*EurCall!AJ28)/(1+rate*dt)</f>
        <v>37.03508333311067</v>
      </c>
      <c r="AJ27" s="28">
        <f>('EXP FD A'!AJ27*EurCall!AK26+'EXP FD B'!AJ27*EurCall!AK27+'EXP FD C'!AJ27*EurCall!AK28)/(1+rate*dt)</f>
        <v>37.033135087252347</v>
      </c>
      <c r="AK27" s="28">
        <f>('EXP FD A'!AK27*EurCall!AL26+'EXP FD B'!AK27*EurCall!AL27+'EXP FD C'!AK27*EurCall!AL28)/(1+rate*dt)</f>
        <v>37.031186743991469</v>
      </c>
      <c r="AL27" s="28">
        <f>('EXP FD A'!AL27*EurCall!AM26+'EXP FD B'!AL27*EurCall!AM27+'EXP FD C'!AL27*EurCall!AM28)/(1+rate*dt)</f>
        <v>37.029238303320234</v>
      </c>
      <c r="AM27" s="28">
        <f>('EXP FD A'!AM27*EurCall!AN26+'EXP FD B'!AM27*EurCall!AN27+'EXP FD C'!AM27*EurCall!AN28)/(1+rate*dt)</f>
        <v>37.027289765231338</v>
      </c>
      <c r="AN27" s="28">
        <f>('EXP FD A'!AN27*EurCall!AO26+'EXP FD B'!AN27*EurCall!AO27+'EXP FD C'!AN27*EurCall!AO28)/(1+rate*dt)</f>
        <v>37.025341129718043</v>
      </c>
      <c r="AO27" s="28">
        <f>('EXP FD A'!AO27*EurCall!AP26+'EXP FD B'!AO27*EurCall!AP27+'EXP FD C'!AO27*EurCall!AP28)/(1+rate*dt)</f>
        <v>37.023392396774135</v>
      </c>
      <c r="AP27" s="28">
        <f>('EXP FD A'!AP27*EurCall!AQ26+'EXP FD B'!AP27*EurCall!AQ27+'EXP FD C'!AP27*EurCall!AQ28)/(1+rate*dt)</f>
        <v>37.02144356639397</v>
      </c>
      <c r="AQ27" s="28">
        <f>('EXP FD A'!AQ27*EurCall!AR26+'EXP FD B'!AQ27*EurCall!AR27+'EXP FD C'!AQ27*EurCall!AR28)/(1+rate*dt)</f>
        <v>37.019494638572297</v>
      </c>
      <c r="AR27" s="28">
        <f>('EXP FD A'!AR27*EurCall!AS26+'EXP FD B'!AR27*EurCall!AS27+'EXP FD C'!AR27*EurCall!AS28)/(1+rate*dt)</f>
        <v>37.017545613304229</v>
      </c>
      <c r="AS27" s="28">
        <f>('EXP FD A'!AS27*EurCall!AT26+'EXP FD B'!AS27*EurCall!AT27+'EXP FD C'!AS27*EurCall!AT28)/(1+rate*dt)</f>
        <v>37.01559649058489</v>
      </c>
      <c r="AT27" s="28">
        <f>('EXP FD A'!AT27*EurCall!AU26+'EXP FD B'!AT27*EurCall!AU27+'EXP FD C'!AT27*EurCall!AU28)/(1+rate*dt)</f>
        <v>37.013647270409422</v>
      </c>
      <c r="AU27" s="28">
        <f>('EXP FD A'!AU27*EurCall!AV26+'EXP FD B'!AU27*EurCall!AV27+'EXP FD C'!AU27*EurCall!AV28)/(1+rate*dt)</f>
        <v>37.011697952772941</v>
      </c>
      <c r="AV27" s="28">
        <f>('EXP FD A'!AV27*EurCall!AW26+'EXP FD B'!AV27*EurCall!AW27+'EXP FD C'!AV27*EurCall!AW28)/(1+rate*dt)</f>
        <v>37.009748537670589</v>
      </c>
      <c r="AW27" s="28">
        <f>('EXP FD A'!AW27*EurCall!AX26+'EXP FD B'!AW27*EurCall!AX27+'EXP FD C'!AW27*EurCall!AX28)/(1+rate*dt)</f>
        <v>37.007799025097476</v>
      </c>
      <c r="AX27" s="28">
        <f>('EXP FD A'!AX27*EurCall!AY26+'EXP FD B'!AX27*EurCall!AY27+'EXP FD C'!AX27*EurCall!AY28)/(1+rate*dt)</f>
        <v>37.005849415048736</v>
      </c>
      <c r="AY27" s="28">
        <f>('EXP FD A'!AY27*EurCall!AZ26+'EXP FD B'!AY27*EurCall!AZ27+'EXP FD C'!AY27*EurCall!AZ28)/(1+rate*dt)</f>
        <v>37.003899707519494</v>
      </c>
      <c r="AZ27" s="28">
        <f>('EXP FD A'!AZ27*EurCall!BA26+'EXP FD B'!AZ27*EurCall!BA27+'EXP FD C'!AZ27*EurCall!BA28)/(1+rate*dt)</f>
        <v>37.001949902504869</v>
      </c>
      <c r="BA27" s="6">
        <f t="shared" si="3"/>
        <v>37</v>
      </c>
    </row>
    <row r="28" spans="1:53" x14ac:dyDescent="0.2">
      <c r="A28" s="15">
        <f t="shared" si="4"/>
        <v>37</v>
      </c>
      <c r="B28" s="16">
        <f t="shared" si="0"/>
        <v>74</v>
      </c>
      <c r="C28" s="26">
        <f>('EXP FD A'!C28*EurCall!D27+'EXP FD B'!C28*EurCall!D28+'EXP FD C'!C28*EurCall!D29)/(1+rate*dt)</f>
        <v>35.09738176447874</v>
      </c>
      <c r="D28" s="28">
        <f>('EXP FD A'!D28*EurCall!E27+'EXP FD B'!D28*EurCall!E28+'EXP FD C'!D28*EurCall!E29)/(1+rate*dt)</f>
        <v>35.095435439265316</v>
      </c>
      <c r="E28" s="28">
        <f>('EXP FD A'!E28*EurCall!F27+'EXP FD B'!E28*EurCall!F28+'EXP FD C'!E28*EurCall!F29)/(1+rate*dt)</f>
        <v>35.093489223021919</v>
      </c>
      <c r="F28" s="28">
        <f>('EXP FD A'!F28*EurCall!G27+'EXP FD B'!F28*EurCall!G28+'EXP FD C'!F28*EurCall!G29)/(1+rate*dt)</f>
        <v>35.091543086625016</v>
      </c>
      <c r="G28" s="28">
        <f>('EXP FD A'!G28*EurCall!H27+'EXP FD B'!G28*EurCall!H28+'EXP FD C'!G28*EurCall!H29)/(1+rate*dt)</f>
        <v>35.08959700394751</v>
      </c>
      <c r="H28" s="28">
        <f>('EXP FD A'!H28*EurCall!I27+'EXP FD B'!H28*EurCall!I28+'EXP FD C'!H28*EurCall!I29)/(1+rate*dt)</f>
        <v>35.087650951708113</v>
      </c>
      <c r="I28" s="28">
        <f>('EXP FD A'!I28*EurCall!J27+'EXP FD B'!I28*EurCall!J28+'EXP FD C'!I28*EurCall!J29)/(1+rate*dt)</f>
        <v>35.085704909310607</v>
      </c>
      <c r="J28" s="28">
        <f>('EXP FD A'!J28*EurCall!K27+'EXP FD B'!J28*EurCall!K28+'EXP FD C'!J28*EurCall!K29)/(1+rate*dt)</f>
        <v>35.083758858674571</v>
      </c>
      <c r="K28" s="28">
        <f>('EXP FD A'!K28*EurCall!L27+'EXP FD B'!K28*EurCall!L28+'EXP FD C'!K28*EurCall!L29)/(1+rate*dt)</f>
        <v>35.081812784059323</v>
      </c>
      <c r="L28" s="28">
        <f>('EXP FD A'!L28*EurCall!M27+'EXP FD B'!L28*EurCall!M28+'EXP FD C'!L28*EurCall!M29)/(1+rate*dt)</f>
        <v>35.079866671882904</v>
      </c>
      <c r="M28" s="28">
        <f>('EXP FD A'!M28*EurCall!N27+'EXP FD B'!M28*EurCall!N28+'EXP FD C'!M28*EurCall!N29)/(1+rate*dt)</f>
        <v>35.077920510538156</v>
      </c>
      <c r="N28" s="28">
        <f>('EXP FD A'!N28*EurCall!O27+'EXP FD B'!N28*EurCall!O28+'EXP FD C'!N28*EurCall!O29)/(1+rate*dt)</f>
        <v>35.075974290207952</v>
      </c>
      <c r="O28" s="28">
        <f>('EXP FD A'!O28*EurCall!P27+'EXP FD B'!O28*EurCall!P28+'EXP FD C'!O28*EurCall!P29)/(1+rate*dt)</f>
        <v>35.074028002681743</v>
      </c>
      <c r="P28" s="28">
        <f>('EXP FD A'!P28*EurCall!Q27+'EXP FD B'!P28*EurCall!Q28+'EXP FD C'!P28*EurCall!Q29)/(1+rate*dt)</f>
        <v>35.072081641175622</v>
      </c>
      <c r="Q28" s="28">
        <f>('EXP FD A'!Q28*EurCall!R27+'EXP FD B'!Q28*EurCall!R28+'EXP FD C'!Q28*EurCall!R29)/(1+rate*dt)</f>
        <v>35.070135200157878</v>
      </c>
      <c r="R28" s="28">
        <f>('EXP FD A'!R28*EurCall!S27+'EXP FD B'!R28*EurCall!S28+'EXP FD C'!R28*EurCall!S29)/(1+rate*dt)</f>
        <v>35.068188675182242</v>
      </c>
      <c r="S28" s="28">
        <f>('EXP FD A'!S28*EurCall!T27+'EXP FD B'!S28*EurCall!T28+'EXP FD C'!S28*EurCall!T29)/(1+rate*dt)</f>
        <v>35.06624206273046</v>
      </c>
      <c r="T28" s="28">
        <f>('EXP FD A'!T28*EurCall!U27+'EXP FD B'!T28*EurCall!U28+'EXP FD C'!T28*EurCall!U29)/(1+rate*dt)</f>
        <v>35.064295360065934</v>
      </c>
      <c r="U28" s="28">
        <f>('EXP FD A'!U28*EurCall!V27+'EXP FD B'!U28*EurCall!V28+'EXP FD C'!U28*EurCall!V29)/(1+rate*dt)</f>
        <v>35.062348565099704</v>
      </c>
      <c r="V28" s="28">
        <f>('EXP FD A'!V28*EurCall!W27+'EXP FD B'!V28*EurCall!W28+'EXP FD C'!V28*EurCall!W29)/(1+rate*dt)</f>
        <v>35.060401676269784</v>
      </c>
      <c r="W28" s="28">
        <f>('EXP FD A'!W28*EurCall!X27+'EXP FD B'!W28*EurCall!X28+'EXP FD C'!W28*EurCall!X29)/(1+rate*dt)</f>
        <v>35.058454692434495</v>
      </c>
      <c r="X28" s="28">
        <f>('EXP FD A'!X28*EurCall!Y27+'EXP FD B'!X28*EurCall!Y28+'EXP FD C'!X28*EurCall!Y29)/(1+rate*dt)</f>
        <v>35.056507612780031</v>
      </c>
      <c r="Y28" s="28">
        <f>('EXP FD A'!Y28*EurCall!Z27+'EXP FD B'!Y28*EurCall!Z28+'EXP FD C'!Y28*EurCall!Z29)/(1+rate*dt)</f>
        <v>35.054560436742079</v>
      </c>
      <c r="Z28" s="28">
        <f>('EXP FD A'!Z28*EurCall!AA27+'EXP FD B'!Z28*EurCall!AA28+'EXP FD C'!Z28*EurCall!AA29)/(1+rate*dt)</f>
        <v>35.052613163941011</v>
      </c>
      <c r="AA28" s="28">
        <f>('EXP FD A'!AA28*EurCall!AB27+'EXP FD B'!AA28*EurCall!AB28+'EXP FD C'!AA28*EurCall!AB29)/(1+rate*dt)</f>
        <v>35.050665794129671</v>
      </c>
      <c r="AB28" s="28">
        <f>('EXP FD A'!AB28*EurCall!AC27+'EXP FD B'!AB28*EurCall!AC28+'EXP FD C'!AB28*EurCall!AC29)/(1+rate*dt)</f>
        <v>35.048718327152606</v>
      </c>
      <c r="AC28" s="28">
        <f>('EXP FD A'!AC28*EurCall!AD27+'EXP FD B'!AC28*EurCall!AD28+'EXP FD C'!AC28*EurCall!AD29)/(1+rate*dt)</f>
        <v>35.046770762915344</v>
      </c>
      <c r="AD28" s="28">
        <f>('EXP FD A'!AD28*EurCall!AE27+'EXP FD B'!AD28*EurCall!AE28+'EXP FD C'!AD28*EurCall!AE29)/(1+rate*dt)</f>
        <v>35.044823101362105</v>
      </c>
      <c r="AE28" s="28">
        <f>('EXP FD A'!AE28*EurCall!AF27+'EXP FD B'!AE28*EurCall!AF28+'EXP FD C'!AE28*EurCall!AF29)/(1+rate*dt)</f>
        <v>35.042875342460405</v>
      </c>
      <c r="AF28" s="28">
        <f>('EXP FD A'!AF28*EurCall!AG27+'EXP FD B'!AF28*EurCall!AG28+'EXP FD C'!AF28*EurCall!AG29)/(1+rate*dt)</f>
        <v>35.040927486190888</v>
      </c>
      <c r="AG28" s="28">
        <f>('EXP FD A'!AG28*EurCall!AH27+'EXP FD B'!AG28*EurCall!AH28+'EXP FD C'!AG28*EurCall!AH29)/(1+rate*dt)</f>
        <v>35.038979532541134</v>
      </c>
      <c r="AH28" s="28">
        <f>('EXP FD A'!AH28*EurCall!AI27+'EXP FD B'!AH28*EurCall!AI28+'EXP FD C'!AH28*EurCall!AI29)/(1+rate*dt)</f>
        <v>35.037031481502162</v>
      </c>
      <c r="AI28" s="28">
        <f>('EXP FD A'!AI28*EurCall!AJ27+'EXP FD B'!AI28*EurCall!AJ28+'EXP FD C'!AI28*EurCall!AJ29)/(1+rate*dt)</f>
        <v>35.035083333066524</v>
      </c>
      <c r="AJ28" s="28">
        <f>('EXP FD A'!AJ28*EurCall!AK27+'EXP FD B'!AJ28*EurCall!AK28+'EXP FD C'!AJ28*EurCall!AK29)/(1+rate*dt)</f>
        <v>35.033135087227535</v>
      </c>
      <c r="AK28" s="28">
        <f>('EXP FD A'!AK28*EurCall!AL27+'EXP FD B'!AK28*EurCall!AL28+'EXP FD C'!AK28*EurCall!AL29)/(1+rate*dt)</f>
        <v>35.031186743978935</v>
      </c>
      <c r="AL28" s="28">
        <f>('EXP FD A'!AL28*EurCall!AM27+'EXP FD B'!AL28*EurCall!AM28+'EXP FD C'!AL28*EurCall!AM29)/(1+rate*dt)</f>
        <v>35.029238303314798</v>
      </c>
      <c r="AM28" s="28">
        <f>('EXP FD A'!AM28*EurCall!AN27+'EXP FD B'!AM28*EurCall!AN28+'EXP FD C'!AM28*EurCall!AN29)/(1+rate*dt)</f>
        <v>35.02728976522949</v>
      </c>
      <c r="AN28" s="28">
        <f>('EXP FD A'!AN28*EurCall!AO27+'EXP FD B'!AN28*EurCall!AO28+'EXP FD C'!AN28*EurCall!AO29)/(1+rate*dt)</f>
        <v>35.025341129717638</v>
      </c>
      <c r="AO28" s="28">
        <f>('EXP FD A'!AO28*EurCall!AP27+'EXP FD B'!AO28*EurCall!AP28+'EXP FD C'!AO28*EurCall!AP29)/(1+rate*dt)</f>
        <v>35.023392396774121</v>
      </c>
      <c r="AP28" s="28">
        <f>('EXP FD A'!AP28*EurCall!AQ27+'EXP FD B'!AP28*EurCall!AQ28+'EXP FD C'!AP28*EurCall!AQ29)/(1+rate*dt)</f>
        <v>35.02144356639397</v>
      </c>
      <c r="AQ28" s="28">
        <f>('EXP FD A'!AQ28*EurCall!AR27+'EXP FD B'!AQ28*EurCall!AR28+'EXP FD C'!AQ28*EurCall!AR29)/(1+rate*dt)</f>
        <v>35.01949463857229</v>
      </c>
      <c r="AR28" s="28">
        <f>('EXP FD A'!AR28*EurCall!AS27+'EXP FD B'!AR28*EurCall!AS28+'EXP FD C'!AR28*EurCall!AS29)/(1+rate*dt)</f>
        <v>35.017545613304222</v>
      </c>
      <c r="AS28" s="28">
        <f>('EXP FD A'!AS28*EurCall!AT27+'EXP FD B'!AS28*EurCall!AT28+'EXP FD C'!AS28*EurCall!AT29)/(1+rate*dt)</f>
        <v>35.01559649058489</v>
      </c>
      <c r="AT28" s="28">
        <f>('EXP FD A'!AT28*EurCall!AU27+'EXP FD B'!AT28*EurCall!AU28+'EXP FD C'!AT28*EurCall!AU29)/(1+rate*dt)</f>
        <v>35.013647270409429</v>
      </c>
      <c r="AU28" s="28">
        <f>('EXP FD A'!AU28*EurCall!AV27+'EXP FD B'!AU28*EurCall!AV28+'EXP FD C'!AU28*EurCall!AV29)/(1+rate*dt)</f>
        <v>35.011697952772948</v>
      </c>
      <c r="AV28" s="28">
        <f>('EXP FD A'!AV28*EurCall!AW27+'EXP FD B'!AV28*EurCall!AW28+'EXP FD C'!AV28*EurCall!AW29)/(1+rate*dt)</f>
        <v>35.009748537670589</v>
      </c>
      <c r="AW28" s="28">
        <f>('EXP FD A'!AW28*EurCall!AX27+'EXP FD B'!AW28*EurCall!AX28+'EXP FD C'!AW28*EurCall!AX29)/(1+rate*dt)</f>
        <v>35.007799025097476</v>
      </c>
      <c r="AX28" s="28">
        <f>('EXP FD A'!AX28*EurCall!AY27+'EXP FD B'!AX28*EurCall!AY28+'EXP FD C'!AX28*EurCall!AY29)/(1+rate*dt)</f>
        <v>35.005849415048736</v>
      </c>
      <c r="AY28" s="28">
        <f>('EXP FD A'!AY28*EurCall!AZ27+'EXP FD B'!AY28*EurCall!AZ28+'EXP FD C'!AY28*EurCall!AZ29)/(1+rate*dt)</f>
        <v>35.003899707519494</v>
      </c>
      <c r="AZ28" s="28">
        <f>('EXP FD A'!AZ28*EurCall!BA27+'EXP FD B'!AZ28*EurCall!BA28+'EXP FD C'!AZ28*EurCall!BA29)/(1+rate*dt)</f>
        <v>35.001949902504869</v>
      </c>
      <c r="BA28" s="6">
        <f t="shared" si="3"/>
        <v>35</v>
      </c>
    </row>
    <row r="29" spans="1:53" x14ac:dyDescent="0.2">
      <c r="A29" s="15">
        <f t="shared" si="4"/>
        <v>36</v>
      </c>
      <c r="B29" s="16">
        <f t="shared" si="0"/>
        <v>72</v>
      </c>
      <c r="C29" s="26">
        <f>('EXP FD A'!C29*EurCall!D28+'EXP FD B'!C29*EurCall!D29+'EXP FD C'!C29*EurCall!D30)/(1+rate*dt)</f>
        <v>33.097390622750503</v>
      </c>
      <c r="D29" s="28">
        <f>('EXP FD A'!D29*EurCall!E28+'EXP FD B'!D29*EurCall!E29+'EXP FD C'!D29*EurCall!E30)/(1+rate*dt)</f>
        <v>33.095442733425315</v>
      </c>
      <c r="E29" s="28">
        <f>('EXP FD A'!E29*EurCall!F28+'EXP FD B'!E29*EurCall!F29+'EXP FD C'!E29*EurCall!F30)/(1+rate*dt)</f>
        <v>33.093495183071802</v>
      </c>
      <c r="F29" s="28">
        <f>('EXP FD A'!F29*EurCall!G28+'EXP FD B'!F29*EurCall!G29+'EXP FD C'!F29*EurCall!G30)/(1+rate*dt)</f>
        <v>33.091547916772235</v>
      </c>
      <c r="G29" s="28">
        <f>('EXP FD A'!G29*EurCall!H28+'EXP FD B'!G29*EurCall!H29+'EXP FD C'!G29*EurCall!H30)/(1+rate*dt)</f>
        <v>33.089600884333592</v>
      </c>
      <c r="H29" s="28">
        <f>('EXP FD A'!H29*EurCall!I28+'EXP FD B'!H29*EurCall!I29+'EXP FD C'!H29*EurCall!I30)/(1+rate*dt)</f>
        <v>33.087654040154987</v>
      </c>
      <c r="I29" s="28">
        <f>('EXP FD A'!I29*EurCall!J28+'EXP FD B'!I29*EurCall!J29+'EXP FD C'!I29*EurCall!J30)/(1+rate*dt)</f>
        <v>33.08570734307191</v>
      </c>
      <c r="J29" s="28">
        <f>('EXP FD A'!J29*EurCall!K28+'EXP FD B'!J29*EurCall!K29+'EXP FD C'!J29*EurCall!K30)/(1+rate*dt)</f>
        <v>33.083760756178634</v>
      </c>
      <c r="K29" s="28">
        <f>('EXP FD A'!K29*EurCall!L28+'EXP FD B'!K29*EurCall!L29+'EXP FD C'!K29*EurCall!L30)/(1+rate*dt)</f>
        <v>33.081814246630117</v>
      </c>
      <c r="L29" s="28">
        <f>('EXP FD A'!L29*EurCall!M28+'EXP FD B'!L29*EurCall!M29+'EXP FD C'!L29*EurCall!M30)/(1+rate*dt)</f>
        <v>33.079867785425364</v>
      </c>
      <c r="M29" s="28">
        <f>('EXP FD A'!M29*EurCall!N28+'EXP FD B'!M29*EurCall!N29+'EXP FD C'!M29*EurCall!N30)/(1+rate*dt)</f>
        <v>33.077921347174474</v>
      </c>
      <c r="N29" s="28">
        <f>('EXP FD A'!N29*EurCall!O28+'EXP FD B'!N29*EurCall!O29+'EXP FD C'!N29*EurCall!O30)/(1+rate*dt)</f>
        <v>33.075974909852043</v>
      </c>
      <c r="O29" s="28">
        <f>('EXP FD A'!O29*EurCall!P28+'EXP FD B'!O29*EurCall!P29+'EXP FD C'!O29*EurCall!P30)/(1+rate*dt)</f>
        <v>33.074028454539828</v>
      </c>
      <c r="P29" s="28">
        <f>('EXP FD A'!P29*EurCall!Q28+'EXP FD B'!P29*EurCall!Q29+'EXP FD C'!P29*EurCall!Q30)/(1+rate*dt)</f>
        <v>33.072081965161928</v>
      </c>
      <c r="Q29" s="28">
        <f>('EXP FD A'!Q29*EurCall!R28+'EXP FD B'!Q29*EurCall!R29+'EXP FD C'!Q29*EurCall!R30)/(1+rate*dt)</f>
        <v>33.070135428215984</v>
      </c>
      <c r="R29" s="28">
        <f>('EXP FD A'!R29*EurCall!S28+'EXP FD B'!R29*EurCall!S29+'EXP FD C'!R29*EurCall!S30)/(1+rate*dt)</f>
        <v>33.06818883250407</v>
      </c>
      <c r="S29" s="28">
        <f>('EXP FD A'!S29*EurCall!T28+'EXP FD B'!S29*EurCall!T29+'EXP FD C'!S29*EurCall!T30)/(1+rate*dt)</f>
        <v>33.066242168866879</v>
      </c>
      <c r="T29" s="28">
        <f>('EXP FD A'!T29*EurCall!U28+'EXP FD B'!T29*EurCall!U29+'EXP FD C'!T29*EurCall!U30)/(1+rate*dt)</f>
        <v>33.064295429925032</v>
      </c>
      <c r="U29" s="28">
        <f>('EXP FD A'!U29*EurCall!V28+'EXP FD B'!U29*EurCall!V29+'EXP FD C'!U29*EurCall!V30)/(1+rate*dt)</f>
        <v>33.06234860983102</v>
      </c>
      <c r="V29" s="28">
        <f>('EXP FD A'!V29*EurCall!W28+'EXP FD B'!V29*EurCall!W29+'EXP FD C'!V29*EurCall!W30)/(1+rate*dt)</f>
        <v>33.06040170403498</v>
      </c>
      <c r="W29" s="28">
        <f>('EXP FD A'!W29*EurCall!X28+'EXP FD B'!W29*EurCall!X29+'EXP FD C'!W29*EurCall!X30)/(1+rate*dt)</f>
        <v>33.058454709067412</v>
      </c>
      <c r="X29" s="28">
        <f>('EXP FD A'!X29*EurCall!Y28+'EXP FD B'!X29*EurCall!Y29+'EXP FD C'!X29*EurCall!Y30)/(1+rate*dt)</f>
        <v>33.056507622341051</v>
      </c>
      <c r="Y29" s="28">
        <f>('EXP FD A'!Y29*EurCall!Z28+'EXP FD B'!Y29*EurCall!Z29+'EXP FD C'!Y29*EurCall!Z30)/(1+rate*dt)</f>
        <v>33.054560441973841</v>
      </c>
      <c r="Z29" s="28">
        <f>('EXP FD A'!Z29*EurCall!AA28+'EXP FD B'!Z29*EurCall!AA29+'EXP FD C'!Z29*EurCall!AA30)/(1+rate*dt)</f>
        <v>33.052613166634146</v>
      </c>
      <c r="AA29" s="28">
        <f>('EXP FD A'!AA29*EurCall!AB28+'EXP FD B'!AA29*EurCall!AB29+'EXP FD C'!AA29*EurCall!AB30)/(1+rate*dt)</f>
        <v>33.050665795408555</v>
      </c>
      <c r="AB29" s="28">
        <f>('EXP FD A'!AB29*EurCall!AC28+'EXP FD B'!AB29*EurCall!AC29+'EXP FD C'!AB29*EurCall!AC30)/(1+rate*dt)</f>
        <v>33.048718327691923</v>
      </c>
      <c r="AC29" s="28">
        <f>('EXP FD A'!AC29*EurCall!AD28+'EXP FD B'!AC29*EurCall!AD29+'EXP FD C'!AC29*EurCall!AD30)/(1+rate*dt)</f>
        <v>33.046770763098685</v>
      </c>
      <c r="AD29" s="28">
        <f>('EXP FD A'!AD29*EurCall!AE28+'EXP FD B'!AD29*EurCall!AE29+'EXP FD C'!AD29*EurCall!AE30)/(1+rate*dt)</f>
        <v>33.044823101393561</v>
      </c>
      <c r="AE29" s="28">
        <f>('EXP FD A'!AE29*EurCall!AF28+'EXP FD B'!AE29*EurCall!AF29+'EXP FD C'!AE29*EurCall!AF30)/(1+rate*dt)</f>
        <v>33.042875342439608</v>
      </c>
      <c r="AF29" s="28">
        <f>('EXP FD A'!AF29*EurCall!AG28+'EXP FD B'!AF29*EurCall!AG29+'EXP FD C'!AF29*EurCall!AG30)/(1+rate*dt)</f>
        <v>33.040927486160861</v>
      </c>
      <c r="AG29" s="28">
        <f>('EXP FD A'!AG29*EurCall!AH28+'EXP FD B'!AG29*EurCall!AH29+'EXP FD C'!AG29*EurCall!AH30)/(1+rate*dt)</f>
        <v>33.038979532516869</v>
      </c>
      <c r="AH29" s="28">
        <f>('EXP FD A'!AH29*EurCall!AI28+'EXP FD B'!AH29*EurCall!AI29+'EXP FD C'!AH29*EurCall!AI30)/(1+rate*dt)</f>
        <v>33.037031481486395</v>
      </c>
      <c r="AI29" s="28">
        <f>('EXP FD A'!AI29*EurCall!AJ28+'EXP FD B'!AI29*EurCall!AJ29+'EXP FD C'!AI29*EurCall!AJ30)/(1+rate*dt)</f>
        <v>33.035083333057692</v>
      </c>
      <c r="AJ29" s="28">
        <f>('EXP FD A'!AJ29*EurCall!AK28+'EXP FD B'!AJ29*EurCall!AK29+'EXP FD C'!AJ29*EurCall!AK30)/(1+rate*dt)</f>
        <v>33.033135087223243</v>
      </c>
      <c r="AK29" s="28">
        <f>('EXP FD A'!AK29*EurCall!AL28+'EXP FD B'!AK29*EurCall!AL29+'EXP FD C'!AK29*EurCall!AL30)/(1+rate*dt)</f>
        <v>33.03118674397718</v>
      </c>
      <c r="AL29" s="28">
        <f>('EXP FD A'!AL29*EurCall!AM28+'EXP FD B'!AL29*EurCall!AM29+'EXP FD C'!AL29*EurCall!AM30)/(1+rate*dt)</f>
        <v>33.029238303314244</v>
      </c>
      <c r="AM29" s="28">
        <f>('EXP FD A'!AM29*EurCall!AN28+'EXP FD B'!AM29*EurCall!AN29+'EXP FD C'!AM29*EurCall!AN30)/(1+rate*dt)</f>
        <v>33.027289765229376</v>
      </c>
      <c r="AN29" s="28">
        <f>('EXP FD A'!AN29*EurCall!AO28+'EXP FD B'!AN29*EurCall!AO29+'EXP FD C'!AN29*EurCall!AO30)/(1+rate*dt)</f>
        <v>33.025341129717646</v>
      </c>
      <c r="AO29" s="28">
        <f>('EXP FD A'!AO29*EurCall!AP28+'EXP FD B'!AO29*EurCall!AP29+'EXP FD C'!AO29*EurCall!AP30)/(1+rate*dt)</f>
        <v>33.023392396774135</v>
      </c>
      <c r="AP29" s="28">
        <f>('EXP FD A'!AP29*EurCall!AQ28+'EXP FD B'!AP29*EurCall!AQ29+'EXP FD C'!AP29*EurCall!AQ30)/(1+rate*dt)</f>
        <v>33.021443566393977</v>
      </c>
      <c r="AQ29" s="28">
        <f>('EXP FD A'!AQ29*EurCall!AR28+'EXP FD B'!AQ29*EurCall!AR29+'EXP FD C'!AQ29*EurCall!AR30)/(1+rate*dt)</f>
        <v>33.019494638572297</v>
      </c>
      <c r="AR29" s="28">
        <f>('EXP FD A'!AR29*EurCall!AS28+'EXP FD B'!AR29*EurCall!AS29+'EXP FD C'!AR29*EurCall!AS30)/(1+rate*dt)</f>
        <v>33.017545613304229</v>
      </c>
      <c r="AS29" s="28">
        <f>('EXP FD A'!AS29*EurCall!AT28+'EXP FD B'!AS29*EurCall!AT29+'EXP FD C'!AS29*EurCall!AT30)/(1+rate*dt)</f>
        <v>33.015596490584898</v>
      </c>
      <c r="AT29" s="28">
        <f>('EXP FD A'!AT29*EurCall!AU28+'EXP FD B'!AT29*EurCall!AU29+'EXP FD C'!AT29*EurCall!AU30)/(1+rate*dt)</f>
        <v>33.013647270409429</v>
      </c>
      <c r="AU29" s="28">
        <f>('EXP FD A'!AU29*EurCall!AV28+'EXP FD B'!AU29*EurCall!AV29+'EXP FD C'!AU29*EurCall!AV30)/(1+rate*dt)</f>
        <v>33.011697952772955</v>
      </c>
      <c r="AV29" s="28">
        <f>('EXP FD A'!AV29*EurCall!AW28+'EXP FD B'!AV29*EurCall!AW29+'EXP FD C'!AV29*EurCall!AW30)/(1+rate*dt)</f>
        <v>33.009748537670589</v>
      </c>
      <c r="AW29" s="28">
        <f>('EXP FD A'!AW29*EurCall!AX28+'EXP FD B'!AW29*EurCall!AX29+'EXP FD C'!AW29*EurCall!AX30)/(1+rate*dt)</f>
        <v>33.007799025097476</v>
      </c>
      <c r="AX29" s="28">
        <f>('EXP FD A'!AX29*EurCall!AY28+'EXP FD B'!AX29*EurCall!AY29+'EXP FD C'!AX29*EurCall!AY30)/(1+rate*dt)</f>
        <v>33.005849415048736</v>
      </c>
      <c r="AY29" s="28">
        <f>('EXP FD A'!AY29*EurCall!AZ28+'EXP FD B'!AY29*EurCall!AZ29+'EXP FD C'!AY29*EurCall!AZ30)/(1+rate*dt)</f>
        <v>33.003899707519487</v>
      </c>
      <c r="AZ29" s="28">
        <f>('EXP FD A'!AZ29*EurCall!BA28+'EXP FD B'!AZ29*EurCall!BA29+'EXP FD C'!AZ29*EurCall!BA30)/(1+rate*dt)</f>
        <v>33.001949902504869</v>
      </c>
      <c r="BA29" s="6">
        <f t="shared" si="3"/>
        <v>33</v>
      </c>
    </row>
    <row r="30" spans="1:53" x14ac:dyDescent="0.2">
      <c r="A30" s="15">
        <f t="shared" si="4"/>
        <v>35</v>
      </c>
      <c r="B30" s="16">
        <f t="shared" si="0"/>
        <v>70</v>
      </c>
      <c r="C30" s="26">
        <f>('EXP FD A'!C30*EurCall!D29+'EXP FD B'!C30*EurCall!D30+'EXP FD C'!C30*EurCall!D31)/(1+rate*dt)</f>
        <v>31.097412144353811</v>
      </c>
      <c r="D30" s="28">
        <f>('EXP FD A'!D30*EurCall!E29+'EXP FD B'!D30*EurCall!E30+'EXP FD C'!D30*EurCall!E31)/(1+rate*dt)</f>
        <v>31.095460759237714</v>
      </c>
      <c r="E30" s="28">
        <f>('EXP FD A'!E30*EurCall!F29+'EXP FD B'!E30*EurCall!F30+'EXP FD C'!E30*EurCall!F31)/(1+rate*dt)</f>
        <v>31.093510176099898</v>
      </c>
      <c r="F30" s="28">
        <f>('EXP FD A'!F30*EurCall!G29+'EXP FD B'!F30*EurCall!G30+'EXP FD C'!F30*EurCall!G31)/(1+rate*dt)</f>
        <v>31.09156029532436</v>
      </c>
      <c r="G30" s="28">
        <f>('EXP FD A'!G30*EurCall!H29+'EXP FD B'!G30*EurCall!H30+'EXP FD C'!G30*EurCall!H31)/(1+rate*dt)</f>
        <v>31.089611024182215</v>
      </c>
      <c r="H30" s="28">
        <f>('EXP FD A'!H30*EurCall!I29+'EXP FD B'!H30*EurCall!I30+'EXP FD C'!H30*EurCall!I31)/(1+rate*dt)</f>
        <v>31.0876622768095</v>
      </c>
      <c r="I30" s="28">
        <f>('EXP FD A'!I30*EurCall!J29+'EXP FD B'!I30*EurCall!J30+'EXP FD C'!I30*EurCall!J31)/(1+rate*dt)</f>
        <v>31.085713974145868</v>
      </c>
      <c r="J30" s="28">
        <f>('EXP FD A'!J30*EurCall!K29+'EXP FD B'!J30*EurCall!K30+'EXP FD C'!J30*EurCall!K31)/(1+rate*dt)</f>
        <v>31.08376604383345</v>
      </c>
      <c r="K30" s="28">
        <f>('EXP FD A'!K30*EurCall!L29+'EXP FD B'!K30*EurCall!L30+'EXP FD C'!K30*EurCall!L31)/(1+rate*dt)</f>
        <v>31.081818420075688</v>
      </c>
      <c r="L30" s="28">
        <f>('EXP FD A'!L30*EurCall!M29+'EXP FD B'!L30*EurCall!M30+'EXP FD C'!L30*EurCall!M31)/(1+rate*dt)</f>
        <v>31.079871043456652</v>
      </c>
      <c r="M30" s="28">
        <f>('EXP FD A'!M30*EurCall!N29+'EXP FD B'!M30*EurCall!N30+'EXP FD C'!M30*EurCall!N31)/(1+rate*dt)</f>
        <v>31.077923860721771</v>
      </c>
      <c r="N30" s="28">
        <f>('EXP FD A'!N30*EurCall!O29+'EXP FD B'!N30*EurCall!O30+'EXP FD C'!N30*EurCall!O31)/(1+rate*dt)</f>
        <v>31.07597682452187</v>
      </c>
      <c r="O30" s="28">
        <f>('EXP FD A'!O30*EurCall!P29+'EXP FD B'!O30*EurCall!P30+'EXP FD C'!O30*EurCall!P31)/(1+rate*dt)</f>
        <v>31.074029893122852</v>
      </c>
      <c r="P30" s="28">
        <f>('EXP FD A'!P30*EurCall!Q29+'EXP FD B'!P30*EurCall!Q30+'EXP FD C'!P30*EurCall!Q31)/(1+rate*dt)</f>
        <v>31.072083030084372</v>
      </c>
      <c r="Q30" s="28">
        <f>('EXP FD A'!Q30*EurCall!R29+'EXP FD B'!Q30*EurCall!R30+'EXP FD C'!Q30*EurCall!R31)/(1+rate*dt)</f>
        <v>31.070136203911346</v>
      </c>
      <c r="R30" s="28">
        <f>('EXP FD A'!R30*EurCall!S29+'EXP FD B'!R30*EurCall!S30+'EXP FD C'!R30*EurCall!S31)/(1+rate*dt)</f>
        <v>31.06818938768307</v>
      </c>
      <c r="S30" s="28">
        <f>('EXP FD A'!S30*EurCall!T29+'EXP FD B'!S30*EurCall!T30+'EXP FD C'!S30*EurCall!T31)/(1+rate*dt)</f>
        <v>31.066242558665188</v>
      </c>
      <c r="T30" s="28">
        <f>('EXP FD A'!T30*EurCall!U29+'EXP FD B'!T30*EurCall!U30+'EXP FD C'!T30*EurCall!U31)/(1+rate*dt)</f>
        <v>31.064295697910477</v>
      </c>
      <c r="U30" s="28">
        <f>('EXP FD A'!U30*EurCall!V29+'EXP FD B'!U30*EurCall!V30+'EXP FD C'!U30*EurCall!V31)/(1+rate*dt)</f>
        <v>31.062348789854735</v>
      </c>
      <c r="V30" s="28">
        <f>('EXP FD A'!V30*EurCall!W29+'EXP FD B'!V30*EurCall!W30+'EXP FD C'!V30*EurCall!W31)/(1+rate*dt)</f>
        <v>31.0604018219144</v>
      </c>
      <c r="W30" s="28">
        <f>('EXP FD A'!W30*EurCall!X29+'EXP FD B'!W30*EurCall!X30+'EXP FD C'!W30*EurCall!X31)/(1+rate*dt)</f>
        <v>31.05845478409254</v>
      </c>
      <c r="X30" s="28">
        <f>('EXP FD A'!X30*EurCall!Y29+'EXP FD B'!X30*EurCall!Y30+'EXP FD C'!X30*EurCall!Y31)/(1+rate*dt)</f>
        <v>31.056507668599817</v>
      </c>
      <c r="Y30" s="28">
        <f>('EXP FD A'!Y30*EurCall!Z29+'EXP FD B'!Y30*EurCall!Z30+'EXP FD C'!Y30*EurCall!Z31)/(1+rate*dt)</f>
        <v>31.054560469496529</v>
      </c>
      <c r="Z30" s="28">
        <f>('EXP FD A'!Z30*EurCall!AA29+'EXP FD B'!Z30*EurCall!AA30+'EXP FD C'!Z30*EurCall!AA31)/(1+rate*dt)</f>
        <v>31.052613182361124</v>
      </c>
      <c r="AA30" s="28">
        <f>('EXP FD A'!AA30*EurCall!AB29+'EXP FD B'!AA30*EurCall!AB30+'EXP FD C'!AA30*EurCall!AB31)/(1+rate*dt)</f>
        <v>31.050665803989915</v>
      </c>
      <c r="AB30" s="28">
        <f>('EXP FD A'!AB30*EurCall!AC29+'EXP FD B'!AB30*EurCall!AC30+'EXP FD C'!AB30*EurCall!AC31)/(1+rate*dt)</f>
        <v>31.048718332131259</v>
      </c>
      <c r="AC30" s="28">
        <f>('EXP FD A'!AC30*EurCall!AD29+'EXP FD B'!AC30*EurCall!AD30+'EXP FD C'!AC30*EurCall!AD31)/(1+rate*dt)</f>
        <v>31.046770765256316</v>
      </c>
      <c r="AD30" s="28">
        <f>('EXP FD A'!AD30*EurCall!AE29+'EXP FD B'!AD30*EurCall!AE30+'EXP FD C'!AD30*EurCall!AE31)/(1+rate*dt)</f>
        <v>31.044823102367076</v>
      </c>
      <c r="AE30" s="28">
        <f>('EXP FD A'!AE30*EurCall!AF29+'EXP FD B'!AE30*EurCall!AF30+'EXP FD C'!AE30*EurCall!AF31)/(1+rate*dt)</f>
        <v>31.042875342840741</v>
      </c>
      <c r="AF30" s="28">
        <f>('EXP FD A'!AF30*EurCall!AG29+'EXP FD B'!AF30*EurCall!AG30+'EXP FD C'!AF30*EurCall!AG31)/(1+rate*dt)</f>
        <v>31.040927486308217</v>
      </c>
      <c r="AG30" s="28">
        <f>('EXP FD A'!AG30*EurCall!AH29+'EXP FD B'!AG30*EurCall!AH30+'EXP FD C'!AG30*EurCall!AH31)/(1+rate*dt)</f>
        <v>31.038979532563285</v>
      </c>
      <c r="AH30" s="28">
        <f>('EXP FD A'!AH30*EurCall!AI29+'EXP FD B'!AH30*EurCall!AI30+'EXP FD C'!AH30*EurCall!AI31)/(1+rate*dt)</f>
        <v>31.037031481498026</v>
      </c>
      <c r="AI30" s="28">
        <f>('EXP FD A'!AI30*EurCall!AJ29+'EXP FD B'!AI30*EurCall!AJ30+'EXP FD C'!AI30*EurCall!AJ31)/(1+rate*dt)</f>
        <v>31.035083333059575</v>
      </c>
      <c r="AJ30" s="28">
        <f>('EXP FD A'!AJ30*EurCall!AK29+'EXP FD B'!AJ30*EurCall!AK30+'EXP FD C'!AJ30*EurCall!AK31)/(1+rate*dt)</f>
        <v>31.033135087223215</v>
      </c>
      <c r="AK30" s="28">
        <f>('EXP FD A'!AK30*EurCall!AL29+'EXP FD B'!AK30*EurCall!AL30+'EXP FD C'!AK30*EurCall!AL31)/(1+rate*dt)</f>
        <v>31.031186743977059</v>
      </c>
      <c r="AL30" s="28">
        <f>('EXP FD A'!AL30*EurCall!AM29+'EXP FD B'!AL30*EurCall!AM30+'EXP FD C'!AL30*EurCall!AM31)/(1+rate*dt)</f>
        <v>31.029238303314209</v>
      </c>
      <c r="AM30" s="28">
        <f>('EXP FD A'!AM30*EurCall!AN29+'EXP FD B'!AM30*EurCall!AN30+'EXP FD C'!AM30*EurCall!AN31)/(1+rate*dt)</f>
        <v>31.02728976522938</v>
      </c>
      <c r="AN30" s="28">
        <f>('EXP FD A'!AN30*EurCall!AO29+'EXP FD B'!AN30*EurCall!AO30+'EXP FD C'!AN30*EurCall!AO31)/(1+rate*dt)</f>
        <v>31.025341129717646</v>
      </c>
      <c r="AO30" s="28">
        <f>('EXP FD A'!AO30*EurCall!AP29+'EXP FD B'!AO30*EurCall!AP30+'EXP FD C'!AO30*EurCall!AP31)/(1+rate*dt)</f>
        <v>31.023392396774135</v>
      </c>
      <c r="AP30" s="28">
        <f>('EXP FD A'!AP30*EurCall!AQ29+'EXP FD B'!AP30*EurCall!AQ30+'EXP FD C'!AP30*EurCall!AQ31)/(1+rate*dt)</f>
        <v>31.021443566393973</v>
      </c>
      <c r="AQ30" s="28">
        <f>('EXP FD A'!AQ30*EurCall!AR29+'EXP FD B'!AQ30*EurCall!AR30+'EXP FD C'!AQ30*EurCall!AR31)/(1+rate*dt)</f>
        <v>31.019494638572297</v>
      </c>
      <c r="AR30" s="28">
        <f>('EXP FD A'!AR30*EurCall!AS29+'EXP FD B'!AR30*EurCall!AS30+'EXP FD C'!AR30*EurCall!AS31)/(1+rate*dt)</f>
        <v>31.017545613304225</v>
      </c>
      <c r="AS30" s="28">
        <f>('EXP FD A'!AS30*EurCall!AT29+'EXP FD B'!AS30*EurCall!AT30+'EXP FD C'!AS30*EurCall!AT31)/(1+rate*dt)</f>
        <v>31.015596490584894</v>
      </c>
      <c r="AT30" s="28">
        <f>('EXP FD A'!AT30*EurCall!AU29+'EXP FD B'!AT30*EurCall!AU30+'EXP FD C'!AT30*EurCall!AU31)/(1+rate*dt)</f>
        <v>31.013647270409429</v>
      </c>
      <c r="AU30" s="28">
        <f>('EXP FD A'!AU30*EurCall!AV29+'EXP FD B'!AU30*EurCall!AV30+'EXP FD C'!AU30*EurCall!AV31)/(1+rate*dt)</f>
        <v>31.011697952772952</v>
      </c>
      <c r="AV30" s="28">
        <f>('EXP FD A'!AV30*EurCall!AW29+'EXP FD B'!AV30*EurCall!AW30+'EXP FD C'!AV30*EurCall!AW31)/(1+rate*dt)</f>
        <v>31.009748537670593</v>
      </c>
      <c r="AW30" s="28">
        <f>('EXP FD A'!AW30*EurCall!AX29+'EXP FD B'!AW30*EurCall!AX30+'EXP FD C'!AW30*EurCall!AX31)/(1+rate*dt)</f>
        <v>31.00779902509748</v>
      </c>
      <c r="AX30" s="28">
        <f>('EXP FD A'!AX30*EurCall!AY29+'EXP FD B'!AX30*EurCall!AY30+'EXP FD C'!AX30*EurCall!AY31)/(1+rate*dt)</f>
        <v>31.005849415048736</v>
      </c>
      <c r="AY30" s="28">
        <f>('EXP FD A'!AY30*EurCall!AZ29+'EXP FD B'!AY30*EurCall!AZ30+'EXP FD C'!AY30*EurCall!AZ31)/(1+rate*dt)</f>
        <v>31.003899707519491</v>
      </c>
      <c r="AZ30" s="28">
        <f>('EXP FD A'!AZ30*EurCall!BA29+'EXP FD B'!AZ30*EurCall!BA30+'EXP FD C'!AZ30*EurCall!BA31)/(1+rate*dt)</f>
        <v>31.001949902504872</v>
      </c>
      <c r="BA30" s="6">
        <f t="shared" si="3"/>
        <v>31</v>
      </c>
    </row>
    <row r="31" spans="1:53" x14ac:dyDescent="0.2">
      <c r="A31" s="15">
        <f t="shared" si="4"/>
        <v>34</v>
      </c>
      <c r="B31" s="16">
        <f t="shared" si="0"/>
        <v>68</v>
      </c>
      <c r="C31" s="26">
        <f>('EXP FD A'!C31*EurCall!D30+'EXP FD B'!C31*EurCall!D31+'EXP FD C'!C31*EurCall!D32)/(1+rate*dt)</f>
        <v>29.09746356648483</v>
      </c>
      <c r="D31" s="28">
        <f>('EXP FD A'!D31*EurCall!E30+'EXP FD B'!D31*EurCall!E31+'EXP FD C'!D31*EurCall!E32)/(1+rate*dt)</f>
        <v>29.095504539350124</v>
      </c>
      <c r="E31" s="28">
        <f>('EXP FD A'!E31*EurCall!F30+'EXP FD B'!E31*EurCall!F31+'EXP FD C'!E31*EurCall!F32)/(1+rate*dt)</f>
        <v>29.093547216905087</v>
      </c>
      <c r="F31" s="28">
        <f>('EXP FD A'!F31*EurCall!G30+'EXP FD B'!F31*EurCall!G31+'EXP FD C'!F31*EurCall!G32)/(1+rate*dt)</f>
        <v>29.091591426346781</v>
      </c>
      <c r="G31" s="28">
        <f>('EXP FD A'!G31*EurCall!H30+'EXP FD B'!G31*EurCall!H31+'EXP FD C'!G31*EurCall!H32)/(1+rate*dt)</f>
        <v>29.089637003873747</v>
      </c>
      <c r="H31" s="28">
        <f>('EXP FD A'!H31*EurCall!I30+'EXP FD B'!H31*EurCall!I31+'EXP FD C'!H31*EurCall!I32)/(1+rate*dt)</f>
        <v>29.087683794930779</v>
      </c>
      <c r="I31" s="28">
        <f>('EXP FD A'!I31*EurCall!J30+'EXP FD B'!I31*EurCall!J31+'EXP FD C'!I31*EurCall!J32)/(1+rate*dt)</f>
        <v>29.085731654403048</v>
      </c>
      <c r="J31" s="28">
        <f>('EXP FD A'!J31*EurCall!K30+'EXP FD B'!J31*EurCall!K31+'EXP FD C'!J31*EurCall!K32)/(1+rate*dt)</f>
        <v>29.083780446755139</v>
      </c>
      <c r="K31" s="28">
        <f>('EXP FD A'!K31*EurCall!L30+'EXP FD B'!K31*EurCall!L31+'EXP FD C'!K31*EurCall!L32)/(1+rate*dt)</f>
        <v>29.081830046111051</v>
      </c>
      <c r="L31" s="28">
        <f>('EXP FD A'!L31*EurCall!M30+'EXP FD B'!L31*EurCall!M31+'EXP FD C'!L31*EurCall!M32)/(1+rate*dt)</f>
        <v>29.079880336271753</v>
      </c>
      <c r="M31" s="28">
        <f>('EXP FD A'!M31*EurCall!N30+'EXP FD B'!M31*EurCall!N31+'EXP FD C'!M31*EurCall!N32)/(1+rate*dt)</f>
        <v>29.077931210667483</v>
      </c>
      <c r="N31" s="28">
        <f>('EXP FD A'!N31*EurCall!O30+'EXP FD B'!N31*EurCall!O31+'EXP FD C'!N31*EurCall!O32)/(1+rate*dt)</f>
        <v>29.075982572242854</v>
      </c>
      <c r="O31" s="28">
        <f>('EXP FD A'!O31*EurCall!P30+'EXP FD B'!O31*EurCall!P31+'EXP FD C'!O31*EurCall!P32)/(1+rate*dt)</f>
        <v>29.07403433327379</v>
      </c>
      <c r="P31" s="28">
        <f>('EXP FD A'!P31*EurCall!Q30+'EXP FD B'!P31*EurCall!Q31+'EXP FD C'!P31*EurCall!Q32)/(1+rate*dt)</f>
        <v>29.072086415116416</v>
      </c>
      <c r="Q31" s="28">
        <f>('EXP FD A'!Q31*EurCall!R30+'EXP FD B'!Q31*EurCall!R31+'EXP FD C'!Q31*EurCall!R32)/(1+rate*dt)</f>
        <v>29.070138747889349</v>
      </c>
      <c r="R31" s="28">
        <f>('EXP FD A'!R31*EurCall!S30+'EXP FD B'!R31*EurCall!S31+'EXP FD C'!R31*EurCall!S32)/(1+rate*dt)</f>
        <v>29.068191270092136</v>
      </c>
      <c r="S31" s="28">
        <f>('EXP FD A'!S31*EurCall!T30+'EXP FD B'!S31*EurCall!T31+'EXP FD C'!S31*EurCall!T32)/(1+rate*dt)</f>
        <v>29.066243928164134</v>
      </c>
      <c r="T31" s="28">
        <f>('EXP FD A'!T31*EurCall!U30+'EXP FD B'!T31*EurCall!U31+'EXP FD C'!T31*EurCall!U32)/(1+rate*dt)</f>
        <v>29.064296675989606</v>
      </c>
      <c r="U31" s="28">
        <f>('EXP FD A'!U31*EurCall!V30+'EXP FD B'!U31*EurCall!V31+'EXP FD C'!U31*EurCall!V32)/(1+rate*dt)</f>
        <v>29.062349474356402</v>
      </c>
      <c r="V31" s="28">
        <f>('EXP FD A'!V31*EurCall!W30+'EXP FD B'!V31*EurCall!W31+'EXP FD C'!V31*EurCall!W32)/(1+rate*dt)</f>
        <v>29.060402290377009</v>
      </c>
      <c r="W31" s="28">
        <f>('EXP FD A'!W31*EurCall!X30+'EXP FD B'!W31*EurCall!X31+'EXP FD C'!W31*EurCall!X32)/(1+rate*dt)</f>
        <v>29.058455096882142</v>
      </c>
      <c r="X31" s="28">
        <f>('EXP FD A'!X31*EurCall!Y30+'EXP FD B'!X31*EurCall!Y31+'EXP FD C'!X31*EurCall!Y32)/(1+rate*dt)</f>
        <v>29.056507871798186</v>
      </c>
      <c r="Y31" s="28">
        <f>('EXP FD A'!Y31*EurCall!Z30+'EXP FD B'!Y31*EurCall!Z31+'EXP FD C'!Y31*EurCall!Z32)/(1+rate*dt)</f>
        <v>29.054560597520556</v>
      </c>
      <c r="Z31" s="28">
        <f>('EXP FD A'!Z31*EurCall!AA30+'EXP FD B'!Z31*EurCall!AA31+'EXP FD C'!Z31*EurCall!AA32)/(1+rate*dt)</f>
        <v>29.05261326029559</v>
      </c>
      <c r="AA31" s="28">
        <f>('EXP FD A'!AA31*EurCall!AB30+'EXP FD B'!AA31*EurCall!AB31+'EXP FD C'!AA31*EurCall!AB32)/(1+rate*dt)</f>
        <v>29.050665849623378</v>
      </c>
      <c r="AB31" s="28">
        <f>('EXP FD A'!AB31*EurCall!AC30+'EXP FD B'!AB31*EurCall!AC31+'EXP FD C'!AB31*EurCall!AC32)/(1+rate*dt)</f>
        <v>29.048718357693495</v>
      </c>
      <c r="AC31" s="28">
        <f>('EXP FD A'!AC31*EurCall!AD30+'EXP FD B'!AC31*EurCall!AD31+'EXP FD C'!AC31*EurCall!AD32)/(1+rate*dt)</f>
        <v>29.046770778864346</v>
      </c>
      <c r="AD31" s="28">
        <f>('EXP FD A'!AD31*EurCall!AE30+'EXP FD B'!AD31*EurCall!AE31+'EXP FD C'!AD31*EurCall!AE32)/(1+rate*dt)</f>
        <v>29.044823109195004</v>
      </c>
      <c r="AE31" s="28">
        <f>('EXP FD A'!AE31*EurCall!AF30+'EXP FD B'!AE31*EurCall!AF31+'EXP FD C'!AE31*EurCall!AF32)/(1+rate*dt)</f>
        <v>29.042875346036173</v>
      </c>
      <c r="AF31" s="28">
        <f>('EXP FD A'!AF31*EurCall!AG30+'EXP FD B'!AF31*EurCall!AG31+'EXP FD C'!AF31*EurCall!AG32)/(1+rate*dt)</f>
        <v>29.040927487684147</v>
      </c>
      <c r="AG31" s="28">
        <f>('EXP FD A'!AG31*EurCall!AH30+'EXP FD B'!AG31*EurCall!AH31+'EXP FD C'!AG31*EurCall!AH32)/(1+rate*dt)</f>
        <v>29.038979533098512</v>
      </c>
      <c r="AH31" s="28">
        <f>('EXP FD A'!AH31*EurCall!AI30+'EXP FD B'!AH31*EurCall!AI31+'EXP FD C'!AH31*EurCall!AI32)/(1+rate*dt)</f>
        <v>29.037031481681346</v>
      </c>
      <c r="AI31" s="28">
        <f>('EXP FD A'!AI31*EurCall!AJ30+'EXP FD B'!AI31*EurCall!AJ31+'EXP FD C'!AI31*EurCall!AJ32)/(1+rate*dt)</f>
        <v>29.035083333112794</v>
      </c>
      <c r="AJ31" s="28">
        <f>('EXP FD A'!AJ31*EurCall!AK30+'EXP FD B'!AJ31*EurCall!AK31+'EXP FD C'!AJ31*EurCall!AK32)/(1+rate*dt)</f>
        <v>29.033135087235536</v>
      </c>
      <c r="AK31" s="28">
        <f>('EXP FD A'!AK31*EurCall!AL30+'EXP FD B'!AK31*EurCall!AL31+'EXP FD C'!AK31*EurCall!AL32)/(1+rate*dt)</f>
        <v>29.031186743979084</v>
      </c>
      <c r="AL31" s="28">
        <f>('EXP FD A'!AL31*EurCall!AM30+'EXP FD B'!AL31*EurCall!AM31+'EXP FD C'!AL31*EurCall!AM32)/(1+rate*dt)</f>
        <v>29.029238303314386</v>
      </c>
      <c r="AM31" s="28">
        <f>('EXP FD A'!AM31*EurCall!AN30+'EXP FD B'!AM31*EurCall!AN31+'EXP FD C'!AM31*EurCall!AN32)/(1+rate*dt)</f>
        <v>29.02728976522938</v>
      </c>
      <c r="AN31" s="28">
        <f>('EXP FD A'!AN31*EurCall!AO30+'EXP FD B'!AN31*EurCall!AO31+'EXP FD C'!AN31*EurCall!AO32)/(1+rate*dt)</f>
        <v>29.025341129717646</v>
      </c>
      <c r="AO31" s="28">
        <f>('EXP FD A'!AO31*EurCall!AP30+'EXP FD B'!AO31*EurCall!AP31+'EXP FD C'!AO31*EurCall!AP32)/(1+rate*dt)</f>
        <v>29.023392396774135</v>
      </c>
      <c r="AP31" s="28">
        <f>('EXP FD A'!AP31*EurCall!AQ30+'EXP FD B'!AP31*EurCall!AQ31+'EXP FD C'!AP31*EurCall!AQ32)/(1+rate*dt)</f>
        <v>29.021443566393973</v>
      </c>
      <c r="AQ31" s="28">
        <f>('EXP FD A'!AQ31*EurCall!AR30+'EXP FD B'!AQ31*EurCall!AR31+'EXP FD C'!AQ31*EurCall!AR32)/(1+rate*dt)</f>
        <v>29.019494638572297</v>
      </c>
      <c r="AR31" s="28">
        <f>('EXP FD A'!AR31*EurCall!AS30+'EXP FD B'!AR31*EurCall!AS31+'EXP FD C'!AR31*EurCall!AS32)/(1+rate*dt)</f>
        <v>29.017545613304225</v>
      </c>
      <c r="AS31" s="28">
        <f>('EXP FD A'!AS31*EurCall!AT30+'EXP FD B'!AS31*EurCall!AT31+'EXP FD C'!AS31*EurCall!AT32)/(1+rate*dt)</f>
        <v>29.015596490584894</v>
      </c>
      <c r="AT31" s="28">
        <f>('EXP FD A'!AT31*EurCall!AU30+'EXP FD B'!AT31*EurCall!AU31+'EXP FD C'!AT31*EurCall!AU32)/(1+rate*dt)</f>
        <v>29.013647270409425</v>
      </c>
      <c r="AU31" s="28">
        <f>('EXP FD A'!AU31*EurCall!AV30+'EXP FD B'!AU31*EurCall!AV31+'EXP FD C'!AU31*EurCall!AV32)/(1+rate*dt)</f>
        <v>29.011697952772948</v>
      </c>
      <c r="AV31" s="28">
        <f>('EXP FD A'!AV31*EurCall!AW30+'EXP FD B'!AV31*EurCall!AW31+'EXP FD C'!AV31*EurCall!AW32)/(1+rate*dt)</f>
        <v>29.009748537670593</v>
      </c>
      <c r="AW31" s="28">
        <f>('EXP FD A'!AW31*EurCall!AX30+'EXP FD B'!AW31*EurCall!AX31+'EXP FD C'!AW31*EurCall!AX32)/(1+rate*dt)</f>
        <v>29.007799025097476</v>
      </c>
      <c r="AX31" s="28">
        <f>('EXP FD A'!AX31*EurCall!AY30+'EXP FD B'!AX31*EurCall!AY31+'EXP FD C'!AX31*EurCall!AY32)/(1+rate*dt)</f>
        <v>29.005849415048736</v>
      </c>
      <c r="AY31" s="28">
        <f>('EXP FD A'!AY31*EurCall!AZ30+'EXP FD B'!AY31*EurCall!AZ31+'EXP FD C'!AY31*EurCall!AZ32)/(1+rate*dt)</f>
        <v>29.003899707519498</v>
      </c>
      <c r="AZ31" s="28">
        <f>('EXP FD A'!AZ31*EurCall!BA30+'EXP FD B'!AZ31*EurCall!BA31+'EXP FD C'!AZ31*EurCall!BA32)/(1+rate*dt)</f>
        <v>29.001949902504872</v>
      </c>
      <c r="BA31" s="6">
        <f t="shared" si="3"/>
        <v>29</v>
      </c>
    </row>
    <row r="32" spans="1:53" x14ac:dyDescent="0.2">
      <c r="A32" s="15">
        <f t="shared" si="4"/>
        <v>33</v>
      </c>
      <c r="B32" s="16">
        <f t="shared" si="0"/>
        <v>66</v>
      </c>
      <c r="C32" s="26">
        <f>('EXP FD A'!C32*EurCall!D31+'EXP FD B'!C32*EurCall!D32+'EXP FD C'!C32*EurCall!D33)/(1+rate*dt)</f>
        <v>27.097584326490846</v>
      </c>
      <c r="D32" s="28">
        <f>('EXP FD A'!D32*EurCall!E31+'EXP FD B'!D32*EurCall!E32+'EXP FD C'!D32*EurCall!E33)/(1+rate*dt)</f>
        <v>27.095608986878311</v>
      </c>
      <c r="E32" s="28">
        <f>('EXP FD A'!E32*EurCall!F31+'EXP FD B'!E32*EurCall!F32+'EXP FD C'!E32*EurCall!F33)/(1+rate*dt)</f>
        <v>27.093637049728418</v>
      </c>
      <c r="F32" s="28">
        <f>('EXP FD A'!F32*EurCall!G31+'EXP FD B'!F32*EurCall!G32+'EXP FD C'!F32*EurCall!G33)/(1+rate*dt)</f>
        <v>27.091668230657199</v>
      </c>
      <c r="G32" s="28">
        <f>('EXP FD A'!G32*EurCall!H31+'EXP FD B'!G32*EurCall!H32+'EXP FD C'!G32*EurCall!H33)/(1+rate*dt)</f>
        <v>27.089702255151259</v>
      </c>
      <c r="H32" s="28">
        <f>('EXP FD A'!H32*EurCall!I31+'EXP FD B'!H32*EurCall!I32+'EXP FD C'!H32*EurCall!I33)/(1+rate*dt)</f>
        <v>27.087738859281576</v>
      </c>
      <c r="I32" s="28">
        <f>('EXP FD A'!I32*EurCall!J31+'EXP FD B'!I32*EurCall!J32+'EXP FD C'!I32*EurCall!J33)/(1+rate*dt)</f>
        <v>27.085777790375079</v>
      </c>
      <c r="J32" s="28">
        <f>('EXP FD A'!J32*EurCall!K31+'EXP FD B'!J32*EurCall!K32+'EXP FD C'!J32*EurCall!K33)/(1+rate*dt)</f>
        <v>27.083818807634724</v>
      </c>
      <c r="K32" s="28">
        <f>('EXP FD A'!K32*EurCall!L31+'EXP FD B'!K32*EurCall!L32+'EXP FD C'!K32*EurCall!L33)/(1+rate*dt)</f>
        <v>27.08186168269857</v>
      </c>
      <c r="L32" s="28">
        <f>('EXP FD A'!L32*EurCall!M31+'EXP FD B'!L32*EurCall!M32+'EXP FD C'!L32*EurCall!M33)/(1+rate*dt)</f>
        <v>27.079906200128274</v>
      </c>
      <c r="M32" s="28">
        <f>('EXP FD A'!M32*EurCall!N31+'EXP FD B'!M32*EurCall!N32+'EXP FD C'!M32*EurCall!N33)/(1+rate*dt)</f>
        <v>27.077952157817414</v>
      </c>
      <c r="N32" s="28">
        <f>('EXP FD A'!N32*EurCall!O31+'EXP FD B'!N32*EurCall!O32+'EXP FD C'!N32*EurCall!O33)/(1+rate*dt)</f>
        <v>27.075999367310445</v>
      </c>
      <c r="O32" s="28">
        <f>('EXP FD A'!O32*EurCall!P31+'EXP FD B'!O32*EurCall!P32+'EXP FD C'!O32*EurCall!P33)/(1+rate*dt)</f>
        <v>27.074047654023552</v>
      </c>
      <c r="P32" s="28">
        <f>('EXP FD A'!P32*EurCall!Q31+'EXP FD B'!P32*EurCall!Q32+'EXP FD C'!P32*EurCall!Q33)/(1+rate*dt)</f>
        <v>27.07209685735965</v>
      </c>
      <c r="Q32" s="28">
        <f>('EXP FD A'!Q32*EurCall!R31+'EXP FD B'!Q32*EurCall!R32+'EXP FD C'!Q32*EurCall!R33)/(1+rate*dt)</f>
        <v>27.070146830710804</v>
      </c>
      <c r="R32" s="28">
        <f>('EXP FD A'!R32*EurCall!S31+'EXP FD B'!R32*EurCall!S32+'EXP FD C'!R32*EurCall!S33)/(1+rate*dt)</f>
        <v>27.068197441342985</v>
      </c>
      <c r="S32" s="28">
        <f>('EXP FD A'!S32*EurCall!T31+'EXP FD B'!S32*EurCall!T32+'EXP FD C'!S32*EurCall!T33)/(1+rate*dt)</f>
        <v>27.066248570159967</v>
      </c>
      <c r="T32" s="28">
        <f>('EXP FD A'!T32*EurCall!U31+'EXP FD B'!T32*EurCall!U32+'EXP FD C'!T32*EurCall!U33)/(1+rate*dt)</f>
        <v>27.064300111345371</v>
      </c>
      <c r="U32" s="28">
        <f>('EXP FD A'!U32*EurCall!V31+'EXP FD B'!U32*EurCall!V32+'EXP FD C'!U32*EurCall!V33)/(1+rate*dt)</f>
        <v>27.062351971884596</v>
      </c>
      <c r="V32" s="28">
        <f>('EXP FD A'!V32*EurCall!W31+'EXP FD B'!V32*EurCall!W32+'EXP FD C'!V32*EurCall!W33)/(1+rate*dt)</f>
        <v>27.06040407097117</v>
      </c>
      <c r="W32" s="28">
        <f>('EXP FD A'!W32*EurCall!X31+'EXP FD B'!W32*EurCall!X32+'EXP FD C'!W32*EurCall!X33)/(1+rate*dt)</f>
        <v>27.058456339305486</v>
      </c>
      <c r="X32" s="28">
        <f>('EXP FD A'!X32*EurCall!Y31+'EXP FD B'!X32*EurCall!Y32+'EXP FD C'!X32*EurCall!Y33)/(1+rate*dt)</f>
        <v>27.056508718296925</v>
      </c>
      <c r="Y32" s="28">
        <f>('EXP FD A'!Y32*EurCall!Z31+'EXP FD B'!Y32*EurCall!Z32+'EXP FD C'!Y32*EurCall!Z33)/(1+rate*dt)</f>
        <v>27.05456115918409</v>
      </c>
      <c r="Z32" s="28">
        <f>('EXP FD A'!Z32*EurCall!AA31+'EXP FD B'!Z32*EurCall!AA32+'EXP FD C'!Z32*EurCall!AA33)/(1+rate*dt)</f>
        <v>27.052613622090849</v>
      </c>
      <c r="AA32" s="28">
        <f>('EXP FD A'!AA32*EurCall!AB31+'EXP FD B'!AA32*EurCall!AB32+'EXP FD C'!AA32*EurCall!AB33)/(1+rate*dt)</f>
        <v>27.050666075038951</v>
      </c>
      <c r="AB32" s="28">
        <f>('EXP FD A'!AB32*EurCall!AC31+'EXP FD B'!AB32*EurCall!AC32+'EXP FD C'!AB32*EurCall!AC33)/(1+rate*dt)</f>
        <v>27.048718492940221</v>
      </c>
      <c r="AC32" s="28">
        <f>('EXP FD A'!AC32*EurCall!AD31+'EXP FD B'!AC32*EurCall!AD32+'EXP FD C'!AC32*EurCall!AD33)/(1+rate*dt)</f>
        <v>27.046770856592929</v>
      </c>
      <c r="AD32" s="28">
        <f>('EXP FD A'!AD32*EurCall!AE31+'EXP FD B'!AD32*EurCall!AE32+'EXP FD C'!AD32*EurCall!AE33)/(1+rate*dt)</f>
        <v>27.044823151707313</v>
      </c>
      <c r="AE32" s="28">
        <f>('EXP FD A'!AE32*EurCall!AF31+'EXP FD B'!AE32*EurCall!AF32+'EXP FD C'!AE32*EurCall!AF33)/(1+rate*dt)</f>
        <v>27.042875367984486</v>
      </c>
      <c r="AF32" s="28">
        <f>('EXP FD A'!AF32*EurCall!AG31+'EXP FD B'!AF32*EurCall!AG32+'EXP FD C'!AF32*EurCall!AG33)/(1+rate*dt)</f>
        <v>27.040927498270715</v>
      </c>
      <c r="AG32" s="28">
        <f>('EXP FD A'!AG32*EurCall!AH31+'EXP FD B'!AG32*EurCall!AH32+'EXP FD C'!AG32*EurCall!AH33)/(1+rate*dt)</f>
        <v>27.038979537805361</v>
      </c>
      <c r="AH32" s="28">
        <f>('EXP FD A'!AH32*EurCall!AI31+'EXP FD B'!AH32*EurCall!AI32+'EXP FD C'!AH32*EurCall!AI33)/(1+rate*dt)</f>
        <v>27.037031483575696</v>
      </c>
      <c r="AI32" s="28">
        <f>('EXP FD A'!AI32*EurCall!AJ31+'EXP FD B'!AI32*EurCall!AJ32+'EXP FD C'!AI32*EurCall!AJ33)/(1+rate*dt)</f>
        <v>27.035083333785632</v>
      </c>
      <c r="AJ32" s="28">
        <f>('EXP FD A'!AJ32*EurCall!AK31+'EXP FD B'!AJ32*EurCall!AK32+'EXP FD C'!AJ32*EurCall!AK33)/(1+rate*dt)</f>
        <v>27.033135087438616</v>
      </c>
      <c r="AK32" s="28">
        <f>('EXP FD A'!AK32*EurCall!AL31+'EXP FD B'!AK32*EurCall!AL32+'EXP FD C'!AK32*EurCall!AL33)/(1+rate*dt)</f>
        <v>27.031186744028087</v>
      </c>
      <c r="AL32" s="28">
        <f>('EXP FD A'!AL32*EurCall!AM31+'EXP FD B'!AL32*EurCall!AM32+'EXP FD C'!AL32*EurCall!AM33)/(1+rate*dt)</f>
        <v>27.029238303322824</v>
      </c>
      <c r="AM32" s="28">
        <f>('EXP FD A'!AM32*EurCall!AN31+'EXP FD B'!AM32*EurCall!AN32+'EXP FD C'!AM32*EurCall!AN33)/(1+rate*dt)</f>
        <v>27.027289765230162</v>
      </c>
      <c r="AN32" s="28">
        <f>('EXP FD A'!AN32*EurCall!AO31+'EXP FD B'!AN32*EurCall!AO32+'EXP FD C'!AN32*EurCall!AO33)/(1+rate*dt)</f>
        <v>27.025341129717649</v>
      </c>
      <c r="AO32" s="28">
        <f>('EXP FD A'!AO32*EurCall!AP31+'EXP FD B'!AO32*EurCall!AP32+'EXP FD C'!AO32*EurCall!AP33)/(1+rate*dt)</f>
        <v>27.023392396774135</v>
      </c>
      <c r="AP32" s="28">
        <f>('EXP FD A'!AP32*EurCall!AQ31+'EXP FD B'!AP32*EurCall!AQ32+'EXP FD C'!AP32*EurCall!AQ33)/(1+rate*dt)</f>
        <v>27.021443566393977</v>
      </c>
      <c r="AQ32" s="28">
        <f>('EXP FD A'!AQ32*EurCall!AR31+'EXP FD B'!AQ32*EurCall!AR32+'EXP FD C'!AQ32*EurCall!AR33)/(1+rate*dt)</f>
        <v>27.019494638572301</v>
      </c>
      <c r="AR32" s="28">
        <f>('EXP FD A'!AR32*EurCall!AS31+'EXP FD B'!AR32*EurCall!AS32+'EXP FD C'!AR32*EurCall!AS33)/(1+rate*dt)</f>
        <v>27.017545613304232</v>
      </c>
      <c r="AS32" s="28">
        <f>('EXP FD A'!AS32*EurCall!AT31+'EXP FD B'!AS32*EurCall!AT32+'EXP FD C'!AS32*EurCall!AT33)/(1+rate*dt)</f>
        <v>27.015596490584898</v>
      </c>
      <c r="AT32" s="28">
        <f>('EXP FD A'!AT32*EurCall!AU31+'EXP FD B'!AT32*EurCall!AU32+'EXP FD C'!AT32*EurCall!AU33)/(1+rate*dt)</f>
        <v>27.013647270409429</v>
      </c>
      <c r="AU32" s="28">
        <f>('EXP FD A'!AU32*EurCall!AV31+'EXP FD B'!AU32*EurCall!AV32+'EXP FD C'!AU32*EurCall!AV33)/(1+rate*dt)</f>
        <v>27.011697952772952</v>
      </c>
      <c r="AV32" s="28">
        <f>('EXP FD A'!AV32*EurCall!AW31+'EXP FD B'!AV32*EurCall!AW32+'EXP FD C'!AV32*EurCall!AW33)/(1+rate*dt)</f>
        <v>27.009748537670593</v>
      </c>
      <c r="AW32" s="28">
        <f>('EXP FD A'!AW32*EurCall!AX31+'EXP FD B'!AW32*EurCall!AX32+'EXP FD C'!AW32*EurCall!AX33)/(1+rate*dt)</f>
        <v>27.00779902509748</v>
      </c>
      <c r="AX32" s="28">
        <f>('EXP FD A'!AX32*EurCall!AY31+'EXP FD B'!AX32*EurCall!AY32+'EXP FD C'!AX32*EurCall!AY33)/(1+rate*dt)</f>
        <v>27.005849415048743</v>
      </c>
      <c r="AY32" s="28">
        <f>('EXP FD A'!AY32*EurCall!AZ31+'EXP FD B'!AY32*EurCall!AZ32+'EXP FD C'!AY32*EurCall!AZ33)/(1+rate*dt)</f>
        <v>27.003899707519494</v>
      </c>
      <c r="AZ32" s="28">
        <f>('EXP FD A'!AZ32*EurCall!BA31+'EXP FD B'!AZ32*EurCall!BA32+'EXP FD C'!AZ32*EurCall!BA33)/(1+rate*dt)</f>
        <v>27.001949902504872</v>
      </c>
      <c r="BA32" s="6">
        <f t="shared" si="3"/>
        <v>27</v>
      </c>
    </row>
    <row r="33" spans="1:53" x14ac:dyDescent="0.2">
      <c r="A33" s="15">
        <f t="shared" si="4"/>
        <v>32</v>
      </c>
      <c r="B33" s="16">
        <f t="shared" si="0"/>
        <v>64</v>
      </c>
      <c r="C33" s="26">
        <f>('EXP FD A'!C33*EurCall!D32+'EXP FD B'!C33*EurCall!D33+'EXP FD C'!C33*EurCall!D34)/(1+rate*dt)</f>
        <v>25.097862768278702</v>
      </c>
      <c r="D33" s="28">
        <f>('EXP FD A'!D33*EurCall!E32+'EXP FD B'!D33*EurCall!E33+'EXP FD C'!D33*EurCall!E34)/(1+rate*dt)</f>
        <v>25.095853502005468</v>
      </c>
      <c r="E33" s="28">
        <f>('EXP FD A'!E33*EurCall!F32+'EXP FD B'!E33*EurCall!F33+'EXP FD C'!E33*EurCall!F34)/(1+rate*dt)</f>
        <v>25.09385070245451</v>
      </c>
      <c r="F33" s="28">
        <f>('EXP FD A'!F33*EurCall!G32+'EXP FD B'!F33*EurCall!G33+'EXP FD C'!F33*EurCall!G34)/(1+rate*dt)</f>
        <v>25.091853930696718</v>
      </c>
      <c r="G33" s="28">
        <f>('EXP FD A'!G33*EurCall!H32+'EXP FD B'!G33*EurCall!H33+'EXP FD C'!G33*EurCall!H34)/(1+rate*dt)</f>
        <v>25.089862755107585</v>
      </c>
      <c r="H33" s="28">
        <f>('EXP FD A'!H33*EurCall!I32+'EXP FD B'!H33*EurCall!I33+'EXP FD C'!H33*EurCall!I34)/(1+rate*dt)</f>
        <v>25.087876752707714</v>
      </c>
      <c r="I33" s="28">
        <f>('EXP FD A'!I33*EurCall!J32+'EXP FD B'!I33*EurCall!J33+'EXP FD C'!I33*EurCall!J34)/(1+rate*dt)</f>
        <v>25.085895510510341</v>
      </c>
      <c r="J33" s="28">
        <f>('EXP FD A'!J33*EurCall!K32+'EXP FD B'!J33*EurCall!K33+'EXP FD C'!J33*EurCall!K34)/(1+rate*dt)</f>
        <v>25.083918626863564</v>
      </c>
      <c r="K33" s="28">
        <f>('EXP FD A'!K33*EurCall!L32+'EXP FD B'!K33*EurCall!L33+'EXP FD C'!K33*EurCall!L34)/(1+rate*dt)</f>
        <v>25.081945712773397</v>
      </c>
      <c r="L33" s="28">
        <f>('EXP FD A'!L33*EurCall!M32+'EXP FD B'!L33*EurCall!M33+'EXP FD C'!L33*EurCall!M34)/(1+rate*dt)</f>
        <v>25.0799763931923</v>
      </c>
      <c r="M33" s="28">
        <f>('EXP FD A'!M33*EurCall!N32+'EXP FD B'!M33*EurCall!N33+'EXP FD C'!M33*EurCall!N34)/(1+rate*dt)</f>
        <v>25.078010308256513</v>
      </c>
      <c r="N33" s="28">
        <f>('EXP FD A'!N33*EurCall!O32+'EXP FD B'!N33*EurCall!O33+'EXP FD C'!N33*EurCall!O34)/(1+rate*dt)</f>
        <v>25.076047114454205</v>
      </c>
      <c r="O33" s="28">
        <f>('EXP FD A'!O33*EurCall!P32+'EXP FD B'!O33*EurCall!P33+'EXP FD C'!O33*EurCall!P34)/(1+rate*dt)</f>
        <v>25.074086485705436</v>
      </c>
      <c r="P33" s="28">
        <f>('EXP FD A'!P33*EurCall!Q32+'EXP FD B'!P33*EurCall!Q33+'EXP FD C'!P33*EurCall!Q34)/(1+rate*dt)</f>
        <v>25.072128114334102</v>
      </c>
      <c r="Q33" s="28">
        <f>('EXP FD A'!Q33*EurCall!R32+'EXP FD B'!Q33*EurCall!R33+'EXP FD C'!Q33*EurCall!R34)/(1+rate*dt)</f>
        <v>25.070171711911673</v>
      </c>
      <c r="R33" s="28">
        <f>('EXP FD A'!R33*EurCall!S32+'EXP FD B'!R33*EurCall!S33+'EXP FD C'!R33*EurCall!S34)/(1+rate*dt)</f>
        <v>25.068217009952615</v>
      </c>
      <c r="S33" s="28">
        <f>('EXP FD A'!S33*EurCall!T32+'EXP FD B'!S33*EurCall!T33+'EXP FD C'!S33*EurCall!T34)/(1+rate*dt)</f>
        <v>25.066263760441927</v>
      </c>
      <c r="T33" s="28">
        <f>('EXP FD A'!T33*EurCall!U32+'EXP FD B'!T33*EurCall!U33+'EXP FD C'!T33*EurCall!U34)/(1+rate*dt)</f>
        <v>25.064311736176617</v>
      </c>
      <c r="U33" s="28">
        <f>('EXP FD A'!U33*EurCall!V32+'EXP FD B'!U33*EurCall!V33+'EXP FD C'!U33*EurCall!V34)/(1+rate*dt)</f>
        <v>25.062360730904985</v>
      </c>
      <c r="V33" s="28">
        <f>('EXP FD A'!V33*EurCall!W32+'EXP FD B'!V33*EurCall!W33+'EXP FD C'!V33*EurCall!W34)/(1+rate*dt)</f>
        <v>25.060410559250549</v>
      </c>
      <c r="W33" s="28">
        <f>('EXP FD A'!W33*EurCall!X32+'EXP FD B'!W33*EurCall!X33+'EXP FD C'!W33*EurCall!X34)/(1+rate*dt)</f>
        <v>25.058461056411325</v>
      </c>
      <c r="X33" s="28">
        <f>('EXP FD A'!X33*EurCall!Y32+'EXP FD B'!X33*EurCall!Y33+'EXP FD C'!X33*EurCall!Y34)/(1+rate*dt)</f>
        <v>25.056512077630103</v>
      </c>
      <c r="Y33" s="28">
        <f>('EXP FD A'!Y33*EurCall!Z32+'EXP FD B'!Y33*EurCall!Z33+'EXP FD C'!Y33*EurCall!Z34)/(1+rate*dt)</f>
        <v>25.054563497437087</v>
      </c>
      <c r="Z33" s="28">
        <f>('EXP FD A'!Z33*EurCall!AA32+'EXP FD B'!Z33*EurCall!AA33+'EXP FD C'!Z33*EurCall!AA34)/(1+rate*dt)</f>
        <v>25.052615208673142</v>
      </c>
      <c r="AA33" s="28">
        <f>('EXP FD A'!AA33*EurCall!AB32+'EXP FD B'!AA33*EurCall!AB33+'EXP FD C'!AA33*EurCall!AB34)/(1+rate*dt)</f>
        <v>25.0506671213092</v>
      </c>
      <c r="AB33" s="28">
        <f>('EXP FD A'!AB33*EurCall!AC32+'EXP FD B'!AB33*EurCall!AC33+'EXP FD C'!AB33*EurCall!AC34)/(1+rate*dt)</f>
        <v>25.048719161085394</v>
      </c>
      <c r="AC33" s="28">
        <f>('EXP FD A'!AC33*EurCall!AD32+'EXP FD B'!AC33*EurCall!AD33+'EXP FD C'!AC33*EurCall!AD34)/(1+rate*dt)</f>
        <v>25.046771268001386</v>
      </c>
      <c r="AD33" s="28">
        <f>('EXP FD A'!AD33*EurCall!AE32+'EXP FD B'!AD33*EurCall!AE33+'EXP FD C'!AD33*EurCall!AE34)/(1+rate*dt)</f>
        <v>25.044823394697062</v>
      </c>
      <c r="AE33" s="28">
        <f>('EXP FD A'!AE33*EurCall!AF32+'EXP FD B'!AE33*EurCall!AF33+'EXP FD C'!AE33*EurCall!AF34)/(1+rate*dt)</f>
        <v>25.042875504769206</v>
      </c>
      <c r="AF33" s="28">
        <f>('EXP FD A'!AF33*EurCall!AG32+'EXP FD B'!AF33*EurCall!AG33+'EXP FD C'!AF33*EurCall!AG34)/(1+rate*dt)</f>
        <v>25.040927571074771</v>
      </c>
      <c r="AG33" s="28">
        <f>('EXP FD A'!AG33*EurCall!AH32+'EXP FD B'!AG33*EurCall!AH33+'EXP FD C'!AG33*EurCall!AH34)/(1+rate*dt)</f>
        <v>25.038979574073615</v>
      </c>
      <c r="AH33" s="28">
        <f>('EXP FD A'!AH33*EurCall!AI32+'EXP FD B'!AH33*EurCall!AI33+'EXP FD C'!AH33*EurCall!AI34)/(1+rate*dt)</f>
        <v>25.037031500262923</v>
      </c>
      <c r="AI33" s="28">
        <f>('EXP FD A'!AI33*EurCall!AJ32+'EXP FD B'!AI33*EurCall!AJ33+'EXP FD C'!AI33*EurCall!AJ34)/(1+rate*dt)</f>
        <v>25.035083340751154</v>
      </c>
      <c r="AJ33" s="28">
        <f>('EXP FD A'!AJ33*EurCall!AK32+'EXP FD B'!AJ33*EurCall!AK33+'EXP FD C'!AJ33*EurCall!AK34)/(1+rate*dt)</f>
        <v>25.033135090010823</v>
      </c>
      <c r="AK33" s="28">
        <f>('EXP FD A'!AK33*EurCall!AL32+'EXP FD B'!AK33*EurCall!AL33+'EXP FD C'!AK33*EurCall!AL34)/(1+rate*dt)</f>
        <v>25.031186744837488</v>
      </c>
      <c r="AL33" s="28">
        <f>('EXP FD A'!AL33*EurCall!AM32+'EXP FD B'!AL33*EurCall!AM33+'EXP FD C'!AL33*EurCall!AM34)/(1+rate*dt)</f>
        <v>25.029238303527055</v>
      </c>
      <c r="AM33" s="28">
        <f>('EXP FD A'!AM33*EurCall!AN32+'EXP FD B'!AM33*EurCall!AN33+'EXP FD C'!AM33*EurCall!AN34)/(1+rate*dt)</f>
        <v>25.027289765267049</v>
      </c>
      <c r="AN33" s="28">
        <f>('EXP FD A'!AN33*EurCall!AO32+'EXP FD B'!AN33*EurCall!AO33+'EXP FD C'!AN33*EurCall!AO34)/(1+rate*dt)</f>
        <v>25.025341129721241</v>
      </c>
      <c r="AO33" s="28">
        <f>('EXP FD A'!AO33*EurCall!AP32+'EXP FD B'!AO33*EurCall!AP33+'EXP FD C'!AO33*EurCall!AP34)/(1+rate*dt)</f>
        <v>25.023392396774138</v>
      </c>
      <c r="AP33" s="28">
        <f>('EXP FD A'!AP33*EurCall!AQ32+'EXP FD B'!AP33*EurCall!AQ33+'EXP FD C'!AP33*EurCall!AQ34)/(1+rate*dt)</f>
        <v>25.02144356639398</v>
      </c>
      <c r="AQ33" s="28">
        <f>('EXP FD A'!AQ33*EurCall!AR32+'EXP FD B'!AQ33*EurCall!AR33+'EXP FD C'!AQ33*EurCall!AR34)/(1+rate*dt)</f>
        <v>25.019494638572304</v>
      </c>
      <c r="AR33" s="28">
        <f>('EXP FD A'!AR33*EurCall!AS32+'EXP FD B'!AR33*EurCall!AS33+'EXP FD C'!AR33*EurCall!AS34)/(1+rate*dt)</f>
        <v>25.017545613304236</v>
      </c>
      <c r="AS33" s="28">
        <f>('EXP FD A'!AS33*EurCall!AT32+'EXP FD B'!AS33*EurCall!AT33+'EXP FD C'!AS33*EurCall!AT34)/(1+rate*dt)</f>
        <v>25.015596490584901</v>
      </c>
      <c r="AT33" s="28">
        <f>('EXP FD A'!AT33*EurCall!AU32+'EXP FD B'!AT33*EurCall!AU33+'EXP FD C'!AT33*EurCall!AU34)/(1+rate*dt)</f>
        <v>25.013647270409432</v>
      </c>
      <c r="AU33" s="28">
        <f>('EXP FD A'!AU33*EurCall!AV32+'EXP FD B'!AU33*EurCall!AV33+'EXP FD C'!AU33*EurCall!AV34)/(1+rate*dt)</f>
        <v>25.011697952772955</v>
      </c>
      <c r="AV33" s="28">
        <f>('EXP FD A'!AV33*EurCall!AW32+'EXP FD B'!AV33*EurCall!AW33+'EXP FD C'!AV33*EurCall!AW34)/(1+rate*dt)</f>
        <v>25.0097485376706</v>
      </c>
      <c r="AW33" s="28">
        <f>('EXP FD A'!AW33*EurCall!AX32+'EXP FD B'!AW33*EurCall!AX33+'EXP FD C'!AW33*EurCall!AX34)/(1+rate*dt)</f>
        <v>25.007799025097487</v>
      </c>
      <c r="AX33" s="28">
        <f>('EXP FD A'!AX33*EurCall!AY32+'EXP FD B'!AX33*EurCall!AY33+'EXP FD C'!AX33*EurCall!AY34)/(1+rate*dt)</f>
        <v>25.005849415048743</v>
      </c>
      <c r="AY33" s="28">
        <f>('EXP FD A'!AY33*EurCall!AZ32+'EXP FD B'!AY33*EurCall!AZ33+'EXP FD C'!AY33*EurCall!AZ34)/(1+rate*dt)</f>
        <v>25.003899707519498</v>
      </c>
      <c r="AZ33" s="28">
        <f>('EXP FD A'!AZ33*EurCall!BA32+'EXP FD B'!AZ33*EurCall!BA33+'EXP FD C'!AZ33*EurCall!BA34)/(1+rate*dt)</f>
        <v>25.001949902504872</v>
      </c>
      <c r="BA33" s="6">
        <f t="shared" si="3"/>
        <v>25</v>
      </c>
    </row>
    <row r="34" spans="1:53" x14ac:dyDescent="0.2">
      <c r="A34" s="15">
        <f t="shared" si="4"/>
        <v>31</v>
      </c>
      <c r="B34" s="16">
        <f t="shared" si="0"/>
        <v>62</v>
      </c>
      <c r="C34" s="26">
        <f>('EXP FD A'!C34*EurCall!D33+'EXP FD B'!C34*EurCall!D34+'EXP FD C'!C34*EurCall!D35)/(1+rate*dt)</f>
        <v>23.098492275560766</v>
      </c>
      <c r="D34" s="28">
        <f>('EXP FD A'!D34*EurCall!E33+'EXP FD B'!D34*EurCall!E34+'EXP FD C'!D34*EurCall!E35)/(1+rate*dt)</f>
        <v>23.09641444181818</v>
      </c>
      <c r="E34" s="28">
        <f>('EXP FD A'!E34*EurCall!F33+'EXP FD B'!E34*EurCall!F34+'EXP FD C'!E34*EurCall!F35)/(1+rate*dt)</f>
        <v>23.094348345721887</v>
      </c>
      <c r="F34" s="28">
        <f>('EXP FD A'!F34*EurCall!G33+'EXP FD B'!F34*EurCall!G34+'EXP FD C'!F34*EurCall!G35)/(1+rate*dt)</f>
        <v>23.092293363152802</v>
      </c>
      <c r="G34" s="28">
        <f>('EXP FD A'!G34*EurCall!H33+'EXP FD B'!G34*EurCall!H34+'EXP FD C'!G34*EurCall!H35)/(1+rate*dt)</f>
        <v>23.090248868228603</v>
      </c>
      <c r="H34" s="28">
        <f>('EXP FD A'!H34*EurCall!I33+'EXP FD B'!H34*EurCall!I34+'EXP FD C'!H34*EurCall!I35)/(1+rate*dt)</f>
        <v>23.088214235188318</v>
      </c>
      <c r="I34" s="28">
        <f>('EXP FD A'!I34*EurCall!J33+'EXP FD B'!I34*EurCall!J34+'EXP FD C'!I34*EurCall!J35)/(1+rate*dt)</f>
        <v>23.086188840386914</v>
      </c>
      <c r="J34" s="28">
        <f>('EXP FD A'!J34*EurCall!K33+'EXP FD B'!J34*EurCall!K34+'EXP FD C'!J34*EurCall!K35)/(1+rate*dt)</f>
        <v>23.084172064391762</v>
      </c>
      <c r="K34" s="28">
        <f>('EXP FD A'!K34*EurCall!L33+'EXP FD B'!K34*EurCall!L34+'EXP FD C'!K34*EurCall!L35)/(1+rate*dt)</f>
        <v>23.082163294169945</v>
      </c>
      <c r="L34" s="28">
        <f>('EXP FD A'!L34*EurCall!M33+'EXP FD B'!L34*EurCall!M34+'EXP FD C'!L34*EurCall!M35)/(1+rate*dt)</f>
        <v>23.080161925352602</v>
      </c>
      <c r="M34" s="28">
        <f>('EXP FD A'!M34*EurCall!N33+'EXP FD B'!M34*EurCall!N34+'EXP FD C'!M34*EurCall!N35)/(1+rate*dt)</f>
        <v>23.0781673645591</v>
      </c>
      <c r="N34" s="28">
        <f>('EXP FD A'!N34*EurCall!O33+'EXP FD B'!N34*EurCall!O34+'EXP FD C'!N34*EurCall!O35)/(1+rate*dt)</f>
        <v>23.076179031760471</v>
      </c>
      <c r="O34" s="28">
        <f>('EXP FD A'!O34*EurCall!P33+'EXP FD B'!O34*EurCall!P34+'EXP FD C'!O34*EurCall!P35)/(1+rate*dt)</f>
        <v>23.07419636265783</v>
      </c>
      <c r="P34" s="28">
        <f>('EXP FD A'!P34*EurCall!Q33+'EXP FD B'!P34*EurCall!Q34+'EXP FD C'!P34*EurCall!Q35)/(1+rate*dt)</f>
        <v>23.07221881104768</v>
      </c>
      <c r="Q34" s="28">
        <f>('EXP FD A'!Q34*EurCall!R33+'EXP FD B'!Q34*EurCall!R34+'EXP FD C'!Q34*EurCall!R35)/(1+rate*dt)</f>
        <v>23.070245851142289</v>
      </c>
      <c r="R34" s="28">
        <f>('EXP FD A'!R34*EurCall!S33+'EXP FD B'!R34*EurCall!S34+'EXP FD C'!R34*EurCall!S35)/(1+rate*dt)</f>
        <v>23.068276979809447</v>
      </c>
      <c r="S34" s="28">
        <f>('EXP FD A'!S34*EurCall!T33+'EXP FD B'!S34*EurCall!T34+'EXP FD C'!S34*EurCall!T35)/(1+rate*dt)</f>
        <v>23.066311718692695</v>
      </c>
      <c r="T34" s="28">
        <f>('EXP FD A'!T34*EurCall!U33+'EXP FD B'!T34*EurCall!U34+'EXP FD C'!T34*EurCall!U35)/(1+rate*dt)</f>
        <v>23.064349616169935</v>
      </c>
      <c r="U34" s="28">
        <f>('EXP FD A'!U34*EurCall!V33+'EXP FD B'!U34*EurCall!V34+'EXP FD C'!U34*EurCall!V35)/(1+rate*dt)</f>
        <v>23.062390249106137</v>
      </c>
      <c r="V34" s="28">
        <f>('EXP FD A'!V34*EurCall!W33+'EXP FD B'!V34*EurCall!W34+'EXP FD C'!V34*EurCall!W35)/(1+rate*dt)</f>
        <v>23.06043322435459</v>
      </c>
      <c r="W34" s="28">
        <f>('EXP FD A'!W34*EurCall!X33+'EXP FD B'!W34*EurCall!X34+'EXP FD C'!W34*EurCall!X35)/(1+rate*dt)</f>
        <v>23.058478179961071</v>
      </c>
      <c r="X34" s="28">
        <f>('EXP FD A'!X34*EurCall!Y33+'EXP FD B'!X34*EurCall!Y34+'EXP FD C'!X34*EurCall!Y35)/(1+rate*dt)</f>
        <v>23.056524786026909</v>
      </c>
      <c r="Y34" s="28">
        <f>('EXP FD A'!Y34*EurCall!Z33+'EXP FD B'!Y34*EurCall!Z34+'EXP FD C'!Y34*EurCall!Z35)/(1+rate*dt)</f>
        <v>23.054572745190605</v>
      </c>
      <c r="Z34" s="28">
        <f>('EXP FD A'!Z34*EurCall!AA33+'EXP FD B'!Z34*EurCall!AA34+'EXP FD C'!Z34*EurCall!AA35)/(1+rate*dt)</f>
        <v>23.052621792693436</v>
      </c>
      <c r="AA34" s="28">
        <f>('EXP FD A'!AA34*EurCall!AB33+'EXP FD B'!AA34*EurCall!AB34+'EXP FD C'!AA34*EurCall!AB35)/(1+rate*dt)</f>
        <v>23.050671696003025</v>
      </c>
      <c r="AB34" s="28">
        <f>('EXP FD A'!AB34*EurCall!AC33+'EXP FD B'!AB34*EurCall!AC34+'EXP FD C'!AB34*EurCall!AC35)/(1+rate*dt)</f>
        <v>23.048722253980117</v>
      </c>
      <c r="AC34" s="28">
        <f>('EXP FD A'!AC34*EurCall!AD33+'EXP FD B'!AC34*EurCall!AD34+'EXP FD C'!AC34*EurCall!AD35)/(1+rate*dt)</f>
        <v>23.046773295587883</v>
      </c>
      <c r="AD34" s="28">
        <f>('EXP FD A'!AD34*EurCall!AE33+'EXP FD B'!AD34*EurCall!AE34+'EXP FD C'!AD34*EurCall!AE35)/(1+rate*dt)</f>
        <v>23.044824678159927</v>
      </c>
      <c r="AE34" s="28">
        <f>('EXP FD A'!AE34*EurCall!AF33+'EXP FD B'!AE34*EurCall!AF34+'EXP FD C'!AE34*EurCall!AF35)/(1+rate*dt)</f>
        <v>23.042876285262011</v>
      </c>
      <c r="AF34" s="28">
        <f>('EXP FD A'!AF34*EurCall!AG33+'EXP FD B'!AF34*EurCall!AG34+'EXP FD C'!AF34*EurCall!AG35)/(1+rate*dt)</f>
        <v>23.040928024203144</v>
      </c>
      <c r="AG34" s="28">
        <f>('EXP FD A'!AG34*EurCall!AH33+'EXP FD B'!AG34*EurCall!AH34+'EXP FD C'!AG34*EurCall!AH35)/(1+rate*dt)</f>
        <v>23.03897982327198</v>
      </c>
      <c r="AH34" s="28">
        <f>('EXP FD A'!AH34*EurCall!AI33+'EXP FD B'!AH34*EurCall!AI34+'EXP FD C'!AH34*EurCall!AI35)/(1+rate*dt)</f>
        <v>23.037031628793756</v>
      </c>
      <c r="AI34" s="28">
        <f>('EXP FD A'!AI34*EurCall!AJ33+'EXP FD B'!AI34*EurCall!AJ34+'EXP FD C'!AI34*EurCall!AJ35)/(1+rate*dt)</f>
        <v>23.035083402118293</v>
      </c>
      <c r="AJ34" s="28">
        <f>('EXP FD A'!AJ34*EurCall!AK33+'EXP FD B'!AJ34*EurCall!AK34+'EXP FD C'!AJ34*EurCall!AK35)/(1+rate*dt)</f>
        <v>23.033135116658944</v>
      </c>
      <c r="AK34" s="28">
        <f>('EXP FD A'!AK34*EurCall!AL33+'EXP FD B'!AK34*EurCall!AL34+'EXP FD C'!AK34*EurCall!AL35)/(1+rate*dt)</f>
        <v>23.031186755103434</v>
      </c>
      <c r="AL34" s="28">
        <f>('EXP FD A'!AL34*EurCall!AM33+'EXP FD B'!AL34*EurCall!AM34+'EXP FD C'!AL34*EurCall!AM35)/(1+rate*dt)</f>
        <v>23.029238306907768</v>
      </c>
      <c r="AM34" s="28">
        <f>('EXP FD A'!AM34*EurCall!AN33+'EXP FD B'!AM34*EurCall!AN34+'EXP FD C'!AM34*EurCall!AN35)/(1+rate*dt)</f>
        <v>23.027289766162973</v>
      </c>
      <c r="AN34" s="28">
        <f>('EXP FD A'!AN34*EurCall!AO33+'EXP FD B'!AN34*EurCall!AO34+'EXP FD C'!AN34*EurCall!AO35)/(1+rate*dt)</f>
        <v>23.025341129891885</v>
      </c>
      <c r="AO34" s="28">
        <f>('EXP FD A'!AO34*EurCall!AP33+'EXP FD B'!AO34*EurCall!AP34+'EXP FD C'!AO34*EurCall!AP35)/(1+rate*dt)</f>
        <v>23.023392396791753</v>
      </c>
      <c r="AP34" s="28">
        <f>('EXP FD A'!AP34*EurCall!AQ33+'EXP FD B'!AP34*EurCall!AQ34+'EXP FD C'!AP34*EurCall!AQ35)/(1+rate*dt)</f>
        <v>23.021443566393977</v>
      </c>
      <c r="AQ34" s="28">
        <f>('EXP FD A'!AQ34*EurCall!AR33+'EXP FD B'!AQ34*EurCall!AR34+'EXP FD C'!AQ34*EurCall!AR35)/(1+rate*dt)</f>
        <v>23.019494638572301</v>
      </c>
      <c r="AR34" s="28">
        <f>('EXP FD A'!AR34*EurCall!AS33+'EXP FD B'!AR34*EurCall!AS34+'EXP FD C'!AR34*EurCall!AS35)/(1+rate*dt)</f>
        <v>23.017545613304232</v>
      </c>
      <c r="AS34" s="28">
        <f>('EXP FD A'!AS34*EurCall!AT33+'EXP FD B'!AS34*EurCall!AT34+'EXP FD C'!AS34*EurCall!AT35)/(1+rate*dt)</f>
        <v>23.015596490584901</v>
      </c>
      <c r="AT34" s="28">
        <f>('EXP FD A'!AT34*EurCall!AU33+'EXP FD B'!AT34*EurCall!AU34+'EXP FD C'!AT34*EurCall!AU35)/(1+rate*dt)</f>
        <v>23.013647270409429</v>
      </c>
      <c r="AU34" s="28">
        <f>('EXP FD A'!AU34*EurCall!AV33+'EXP FD B'!AU34*EurCall!AV34+'EXP FD C'!AU34*EurCall!AV35)/(1+rate*dt)</f>
        <v>23.011697952772955</v>
      </c>
      <c r="AV34" s="28">
        <f>('EXP FD A'!AV34*EurCall!AW33+'EXP FD B'!AV34*EurCall!AW34+'EXP FD C'!AV34*EurCall!AW35)/(1+rate*dt)</f>
        <v>23.009748537670596</v>
      </c>
      <c r="AW34" s="28">
        <f>('EXP FD A'!AW34*EurCall!AX33+'EXP FD B'!AW34*EurCall!AX34+'EXP FD C'!AW34*EurCall!AX35)/(1+rate*dt)</f>
        <v>23.007799025097484</v>
      </c>
      <c r="AX34" s="28">
        <f>('EXP FD A'!AX34*EurCall!AY33+'EXP FD B'!AX34*EurCall!AY34+'EXP FD C'!AX34*EurCall!AY35)/(1+rate*dt)</f>
        <v>23.005849415048743</v>
      </c>
      <c r="AY34" s="28">
        <f>('EXP FD A'!AY34*EurCall!AZ33+'EXP FD B'!AY34*EurCall!AZ34+'EXP FD C'!AY34*EurCall!AZ35)/(1+rate*dt)</f>
        <v>23.003899707519494</v>
      </c>
      <c r="AZ34" s="28">
        <f>('EXP FD A'!AZ34*EurCall!BA33+'EXP FD B'!AZ34*EurCall!BA34+'EXP FD C'!AZ34*EurCall!BA35)/(1+rate*dt)</f>
        <v>23.001949902504872</v>
      </c>
      <c r="BA34" s="6">
        <f t="shared" si="3"/>
        <v>23</v>
      </c>
    </row>
    <row r="35" spans="1:53" x14ac:dyDescent="0.2">
      <c r="A35" s="15">
        <f t="shared" si="4"/>
        <v>30</v>
      </c>
      <c r="B35" s="16">
        <f t="shared" si="0"/>
        <v>60</v>
      </c>
      <c r="C35" s="26">
        <f>('EXP FD A'!C35*EurCall!D34+'EXP FD B'!C35*EurCall!D35+'EXP FD C'!C35*EurCall!D36)/(1+rate*dt)</f>
        <v>21.099885511905281</v>
      </c>
      <c r="D35" s="28">
        <f>('EXP FD A'!D35*EurCall!E34+'EXP FD B'!D35*EurCall!E35+'EXP FD C'!D35*EurCall!E36)/(1+rate*dt)</f>
        <v>21.097673450394524</v>
      </c>
      <c r="E35" s="28">
        <f>('EXP FD A'!E35*EurCall!F34+'EXP FD B'!E35*EurCall!F35+'EXP FD C'!E35*EurCall!F36)/(1+rate*dt)</f>
        <v>21.095481685295656</v>
      </c>
      <c r="F35" s="28">
        <f>('EXP FD A'!F35*EurCall!G34+'EXP FD B'!F35*EurCall!G35+'EXP FD C'!F35*EurCall!G36)/(1+rate*dt)</f>
        <v>21.093309424088361</v>
      </c>
      <c r="G35" s="28">
        <f>('EXP FD A'!G35*EurCall!H34+'EXP FD B'!G35*EurCall!H35+'EXP FD C'!G35*EurCall!H36)/(1+rate*dt)</f>
        <v>21.091155854107598</v>
      </c>
      <c r="H35" s="28">
        <f>('EXP FD A'!H35*EurCall!I34+'EXP FD B'!H35*EurCall!I35+'EXP FD C'!H35*EurCall!I36)/(1+rate*dt)</f>
        <v>21.089020144371524</v>
      </c>
      <c r="I35" s="28">
        <f>('EXP FD A'!I35*EurCall!J34+'EXP FD B'!I35*EurCall!J35+'EXP FD C'!I35*EurCall!J36)/(1+rate*dt)</f>
        <v>21.086901447653975</v>
      </c>
      <c r="J35" s="28">
        <f>('EXP FD A'!J35*EurCall!K34+'EXP FD B'!J35*EurCall!K35+'EXP FD C'!J35*EurCall!K36)/(1+rate*dt)</f>
        <v>21.084798902809833</v>
      </c>
      <c r="K35" s="28">
        <f>('EXP FD A'!K35*EurCall!L34+'EXP FD B'!K35*EurCall!L35+'EXP FD C'!K35*EurCall!L36)/(1+rate*dt)</f>
        <v>21.082711637359374</v>
      </c>
      <c r="L35" s="28">
        <f>('EXP FD A'!L35*EurCall!M34+'EXP FD B'!L35*EurCall!M35+'EXP FD C'!L35*EurCall!M36)/(1+rate*dt)</f>
        <v>21.080638770334652</v>
      </c>
      <c r="M35" s="28">
        <f>('EXP FD A'!M35*EurCall!N34+'EXP FD B'!M35*EurCall!N35+'EXP FD C'!M35*EurCall!N36)/(1+rate*dt)</f>
        <v>21.078579415387185</v>
      </c>
      <c r="N35" s="28">
        <f>('EXP FD A'!N35*EurCall!O34+'EXP FD B'!N35*EurCall!O35+'EXP FD C'!N35*EurCall!O36)/(1+rate*dt)</f>
        <v>21.076532684151942</v>
      </c>
      <c r="O35" s="28">
        <f>('EXP FD A'!O35*EurCall!P34+'EXP FD B'!O35*EurCall!P35+'EXP FD C'!O35*EurCall!P36)/(1+rate*dt)</f>
        <v>21.0744976898571</v>
      </c>
      <c r="P35" s="28">
        <f>('EXP FD A'!P35*EurCall!Q34+'EXP FD B'!P35*EurCall!Q35+'EXP FD C'!P35*EurCall!Q36)/(1+rate*dt)</f>
        <v>21.072473551163046</v>
      </c>
      <c r="Q35" s="28">
        <f>('EXP FD A'!Q35*EurCall!R34+'EXP FD B'!Q35*EurCall!R35+'EXP FD C'!Q35*EurCall!R36)/(1+rate*dt)</f>
        <v>21.070459396206804</v>
      </c>
      <c r="R35" s="28">
        <f>('EXP FD A'!R35*EurCall!S34+'EXP FD B'!R35*EurCall!S35+'EXP FD C'!R35*EurCall!S36)/(1+rate*dt)</f>
        <v>21.068454366820148</v>
      </c>
      <c r="S35" s="28">
        <f>('EXP FD A'!S35*EurCall!T34+'EXP FD B'!S35*EurCall!T35+'EXP FD C'!S35*EurCall!T36)/(1+rate*dt)</f>
        <v>21.066457622880687</v>
      </c>
      <c r="T35" s="28">
        <f>('EXP FD A'!T35*EurCall!U34+'EXP FD B'!T35*EurCall!U35+'EXP FD C'!T35*EurCall!U36)/(1+rate*dt)</f>
        <v>21.064468346745411</v>
      </c>
      <c r="U35" s="28">
        <f>('EXP FD A'!U35*EurCall!V34+'EXP FD B'!U35*EurCall!V35+'EXP FD C'!U35*EurCall!V36)/(1+rate*dt)</f>
        <v>21.062485747706003</v>
      </c>
      <c r="V35" s="28">
        <f>('EXP FD A'!V35*EurCall!W34+'EXP FD B'!V35*EurCall!W35+'EXP FD C'!V35*EurCall!W36)/(1+rate*dt)</f>
        <v>21.060509066394335</v>
      </c>
      <c r="W35" s="28">
        <f>('EXP FD A'!W35*EurCall!X34+'EXP FD B'!W35*EurCall!X35+'EXP FD C'!W35*EurCall!X36)/(1+rate*dt)</f>
        <v>21.058537579056043</v>
      </c>
      <c r="X35" s="28">
        <f>('EXP FD A'!X35*EurCall!Y34+'EXP FD B'!X35*EurCall!Y35+'EXP FD C'!X35*EurCall!Y36)/(1+rate*dt)</f>
        <v>21.056570601599784</v>
      </c>
      <c r="Y35" s="28">
        <f>('EXP FD A'!Y35*EurCall!Z34+'EXP FD B'!Y35*EurCall!Z35+'EXP FD C'!Y35*EurCall!Z36)/(1+rate*dt)</f>
        <v>21.054607493320901</v>
      </c>
      <c r="Z35" s="28">
        <f>('EXP FD A'!Z35*EurCall!AA34+'EXP FD B'!Z35*EurCall!AA35+'EXP FD C'!Z35*EurCall!AA36)/(1+rate*dt)</f>
        <v>21.052647660191131</v>
      </c>
      <c r="AA35" s="28">
        <f>('EXP FD A'!AA35*EurCall!AB34+'EXP FD B'!AA35*EurCall!AB35+'EXP FD C'!AA35*EurCall!AB36)/(1+rate*dt)</f>
        <v>21.050690557602024</v>
      </c>
      <c r="AB35" s="28">
        <f>('EXP FD A'!AB35*EurCall!AC34+'EXP FD B'!AB35*EurCall!AC35+'EXP FD C'!AB35*EurCall!AC36)/(1+rate*dt)</f>
        <v>21.048735692449867</v>
      </c>
      <c r="AC35" s="28">
        <f>('EXP FD A'!AC35*EurCall!AD34+'EXP FD B'!AC35*EurCall!AD35+'EXP FD C'!AC35*EurCall!AD36)/(1+rate*dt)</f>
        <v>21.046782624455268</v>
      </c>
      <c r="AD35" s="28">
        <f>('EXP FD A'!AD35*EurCall!AE34+'EXP FD B'!AD35*EurCall!AE35+'EXP FD C'!AD35*EurCall!AE36)/(1+rate*dt)</f>
        <v>21.044830966622705</v>
      </c>
      <c r="AE35" s="28">
        <f>('EXP FD A'!AE35*EurCall!AF34+'EXP FD B'!AE35*EurCall!AF35+'EXP FD C'!AE35*EurCall!AF36)/(1+rate*dt)</f>
        <v>21.042880384765333</v>
      </c>
      <c r="AF35" s="28">
        <f>('EXP FD A'!AF35*EurCall!AG34+'EXP FD B'!AF35*EurCall!AG35+'EXP FD C'!AF35*EurCall!AG36)/(1+rate*dt)</f>
        <v>21.040930596048934</v>
      </c>
      <c r="AG35" s="28">
        <f>('EXP FD A'!AG35*EurCall!AH34+'EXP FD B'!AG35*EurCall!AH35+'EXP FD C'!AG35*EurCall!AH36)/(1+rate*dt)</f>
        <v>21.038981366547056</v>
      </c>
      <c r="AH35" s="28">
        <f>('EXP FD A'!AH35*EurCall!AI34+'EXP FD B'!AH35*EurCall!AI35+'EXP FD C'!AH35*EurCall!AI36)/(1+rate*dt)</f>
        <v>21.037032507846256</v>
      </c>
      <c r="AI35" s="28">
        <f>('EXP FD A'!AI35*EurCall!AJ34+'EXP FD B'!AI35*EurCall!AJ35+'EXP FD C'!AI35*EurCall!AJ36)/(1+rate*dt)</f>
        <v>21.035083872794697</v>
      </c>
      <c r="AJ35" s="28">
        <f>('EXP FD A'!AJ35*EurCall!AK34+'EXP FD B'!AJ35*EurCall!AK35+'EXP FD C'!AJ35*EurCall!AK36)/(1+rate*dt)</f>
        <v>21.033135350546267</v>
      </c>
      <c r="AK35" s="28">
        <f>('EXP FD A'!AK35*EurCall!AL34+'EXP FD B'!AK35*EurCall!AL35+'EXP FD C'!AK35*EurCall!AL36)/(1+rate*dt)</f>
        <v>21.031186861110566</v>
      </c>
      <c r="AL35" s="28">
        <f>('EXP FD A'!AL35*EurCall!AM34+'EXP FD B'!AL35*EurCall!AM35+'EXP FD C'!AL35*EurCall!AM36)/(1+rate*dt)</f>
        <v>21.029238349670305</v>
      </c>
      <c r="AM35" s="28">
        <f>('EXP FD A'!AM35*EurCall!AN34+'EXP FD B'!AM35*EurCall!AN35+'EXP FD C'!AM35*EurCall!AN36)/(1+rate*dt)</f>
        <v>21.02728978096269</v>
      </c>
      <c r="AN35" s="28">
        <f>('EXP FD A'!AN35*EurCall!AO34+'EXP FD B'!AN35*EurCall!AO35+'EXP FD C'!AN35*EurCall!AO36)/(1+rate*dt)</f>
        <v>21.025341134031002</v>
      </c>
      <c r="AO35" s="28">
        <f>('EXP FD A'!AO35*EurCall!AP34+'EXP FD B'!AO35*EurCall!AP35+'EXP FD C'!AO35*EurCall!AP36)/(1+rate*dt)</f>
        <v>21.023392397627735</v>
      </c>
      <c r="AP35" s="28">
        <f>('EXP FD A'!AP35*EurCall!AQ34+'EXP FD B'!AP35*EurCall!AQ35+'EXP FD C'!AP35*EurCall!AQ36)/(1+rate*dt)</f>
        <v>21.021443566485996</v>
      </c>
      <c r="AQ35" s="28">
        <f>('EXP FD A'!AQ35*EurCall!AR34+'EXP FD B'!AQ35*EurCall!AR35+'EXP FD C'!AQ35*EurCall!AR36)/(1+rate*dt)</f>
        <v>21.019494638572297</v>
      </c>
      <c r="AR35" s="28">
        <f>('EXP FD A'!AR35*EurCall!AS34+'EXP FD B'!AR35*EurCall!AS35+'EXP FD C'!AR35*EurCall!AS36)/(1+rate*dt)</f>
        <v>21.017545613304229</v>
      </c>
      <c r="AS35" s="28">
        <f>('EXP FD A'!AS35*EurCall!AT34+'EXP FD B'!AS35*EurCall!AT35+'EXP FD C'!AS35*EurCall!AT36)/(1+rate*dt)</f>
        <v>21.015596490584901</v>
      </c>
      <c r="AT35" s="28">
        <f>('EXP FD A'!AT35*EurCall!AU34+'EXP FD B'!AT35*EurCall!AU35+'EXP FD C'!AT35*EurCall!AU36)/(1+rate*dt)</f>
        <v>21.013647270409432</v>
      </c>
      <c r="AU35" s="28">
        <f>('EXP FD A'!AU35*EurCall!AV34+'EXP FD B'!AU35*EurCall!AV35+'EXP FD C'!AU35*EurCall!AV36)/(1+rate*dt)</f>
        <v>21.011697952772955</v>
      </c>
      <c r="AV35" s="28">
        <f>('EXP FD A'!AV35*EurCall!AW34+'EXP FD B'!AV35*EurCall!AW35+'EXP FD C'!AV35*EurCall!AW36)/(1+rate*dt)</f>
        <v>21.009748537670593</v>
      </c>
      <c r="AW35" s="28">
        <f>('EXP FD A'!AW35*EurCall!AX34+'EXP FD B'!AW35*EurCall!AX35+'EXP FD C'!AW35*EurCall!AX36)/(1+rate*dt)</f>
        <v>21.00779902509748</v>
      </c>
      <c r="AX35" s="28">
        <f>('EXP FD A'!AX35*EurCall!AY34+'EXP FD B'!AX35*EurCall!AY35+'EXP FD C'!AX35*EurCall!AY36)/(1+rate*dt)</f>
        <v>21.005849415048736</v>
      </c>
      <c r="AY35" s="28">
        <f>('EXP FD A'!AY35*EurCall!AZ34+'EXP FD B'!AY35*EurCall!AZ35+'EXP FD C'!AY35*EurCall!AZ36)/(1+rate*dt)</f>
        <v>21.003899707519494</v>
      </c>
      <c r="AZ35" s="28">
        <f>('EXP FD A'!AZ35*EurCall!BA34+'EXP FD B'!AZ35*EurCall!BA35+'EXP FD C'!AZ35*EurCall!BA36)/(1+rate*dt)</f>
        <v>21.001949902504872</v>
      </c>
      <c r="BA35" s="6">
        <f t="shared" si="3"/>
        <v>21</v>
      </c>
    </row>
    <row r="36" spans="1:53" x14ac:dyDescent="0.2">
      <c r="A36" s="15">
        <f t="shared" si="4"/>
        <v>29</v>
      </c>
      <c r="B36" s="16">
        <f t="shared" si="0"/>
        <v>58</v>
      </c>
      <c r="C36" s="26">
        <f>('EXP FD A'!C36*EurCall!D35+'EXP FD B'!C36*EurCall!D36+'EXP FD C'!C36*EurCall!D37)/(1+rate*dt)</f>
        <v>19.102898410682712</v>
      </c>
      <c r="D36" s="28">
        <f>('EXP FD A'!D36*EurCall!E35+'EXP FD B'!D36*EurCall!E36+'EXP FD C'!D36*EurCall!E37)/(1+rate*dt)</f>
        <v>19.100432845577391</v>
      </c>
      <c r="E36" s="28">
        <f>('EXP FD A'!E36*EurCall!F35+'EXP FD B'!E36*EurCall!F36+'EXP FD C'!E36*EurCall!F37)/(1+rate*dt)</f>
        <v>19.098000513186037</v>
      </c>
      <c r="F36" s="28">
        <f>('EXP FD A'!F36*EurCall!G35+'EXP FD B'!F36*EurCall!G36+'EXP FD C'!F36*EurCall!G37)/(1+rate*dt)</f>
        <v>19.09560057223711</v>
      </c>
      <c r="G36" s="28">
        <f>('EXP FD A'!G36*EurCall!H35+'EXP FD B'!G36*EurCall!H36+'EXP FD C'!G36*EurCall!H37)/(1+rate*dt)</f>
        <v>19.093232133882207</v>
      </c>
      <c r="H36" s="28">
        <f>('EXP FD A'!H36*EurCall!I35+'EXP FD B'!H36*EurCall!I36+'EXP FD C'!H36*EurCall!I37)/(1+rate*dt)</f>
        <v>19.090894262160333</v>
      </c>
      <c r="I36" s="28">
        <f>('EXP FD A'!I36*EurCall!J35+'EXP FD B'!I36*EurCall!J36+'EXP FD C'!I36*EurCall!J37)/(1+rate*dt)</f>
        <v>19.08858597478531</v>
      </c>
      <c r="J36" s="28">
        <f>('EXP FD A'!J36*EurCall!K35+'EXP FD B'!J36*EurCall!K36+'EXP FD C'!J36*EurCall!K37)/(1+rate*dt)</f>
        <v>19.086306244291542</v>
      </c>
      <c r="K36" s="28">
        <f>('EXP FD A'!K36*EurCall!L35+'EXP FD B'!K36*EurCall!L36+'EXP FD C'!K36*EurCall!L37)/(1+rate*dt)</f>
        <v>19.084053999574657</v>
      </c>
      <c r="L36" s="28">
        <f>('EXP FD A'!L36*EurCall!M35+'EXP FD B'!L36*EurCall!M36+'EXP FD C'!L36*EurCall!M37)/(1+rate*dt)</f>
        <v>19.081828127863798</v>
      </c>
      <c r="M36" s="28">
        <f>('EXP FD A'!M36*EurCall!N35+'EXP FD B'!M36*EurCall!N36+'EXP FD C'!M36*EurCall!N37)/(1+rate*dt)</f>
        <v>19.079627477162145</v>
      </c>
      <c r="N36" s="28">
        <f>('EXP FD A'!N36*EurCall!O35+'EXP FD B'!N36*EurCall!O36+'EXP FD C'!N36*EurCall!O37)/(1+rate*dt)</f>
        <v>19.077450859191135</v>
      </c>
      <c r="O36" s="28">
        <f>('EXP FD A'!O36*EurCall!P35+'EXP FD B'!O36*EurCall!P36+'EXP FD C'!O36*EurCall!P37)/(1+rate*dt)</f>
        <v>19.075297052871441</v>
      </c>
      <c r="P36" s="28">
        <f>('EXP FD A'!P36*EurCall!Q35+'EXP FD B'!P36*EurCall!Q36+'EXP FD C'!P36*EurCall!Q37)/(1+rate*dt)</f>
        <v>19.073164808370318</v>
      </c>
      <c r="Q36" s="28">
        <f>('EXP FD A'!Q36*EurCall!R35+'EXP FD B'!Q36*EurCall!R36+'EXP FD C'!Q36*EurCall!R37)/(1+rate*dt)</f>
        <v>19.071052851739395</v>
      </c>
      <c r="R36" s="28">
        <f>('EXP FD A'!R36*EurCall!S35+'EXP FD B'!R36*EurCall!S36+'EXP FD C'!R36*EurCall!S37)/(1+rate*dt)</f>
        <v>19.068959890159913</v>
      </c>
      <c r="S36" s="28">
        <f>('EXP FD A'!S36*EurCall!T35+'EXP FD B'!S36*EurCall!T36+'EXP FD C'!S36*EurCall!T37)/(1+rate*dt)</f>
        <v>19.066884617802785</v>
      </c>
      <c r="T36" s="28">
        <f>('EXP FD A'!T36*EurCall!U35+'EXP FD B'!T36*EurCall!U36+'EXP FD C'!T36*EurCall!U37)/(1+rate*dt)</f>
        <v>19.064825722298767</v>
      </c>
      <c r="U36" s="28">
        <f>('EXP FD A'!U36*EurCall!V35+'EXP FD B'!U36*EurCall!V36+'EXP FD C'!U36*EurCall!V37)/(1+rate*dt)</f>
        <v>19.062781891799027</v>
      </c>
      <c r="V36" s="28">
        <f>('EXP FD A'!V36*EurCall!W35+'EXP FD B'!V36*EurCall!W36+'EXP FD C'!V36*EurCall!W37)/(1+rate*dt)</f>
        <v>19.060751822588141</v>
      </c>
      <c r="W36" s="28">
        <f>('EXP FD A'!W36*EurCall!X35+'EXP FD B'!W36*EurCall!X36+'EXP FD C'!W36*EurCall!X37)/(1+rate*dt)</f>
        <v>19.058734227190119</v>
      </c>
      <c r="X36" s="28">
        <f>('EXP FD A'!X36*EurCall!Y35+'EXP FD B'!X36*EurCall!Y36+'EXP FD C'!X36*EurCall!Y37)/(1+rate*dt)</f>
        <v>19.056727842882971</v>
      </c>
      <c r="Y36" s="28">
        <f>('EXP FD A'!Y36*EurCall!Z35+'EXP FD B'!Y36*EurCall!Z36+'EXP FD C'!Y36*EurCall!Z37)/(1+rate*dt)</f>
        <v>19.054731440509268</v>
      </c>
      <c r="Z36" s="28">
        <f>('EXP FD A'!Z36*EurCall!AA35+'EXP FD B'!Z36*EurCall!AA36+'EXP FD C'!Z36*EurCall!AA37)/(1+rate*dt)</f>
        <v>19.052743833438814</v>
      </c>
      <c r="AA36" s="28">
        <f>('EXP FD A'!AA36*EurCall!AB35+'EXP FD B'!AA36*EurCall!AB36+'EXP FD C'!AA36*EurCall!AB37)/(1+rate*dt)</f>
        <v>19.050763886506548</v>
      </c>
      <c r="AB36" s="28">
        <f>('EXP FD A'!AB36*EurCall!AC35+'EXP FD B'!AB36*EurCall!AC36+'EXP FD C'!AB36*EurCall!AC37)/(1+rate*dt)</f>
        <v>19.048790524714558</v>
      </c>
      <c r="AC36" s="28">
        <f>('EXP FD A'!AC36*EurCall!AD35+'EXP FD B'!AC36*EurCall!AD36+'EXP FD C'!AC36*EurCall!AD37)/(1+rate*dt)</f>
        <v>19.046822741453909</v>
      </c>
      <c r="AD36" s="28">
        <f>('EXP FD A'!AD36*EurCall!AE35+'EXP FD B'!AD36*EurCall!AE36+'EXP FD C'!AD36*EurCall!AE37)/(1+rate*dt)</f>
        <v>19.044859605972409</v>
      </c>
      <c r="AE36" s="28">
        <f>('EXP FD A'!AE36*EurCall!AF35+'EXP FD B'!AE36*EurCall!AF36+'EXP FD C'!AE36*EurCall!AF37)/(1+rate*dt)</f>
        <v>19.042900269791438</v>
      </c>
      <c r="AF36" s="28">
        <f>('EXP FD A'!AF36*EurCall!AG35+'EXP FD B'!AF36*EurCall!AG36+'EXP FD C'!AF36*EurCall!AG37)/(1+rate*dt)</f>
        <v>19.040943971763106</v>
      </c>
      <c r="AG36" s="28">
        <f>('EXP FD A'!AG36*EurCall!AH35+'EXP FD B'!AG36*EurCall!AH36+'EXP FD C'!AG36*EurCall!AH37)/(1+rate*dt)</f>
        <v>19.038990041462824</v>
      </c>
      <c r="AH36" s="28">
        <f>('EXP FD A'!AH36*EurCall!AI35+'EXP FD B'!AH36*EurCall!AI36+'EXP FD C'!AH36*EurCall!AI37)/(1+rate*dt)</f>
        <v>19.037037900637724</v>
      </c>
      <c r="AI36" s="28">
        <f>('EXP FD A'!AI36*EurCall!AJ35+'EXP FD B'!AI36*EurCall!AJ36+'EXP FD C'!AI36*EurCall!AJ37)/(1+rate*dt)</f>
        <v>19.035087062483473</v>
      </c>
      <c r="AJ36" s="28">
        <f>('EXP FD A'!AJ36*EurCall!AK35+'EXP FD B'!AJ36*EurCall!AK36+'EXP FD C'!AJ36*EurCall!AK37)/(1+rate*dt)</f>
        <v>19.033137128606004</v>
      </c>
      <c r="AK36" s="28">
        <f>('EXP FD A'!AK36*EurCall!AL35+'EXP FD B'!AK36*EurCall!AL36+'EXP FD C'!AK36*EurCall!AL37)/(1+rate*dt)</f>
        <v>19.031187783643468</v>
      </c>
      <c r="AL36" s="28">
        <f>('EXP FD A'!AL36*EurCall!AM35+'EXP FD B'!AL36*EurCall!AM36+'EXP FD C'!AL36*EurCall!AM37)/(1+rate*dt)</f>
        <v>19.029238787676714</v>
      </c>
      <c r="AM36" s="28">
        <f>('EXP FD A'!AM36*EurCall!AN35+'EXP FD B'!AM36*EurCall!AN36+'EXP FD C'!AM36*EurCall!AN37)/(1+rate*dt)</f>
        <v>19.02728996673758</v>
      </c>
      <c r="AN36" s="28">
        <f>('EXP FD A'!AN36*EurCall!AO35+'EXP FD B'!AN36*EurCall!AO36+'EXP FD C'!AN36*EurCall!AO37)/(1+rate*dt)</f>
        <v>19.025341201918785</v>
      </c>
      <c r="AO36" s="28">
        <f>('EXP FD A'!AO36*EurCall!AP35+'EXP FD B'!AO36*EurCall!AP36+'EXP FD C'!AO36*EurCall!AP37)/(1+rate*dt)</f>
        <v>19.023392417773188</v>
      </c>
      <c r="AP36" s="28">
        <f>('EXP FD A'!AP36*EurCall!AQ35+'EXP FD B'!AP36*EurCall!AQ36+'EXP FD C'!AP36*EurCall!AQ37)/(1+rate*dt)</f>
        <v>19.021443570827739</v>
      </c>
      <c r="AQ36" s="28">
        <f>('EXP FD A'!AQ36*EurCall!AR35+'EXP FD B'!AQ36*EurCall!AR36+'EXP FD C'!AQ36*EurCall!AR37)/(1+rate*dt)</f>
        <v>19.019494639085689</v>
      </c>
      <c r="AR36" s="28">
        <f>('EXP FD A'!AR36*EurCall!AS35+'EXP FD B'!AR36*EurCall!AS36+'EXP FD C'!AR36*EurCall!AS37)/(1+rate*dt)</f>
        <v>19.01754561330424</v>
      </c>
      <c r="AS36" s="28">
        <f>('EXP FD A'!AS36*EurCall!AT35+'EXP FD B'!AS36*EurCall!AT36+'EXP FD C'!AS36*EurCall!AT37)/(1+rate*dt)</f>
        <v>19.015596490584905</v>
      </c>
      <c r="AT36" s="28">
        <f>('EXP FD A'!AT36*EurCall!AU35+'EXP FD B'!AT36*EurCall!AU36+'EXP FD C'!AT36*EurCall!AU37)/(1+rate*dt)</f>
        <v>19.013647270409436</v>
      </c>
      <c r="AU36" s="28">
        <f>('EXP FD A'!AU36*EurCall!AV35+'EXP FD B'!AU36*EurCall!AV36+'EXP FD C'!AU36*EurCall!AV37)/(1+rate*dt)</f>
        <v>19.011697952772955</v>
      </c>
      <c r="AV36" s="28">
        <f>('EXP FD A'!AV36*EurCall!AW35+'EXP FD B'!AV36*EurCall!AW36+'EXP FD C'!AV36*EurCall!AW37)/(1+rate*dt)</f>
        <v>19.009748537670596</v>
      </c>
      <c r="AW36" s="28">
        <f>('EXP FD A'!AW36*EurCall!AX35+'EXP FD B'!AW36*EurCall!AX36+'EXP FD C'!AW36*EurCall!AX37)/(1+rate*dt)</f>
        <v>19.00779902509748</v>
      </c>
      <c r="AX36" s="28">
        <f>('EXP FD A'!AX36*EurCall!AY35+'EXP FD B'!AX36*EurCall!AY36+'EXP FD C'!AX36*EurCall!AY37)/(1+rate*dt)</f>
        <v>19.005849415048736</v>
      </c>
      <c r="AY36" s="28">
        <f>('EXP FD A'!AY36*EurCall!AZ35+'EXP FD B'!AY36*EurCall!AZ36+'EXP FD C'!AY36*EurCall!AZ37)/(1+rate*dt)</f>
        <v>19.003899707519491</v>
      </c>
      <c r="AZ36" s="28">
        <f>('EXP FD A'!AZ36*EurCall!BA35+'EXP FD B'!AZ36*EurCall!BA36+'EXP FD C'!AZ36*EurCall!BA37)/(1+rate*dt)</f>
        <v>19.001949902504872</v>
      </c>
      <c r="BA36" s="6">
        <f t="shared" si="3"/>
        <v>19</v>
      </c>
    </row>
    <row r="37" spans="1:53" x14ac:dyDescent="0.2">
      <c r="A37" s="15">
        <f t="shared" si="4"/>
        <v>28</v>
      </c>
      <c r="B37" s="16">
        <f t="shared" si="0"/>
        <v>56</v>
      </c>
      <c r="C37" s="26">
        <f>('EXP FD A'!C37*EurCall!D36+'EXP FD B'!C37*EurCall!D37+'EXP FD C'!C37*EurCall!D38)/(1+rate*dt)</f>
        <v>17.109250494067101</v>
      </c>
      <c r="D37" s="28">
        <f>('EXP FD A'!D37*EurCall!E36+'EXP FD B'!D37*EurCall!E37+'EXP FD C'!D37*EurCall!E38)/(1+rate*dt)</f>
        <v>17.106325312256729</v>
      </c>
      <c r="E37" s="28">
        <f>('EXP FD A'!E37*EurCall!F36+'EXP FD B'!E37*EurCall!F37+'EXP FD C'!E37*EurCall!F38)/(1+rate*dt)</f>
        <v>17.103451159760244</v>
      </c>
      <c r="F37" s="28">
        <f>('EXP FD A'!F37*EurCall!G36+'EXP FD B'!F37*EurCall!G37+'EXP FD C'!F37*EurCall!G38)/(1+rate*dt)</f>
        <v>17.100627431025657</v>
      </c>
      <c r="G37" s="28">
        <f>('EXP FD A'!G37*EurCall!H36+'EXP FD B'!G37*EurCall!H37+'EXP FD C'!G37*EurCall!H38)/(1+rate*dt)</f>
        <v>17.097853444193866</v>
      </c>
      <c r="H37" s="28">
        <f>('EXP FD A'!H37*EurCall!I36+'EXP FD B'!H37*EurCall!I37+'EXP FD C'!H37*EurCall!I38)/(1+rate*dt)</f>
        <v>17.095128438461519</v>
      </c>
      <c r="I37" s="28">
        <f>('EXP FD A'!I37*EurCall!J36+'EXP FD B'!I37*EurCall!J37+'EXP FD C'!I37*EurCall!J38)/(1+rate*dt)</f>
        <v>17.092451571643313</v>
      </c>
      <c r="J37" s="28">
        <f>('EXP FD A'!J37*EurCall!K36+'EXP FD B'!J37*EurCall!K37+'EXP FD C'!J37*EurCall!K38)/(1+rate*dt)</f>
        <v>17.089821917987962</v>
      </c>
      <c r="K37" s="28">
        <f>('EXP FD A'!K37*EurCall!L36+'EXP FD B'!K37*EurCall!L37+'EXP FD C'!K37*EurCall!L38)/(1+rate*dt)</f>
        <v>17.0872384663089</v>
      </c>
      <c r="L37" s="28">
        <f>('EXP FD A'!L37*EurCall!M36+'EXP FD B'!L37*EurCall!M37+'EXP FD C'!L37*EurCall!M38)/(1+rate*dt)</f>
        <v>17.084700118497928</v>
      </c>
      <c r="M37" s="28">
        <f>('EXP FD A'!M37*EurCall!N36+'EXP FD B'!M37*EurCall!N37+'EXP FD C'!M37*EurCall!N38)/(1+rate*dt)</f>
        <v>17.082205688497456</v>
      </c>
      <c r="N37" s="28">
        <f>('EXP FD A'!N37*EurCall!O36+'EXP FD B'!N37*EurCall!O37+'EXP FD C'!N37*EurCall!O38)/(1+rate*dt)</f>
        <v>17.079753901814623</v>
      </c>
      <c r="O37" s="28">
        <f>('EXP FD A'!O37*EurCall!P36+'EXP FD B'!O37*EurCall!P37+'EXP FD C'!O37*EurCall!P38)/(1+rate*dt)</f>
        <v>17.077343395667988</v>
      </c>
      <c r="P37" s="28">
        <f>('EXP FD A'!P37*EurCall!Q36+'EXP FD B'!P37*EurCall!Q37+'EXP FD C'!P37*EurCall!Q38)/(1+rate*dt)</f>
        <v>17.074972719864597</v>
      </c>
      <c r="Q37" s="28">
        <f>('EXP FD A'!Q37*EurCall!R36+'EXP FD B'!Q37*EurCall!R37+'EXP FD C'!Q37*EurCall!R38)/(1+rate*dt)</f>
        <v>17.072640338511647</v>
      </c>
      <c r="R37" s="28">
        <f>('EXP FD A'!R37*EurCall!S36+'EXP FD B'!R37*EurCall!S37+'EXP FD C'!R37*EurCall!S38)/(1+rate*dt)</f>
        <v>17.070344632672157</v>
      </c>
      <c r="S37" s="28">
        <f>('EXP FD A'!S37*EurCall!T36+'EXP FD B'!S37*EurCall!T37+'EXP FD C'!S37*EurCall!T38)/(1+rate*dt)</f>
        <v>17.068083904077472</v>
      </c>
      <c r="T37" s="28">
        <f>('EXP FD A'!T37*EurCall!U36+'EXP FD B'!T37*EurCall!U37+'EXP FD C'!T37*EurCall!U38)/(1+rate*dt)</f>
        <v>17.06585638001042</v>
      </c>
      <c r="U37" s="28">
        <f>('EXP FD A'!U37*EurCall!V36+'EXP FD B'!U37*EurCall!V37+'EXP FD C'!U37*EurCall!V38)/(1+rate*dt)</f>
        <v>17.063660219470449</v>
      </c>
      <c r="V37" s="28">
        <f>('EXP FD A'!V37*EurCall!W36+'EXP FD B'!V37*EurCall!W37+'EXP FD C'!V37*EurCall!W38)/(1+rate*dt)</f>
        <v>17.061493520725264</v>
      </c>
      <c r="W37" s="28">
        <f>('EXP FD A'!W37*EurCall!X36+'EXP FD B'!W37*EurCall!X37+'EXP FD C'!W37*EurCall!X38)/(1+rate*dt)</f>
        <v>17.059354330341048</v>
      </c>
      <c r="X37" s="28">
        <f>('EXP FD A'!X37*EurCall!Y36+'EXP FD B'!X37*EurCall!Y37+'EXP FD C'!X37*EurCall!Y38)/(1+rate*dt)</f>
        <v>17.057240653763795</v>
      </c>
      <c r="Y37" s="28">
        <f>('EXP FD A'!Y37*EurCall!Z36+'EXP FD B'!Y37*EurCall!Z37+'EXP FD C'!Y37*EurCall!Z38)/(1+rate*dt)</f>
        <v>17.055150467496237</v>
      </c>
      <c r="Z37" s="28">
        <f>('EXP FD A'!Z37*EurCall!AA36+'EXP FD B'!Z37*EurCall!AA37+'EXP FD C'!Z37*EurCall!AA38)/(1+rate*dt)</f>
        <v>17.053081732876628</v>
      </c>
      <c r="AA37" s="28">
        <f>('EXP FD A'!AA37*EurCall!AB36+'EXP FD B'!AA37*EurCall!AB37+'EXP FD C'!AA37*EurCall!AB38)/(1+rate*dt)</f>
        <v>17.051032411415552</v>
      </c>
      <c r="AB37" s="28">
        <f>('EXP FD A'!AB37*EurCall!AC36+'EXP FD B'!AB37*EurCall!AC37+'EXP FD C'!AB37*EurCall!AC38)/(1+rate*dt)</f>
        <v>17.049000481583523</v>
      </c>
      <c r="AC37" s="28">
        <f>('EXP FD A'!AC37*EurCall!AD36+'EXP FD B'!AC37*EurCall!AD37+'EXP FD C'!AC37*EurCall!AD38)/(1+rate*dt)</f>
        <v>17.046983956864459</v>
      </c>
      <c r="AD37" s="28">
        <f>('EXP FD A'!AD37*EurCall!AE36+'EXP FD B'!AD37*EurCall!AE37+'EXP FD C'!AD37*EurCall!AE38)/(1+rate*dt)</f>
        <v>17.044980904797459</v>
      </c>
      <c r="AE37" s="28">
        <f>('EXP FD A'!AE37*EurCall!AF36+'EXP FD B'!AE37*EurCall!AF37+'EXP FD C'!AE37*EurCall!AF38)/(1+rate*dt)</f>
        <v>17.042989466622643</v>
      </c>
      <c r="AF37" s="28">
        <f>('EXP FD A'!AF37*EurCall!AG36+'EXP FD B'!AF37*EurCall!AG37+'EXP FD C'!AF37*EurCall!AG38)/(1+rate*dt)</f>
        <v>17.041007877028619</v>
      </c>
      <c r="AG37" s="28">
        <f>('EXP FD A'!AG37*EurCall!AH36+'EXP FD B'!AG37*EurCall!AH37+'EXP FD C'!AG37*EurCall!AH38)/(1+rate*dt)</f>
        <v>17.039034483373676</v>
      </c>
      <c r="AH37" s="28">
        <f>('EXP FD A'!AH37*EurCall!AI36+'EXP FD B'!AH37*EurCall!AI37+'EXP FD C'!AH37*EurCall!AI38)/(1+rate*dt)</f>
        <v>17.037067763629061</v>
      </c>
      <c r="AI37" s="28">
        <f>('EXP FD A'!AI37*EurCall!AJ36+'EXP FD B'!AI37*EurCall!AJ37+'EXP FD C'!AI37*EurCall!AJ38)/(1+rate*dt)</f>
        <v>17.035106342181695</v>
      </c>
      <c r="AJ37" s="28">
        <f>('EXP FD A'!AJ37*EurCall!AK36+'EXP FD B'!AJ37*EurCall!AK37+'EXP FD C'!AJ37*EurCall!AK38)/(1+rate*dt)</f>
        <v>17.033149002553369</v>
      </c>
      <c r="AK37" s="28">
        <f>('EXP FD A'!AK37*EurCall!AL36+'EXP FD B'!AK37*EurCall!AL37+'EXP FD C'!AK37*EurCall!AL38)/(1+rate*dt)</f>
        <v>17.031194696065253</v>
      </c>
      <c r="AL37" s="28">
        <f>('EXP FD A'!AL37*EurCall!AM36+'EXP FD B'!AL37*EurCall!AM37+'EXP FD C'!AL37*EurCall!AM38)/(1+rate*dt)</f>
        <v>17.029242545528142</v>
      </c>
      <c r="AM37" s="28">
        <f>('EXP FD A'!AM37*EurCall!AN36+'EXP FD B'!AM37*EurCall!AN37+'EXP FD C'!AM37*EurCall!AN38)/(1+rate*dt)</f>
        <v>17.027291843200008</v>
      </c>
      <c r="AN37" s="28">
        <f>('EXP FD A'!AN37*EurCall!AO36+'EXP FD B'!AN37*EurCall!AO37+'EXP FD C'!AN37*EurCall!AO38)/(1+rate*dt)</f>
        <v>17.02534204255219</v>
      </c>
      <c r="AO37" s="28">
        <f>('EXP FD A'!AO37*EurCall!AP36+'EXP FD B'!AO37*EurCall!AP37+'EXP FD C'!AO37*EurCall!AP38)/(1+rate*dt)</f>
        <v>17.023392743844358</v>
      </c>
      <c r="AP37" s="28">
        <f>('EXP FD A'!AP37*EurCall!AQ36+'EXP FD B'!AP37*EurCall!AQ37+'EXP FD C'!AP37*EurCall!AQ38)/(1+rate*dt)</f>
        <v>17.021443674125358</v>
      </c>
      <c r="AQ37" s="28">
        <f>('EXP FD A'!AQ37*EurCall!AR36+'EXP FD B'!AQ37*EurCall!AR37+'EXP FD C'!AQ37*EurCall!AR38)/(1+rate*dt)</f>
        <v>17.019494663013546</v>
      </c>
      <c r="AR37" s="28">
        <f>('EXP FD A'!AR37*EurCall!AS36+'EXP FD B'!AR37*EurCall!AS37+'EXP FD C'!AR37*EurCall!AS38)/(1+rate*dt)</f>
        <v>17.017545616369819</v>
      </c>
      <c r="AS37" s="28">
        <f>('EXP FD A'!AS37*EurCall!AT36+'EXP FD B'!AS37*EurCall!AT37+'EXP FD C'!AS37*EurCall!AT38)/(1+rate*dt)</f>
        <v>17.015596490584901</v>
      </c>
      <c r="AT37" s="28">
        <f>('EXP FD A'!AT37*EurCall!AU36+'EXP FD B'!AT37*EurCall!AU37+'EXP FD C'!AT37*EurCall!AU38)/(1+rate*dt)</f>
        <v>17.013647270409432</v>
      </c>
      <c r="AU37" s="28">
        <f>('EXP FD A'!AU37*EurCall!AV36+'EXP FD B'!AU37*EurCall!AV37+'EXP FD C'!AU37*EurCall!AV38)/(1+rate*dt)</f>
        <v>17.011697952772955</v>
      </c>
      <c r="AV37" s="28">
        <f>('EXP FD A'!AV37*EurCall!AW36+'EXP FD B'!AV37*EurCall!AW37+'EXP FD C'!AV37*EurCall!AW38)/(1+rate*dt)</f>
        <v>17.009748537670596</v>
      </c>
      <c r="AW37" s="28">
        <f>('EXP FD A'!AW37*EurCall!AX36+'EXP FD B'!AW37*EurCall!AX37+'EXP FD C'!AW37*EurCall!AX38)/(1+rate*dt)</f>
        <v>17.00779902509748</v>
      </c>
      <c r="AX37" s="28">
        <f>('EXP FD A'!AX37*EurCall!AY36+'EXP FD B'!AX37*EurCall!AY37+'EXP FD C'!AX37*EurCall!AY38)/(1+rate*dt)</f>
        <v>17.005849415048736</v>
      </c>
      <c r="AY37" s="28">
        <f>('EXP FD A'!AY37*EurCall!AZ36+'EXP FD B'!AY37*EurCall!AZ37+'EXP FD C'!AY37*EurCall!AZ38)/(1+rate*dt)</f>
        <v>17.003899707519491</v>
      </c>
      <c r="AZ37" s="28">
        <f>('EXP FD A'!AZ37*EurCall!BA36+'EXP FD B'!AZ37*EurCall!BA37+'EXP FD C'!AZ37*EurCall!BA38)/(1+rate*dt)</f>
        <v>17.001949902504869</v>
      </c>
      <c r="BA37" s="6">
        <f t="shared" si="3"/>
        <v>17</v>
      </c>
    </row>
    <row r="38" spans="1:53" x14ac:dyDescent="0.2">
      <c r="A38" s="15">
        <f t="shared" si="4"/>
        <v>27</v>
      </c>
      <c r="B38" s="16">
        <f t="shared" si="0"/>
        <v>54</v>
      </c>
      <c r="C38" s="26">
        <f>('EXP FD A'!C38*EurCall!D37+'EXP FD B'!C38*EurCall!D38+'EXP FD C'!C38*EurCall!D39)/(1+rate*dt)</f>
        <v>15.122272964616789</v>
      </c>
      <c r="D38" s="28">
        <f>('EXP FD A'!D38*EurCall!E37+'EXP FD B'!D38*EurCall!E38+'EXP FD C'!D38*EurCall!E39)/(1+rate*dt)</f>
        <v>15.118552780783785</v>
      </c>
      <c r="E38" s="28">
        <f>('EXP FD A'!E38*EurCall!F37+'EXP FD B'!E38*EurCall!F38+'EXP FD C'!E38*EurCall!F39)/(1+rate*dt)</f>
        <v>15.114905007278098</v>
      </c>
      <c r="F38" s="28">
        <f>('EXP FD A'!F38*EurCall!G37+'EXP FD B'!F38*EurCall!G38+'EXP FD C'!F38*EurCall!G39)/(1+rate*dt)</f>
        <v>15.111329747180518</v>
      </c>
      <c r="G38" s="28">
        <f>('EXP FD A'!G38*EurCall!H37+'EXP FD B'!G38*EurCall!H38+'EXP FD C'!G38*EurCall!H39)/(1+rate*dt)</f>
        <v>15.107827016118472</v>
      </c>
      <c r="H38" s="28">
        <f>('EXP FD A'!H38*EurCall!I37+'EXP FD B'!H38*EurCall!I38+'EXP FD C'!H38*EurCall!I39)/(1+rate*dt)</f>
        <v>15.104396735527478</v>
      </c>
      <c r="I38" s="28">
        <f>('EXP FD A'!I38*EurCall!J37+'EXP FD B'!I38*EurCall!J38+'EXP FD C'!I38*EurCall!J39)/(1+rate*dt)</f>
        <v>15.101038725680915</v>
      </c>
      <c r="J38" s="28">
        <f>('EXP FD A'!J38*EurCall!K37+'EXP FD B'!J38*EurCall!K38+'EXP FD C'!J38*EurCall!K39)/(1+rate*dt)</f>
        <v>15.097752698520457</v>
      </c>
      <c r="K38" s="28">
        <f>('EXP FD A'!K38*EurCall!L37+'EXP FD B'!K38*EurCall!L38+'EXP FD C'!K38*EurCall!L39)/(1+rate*dt)</f>
        <v>15.094538250329428</v>
      </c>
      <c r="L38" s="28">
        <f>('EXP FD A'!L38*EurCall!M37+'EXP FD B'!L38*EurCall!M38+'EXP FD C'!L38*EurCall!M39)/(1+rate*dt)</f>
        <v>15.091394854302962</v>
      </c>
      <c r="M38" s="28">
        <f>('EXP FD A'!M38*EurCall!N37+'EXP FD B'!M38*EurCall!N38+'EXP FD C'!M38*EurCall!N39)/(1+rate*dt)</f>
        <v>15.088321853082418</v>
      </c>
      <c r="N38" s="28">
        <f>('EXP FD A'!N38*EurCall!O37+'EXP FD B'!N38*EurCall!O38+'EXP FD C'!N38*EurCall!O39)/(1+rate*dt)</f>
        <v>15.085318451337105</v>
      </c>
      <c r="O38" s="28">
        <f>('EXP FD A'!O38*EurCall!P37+'EXP FD B'!O38*EurCall!P38+'EXP FD C'!O38*EurCall!P39)/(1+rate*dt)</f>
        <v>15.082383708494266</v>
      </c>
      <c r="P38" s="28">
        <f>('EXP FD A'!P38*EurCall!Q37+'EXP FD B'!P38*EurCall!Q38+'EXP FD C'!P38*EurCall!Q39)/(1+rate*dt)</f>
        <v>15.079516531738539</v>
      </c>
      <c r="Q38" s="28">
        <f>('EXP FD A'!Q38*EurCall!R37+'EXP FD B'!Q38*EurCall!R38+'EXP FD C'!Q38*EurCall!R39)/(1+rate*dt)</f>
        <v>15.076715669424985</v>
      </c>
      <c r="R38" s="28">
        <f>('EXP FD A'!R38*EurCall!S37+'EXP FD B'!R38*EurCall!S38+'EXP FD C'!R38*EurCall!S39)/(1+rate*dt)</f>
        <v>15.073979705075073</v>
      </c>
      <c r="S38" s="28">
        <f>('EXP FD A'!S38*EurCall!T37+'EXP FD B'!S38*EurCall!T38+'EXP FD C'!S38*EurCall!T39)/(1+rate*dt)</f>
        <v>15.07130705215295</v>
      </c>
      <c r="T38" s="28">
        <f>('EXP FD A'!T38*EurCall!U37+'EXP FD B'!T38*EurCall!U38+'EXP FD C'!T38*EurCall!U39)/(1+rate*dt)</f>
        <v>15.068695949849245</v>
      </c>
      <c r="U38" s="28">
        <f>('EXP FD A'!U38*EurCall!V37+'EXP FD B'!U38*EurCall!V38+'EXP FD C'!U38*EurCall!V39)/(1+rate*dt)</f>
        <v>15.06614446013171</v>
      </c>
      <c r="V38" s="28">
        <f>('EXP FD A'!V38*EurCall!W37+'EXP FD B'!V38*EurCall!W38+'EXP FD C'!V38*EurCall!W39)/(1+rate*dt)</f>
        <v>15.063650466354717</v>
      </c>
      <c r="W38" s="28">
        <f>('EXP FD A'!W38*EurCall!X37+'EXP FD B'!W38*EurCall!X38+'EXP FD C'!W38*EurCall!X39)/(1+rate*dt)</f>
        <v>15.061211673752483</v>
      </c>
      <c r="X38" s="28">
        <f>('EXP FD A'!X38*EurCall!Y37+'EXP FD B'!X38*EurCall!Y38+'EXP FD C'!X38*EurCall!Y39)/(1+rate*dt)</f>
        <v>15.05882561217188</v>
      </c>
      <c r="Y38" s="28">
        <f>('EXP FD A'!Y38*EurCall!Z37+'EXP FD B'!Y38*EurCall!Z38+'EXP FD C'!Y38*EurCall!Z39)/(1+rate*dt)</f>
        <v>15.056489641427667</v>
      </c>
      <c r="Z38" s="28">
        <f>('EXP FD A'!Z38*EurCall!AA37+'EXP FD B'!Z38*EurCall!AA38+'EXP FD C'!Z38*EurCall!AA39)/(1+rate*dt)</f>
        <v>15.054200959682779</v>
      </c>
      <c r="AA38" s="28">
        <f>('EXP FD A'!AA38*EurCall!AB37+'EXP FD B'!AA38*EurCall!AB38+'EXP FD C'!AA38*EurCall!AB39)/(1+rate*dt)</f>
        <v>15.05195661526494</v>
      </c>
      <c r="AB38" s="28">
        <f>('EXP FD A'!AB38*EurCall!AC37+'EXP FD B'!AB38*EurCall!AC38+'EXP FD C'!AB38*EurCall!AC39)/(1+rate*dt)</f>
        <v>15.049753522323188</v>
      </c>
      <c r="AC38" s="28">
        <f>('EXP FD A'!AC38*EurCall!AD37+'EXP FD B'!AC38*EurCall!AD38+'EXP FD C'!AC38*EurCall!AD39)/(1+rate*dt)</f>
        <v>15.047588480697282</v>
      </c>
      <c r="AD38" s="28">
        <f>('EXP FD A'!AD38*EurCall!AE37+'EXP FD B'!AD38*EurCall!AE38+'EXP FD C'!AD38*EurCall!AE39)/(1+rate*dt)</f>
        <v>15.045458200311831</v>
      </c>
      <c r="AE38" s="28">
        <f>('EXP FD A'!AE38*EurCall!AF37+'EXP FD B'!AE38*EurCall!AF38+'EXP FD C'!AE38*EurCall!AF39)/(1+rate*dt)</f>
        <v>15.043359330305989</v>
      </c>
      <c r="AF38" s="28">
        <f>('EXP FD A'!AF38*EurCall!AG37+'EXP FD B'!AF38*EurCall!AG38+'EXP FD C'!AF38*EurCall!AG39)/(1+rate*dt)</f>
        <v>15.041288492958639</v>
      </c>
      <c r="AG38" s="28">
        <f>('EXP FD A'!AG38*EurCall!AH37+'EXP FD B'!AG38*EurCall!AH38+'EXP FD C'!AG38*EurCall!AH39)/(1+rate*dt)</f>
        <v>15.039242322257428</v>
      </c>
      <c r="AH38" s="28">
        <f>('EXP FD A'!AH38*EurCall!AI37+'EXP FD B'!AH38*EurCall!AI38+'EXP FD C'!AH38*EurCall!AI39)/(1+rate*dt)</f>
        <v>15.037217506677882</v>
      </c>
      <c r="AI38" s="28">
        <f>('EXP FD A'!AI38*EurCall!AJ37+'EXP FD B'!AI38*EurCall!AJ38+'EXP FD C'!AI38*EurCall!AJ39)/(1+rate*dt)</f>
        <v>15.035210835378473</v>
      </c>
      <c r="AJ38" s="28">
        <f>('EXP FD A'!AJ38*EurCall!AK37+'EXP FD B'!AJ38*EurCall!AK38+'EXP FD C'!AJ38*EurCall!AK39)/(1+rate*dt)</f>
        <v>15.033219246577371</v>
      </c>
      <c r="AK38" s="28">
        <f>('EXP FD A'!AK38*EurCall!AL37+'EXP FD B'!AK38*EurCall!AL38+'EXP FD C'!AK38*EurCall!AL39)/(1+rate*dt)</f>
        <v>15.031239876364289</v>
      </c>
      <c r="AL38" s="28">
        <f>('EXP FD A'!AL38*EurCall!AM37+'EXP FD B'!AL38*EurCall!AM38+'EXP FD C'!AL38*EurCall!AM39)/(1+rate*dt)</f>
        <v>15.029270105640354</v>
      </c>
      <c r="AM38" s="28">
        <f>('EXP FD A'!AM38*EurCall!AN37+'EXP FD B'!AM38*EurCall!AN38+'EXP FD C'!AM38*EurCall!AN39)/(1+rate*dt)</f>
        <v>15.027307602317533</v>
      </c>
      <c r="AN38" s="28">
        <f>('EXP FD A'!AN38*EurCall!AO37+'EXP FD B'!AN38*EurCall!AO38+'EXP FD C'!AN38*EurCall!AO39)/(1+rate*dt)</f>
        <v>15.0253503554269</v>
      </c>
      <c r="AO38" s="28">
        <f>('EXP FD A'!AO38*EurCall!AP37+'EXP FD B'!AO38*EurCall!AP38+'EXP FD C'!AO38*EurCall!AP39)/(1+rate*dt)</f>
        <v>15.023396697503335</v>
      </c>
      <c r="AP38" s="28">
        <f>('EXP FD A'!AP38*EurCall!AQ37+'EXP FD B'!AP38*EurCall!AQ38+'EXP FD C'!AP38*EurCall!AQ39)/(1+rate*dt)</f>
        <v>15.021445311701077</v>
      </c>
      <c r="AQ38" s="28">
        <f>('EXP FD A'!AQ38*EurCall!AR37+'EXP FD B'!AQ38*EurCall!AR38+'EXP FD C'!AQ38*EurCall!AR39)/(1+rate*dt)</f>
        <v>15.019495220759572</v>
      </c>
      <c r="AR38" s="28">
        <f>('EXP FD A'!AR38*EurCall!AS37+'EXP FD B'!AR38*EurCall!AS38+'EXP FD C'!AR38*EurCall!AS39)/(1+rate*dt)</f>
        <v>15.017545756406388</v>
      </c>
      <c r="AS38" s="28">
        <f>('EXP FD A'!AS38*EurCall!AT37+'EXP FD B'!AS38*EurCall!AT38+'EXP FD C'!AS38*EurCall!AT39)/(1+rate*dt)</f>
        <v>15.015596510224499</v>
      </c>
      <c r="AT38" s="28">
        <f>('EXP FD A'!AT38*EurCall!AU37+'EXP FD B'!AT38*EurCall!AU38+'EXP FD C'!AT38*EurCall!AU39)/(1+rate*dt)</f>
        <v>15.013647270409436</v>
      </c>
      <c r="AU38" s="28">
        <f>('EXP FD A'!AU38*EurCall!AV37+'EXP FD B'!AU38*EurCall!AV38+'EXP FD C'!AU38*EurCall!AV39)/(1+rate*dt)</f>
        <v>15.011697952772959</v>
      </c>
      <c r="AV38" s="28">
        <f>('EXP FD A'!AV38*EurCall!AW37+'EXP FD B'!AV38*EurCall!AW38+'EXP FD C'!AV38*EurCall!AW39)/(1+rate*dt)</f>
        <v>15.0097485376706</v>
      </c>
      <c r="AW38" s="28">
        <f>('EXP FD A'!AW38*EurCall!AX37+'EXP FD B'!AW38*EurCall!AX38+'EXP FD C'!AW38*EurCall!AX39)/(1+rate*dt)</f>
        <v>15.007799025097485</v>
      </c>
      <c r="AX38" s="28">
        <f>('EXP FD A'!AX38*EurCall!AY37+'EXP FD B'!AX38*EurCall!AY38+'EXP FD C'!AX38*EurCall!AY39)/(1+rate*dt)</f>
        <v>15.005849415048742</v>
      </c>
      <c r="AY38" s="28">
        <f>('EXP FD A'!AY38*EurCall!AZ37+'EXP FD B'!AY38*EurCall!AZ38+'EXP FD C'!AY38*EurCall!AZ39)/(1+rate*dt)</f>
        <v>15.003899707519496</v>
      </c>
      <c r="AZ38" s="28">
        <f>('EXP FD A'!AZ38*EurCall!BA37+'EXP FD B'!AZ38*EurCall!BA38+'EXP FD C'!AZ38*EurCall!BA39)/(1+rate*dt)</f>
        <v>15.001949902504874</v>
      </c>
      <c r="BA38" s="6">
        <f t="shared" si="3"/>
        <v>15</v>
      </c>
    </row>
    <row r="39" spans="1:53" x14ac:dyDescent="0.2">
      <c r="A39" s="15">
        <f t="shared" si="4"/>
        <v>26</v>
      </c>
      <c r="B39" s="16">
        <f t="shared" si="0"/>
        <v>52</v>
      </c>
      <c r="C39" s="26">
        <f>('EXP FD A'!C39*EurCall!D38+'EXP FD B'!C39*EurCall!D39+'EXP FD C'!C39*EurCall!D40)/(1+rate*dt)</f>
        <v>13.148155340166888</v>
      </c>
      <c r="D39" s="28">
        <f>('EXP FD A'!D39*EurCall!E38+'EXP FD B'!D39*EurCall!E39+'EXP FD C'!D39*EurCall!E40)/(1+rate*dt)</f>
        <v>13.143133769129944</v>
      </c>
      <c r="E39" s="28">
        <f>('EXP FD A'!E39*EurCall!F38+'EXP FD B'!E39*EurCall!F39+'EXP FD C'!E39*EurCall!F40)/(1+rate*dt)</f>
        <v>13.138204944986317</v>
      </c>
      <c r="F39" s="28">
        <f>('EXP FD A'!F39*EurCall!G38+'EXP FD B'!F39*EurCall!G39+'EXP FD C'!F39*EurCall!G40)/(1+rate*dt)</f>
        <v>13.133370244039988</v>
      </c>
      <c r="G39" s="28">
        <f>('EXP FD A'!G39*EurCall!H38+'EXP FD B'!G39*EurCall!H39+'EXP FD C'!G39*EurCall!H40)/(1+rate*dt)</f>
        <v>13.128630988535782</v>
      </c>
      <c r="H39" s="28">
        <f>('EXP FD A'!H39*EurCall!I38+'EXP FD B'!H39*EurCall!I39+'EXP FD C'!H39*EurCall!I40)/(1+rate*dt)</f>
        <v>13.12398843753979</v>
      </c>
      <c r="I39" s="28">
        <f>('EXP FD A'!I39*EurCall!J38+'EXP FD B'!I39*EurCall!J39+'EXP FD C'!I39*EurCall!J40)/(1+rate*dt)</f>
        <v>13.119443776988406</v>
      </c>
      <c r="J39" s="28">
        <f>('EXP FD A'!J39*EurCall!K38+'EXP FD B'!J39*EurCall!K39+'EXP FD C'!J39*EurCall!K40)/(1+rate*dt)</f>
        <v>13.114998108858043</v>
      </c>
      <c r="K39" s="28">
        <f>('EXP FD A'!K39*EurCall!L38+'EXP FD B'!K39*EurCall!L39+'EXP FD C'!K39*EurCall!L40)/(1+rate*dt)</f>
        <v>13.110652439410318</v>
      </c>
      <c r="L39" s="28">
        <f>('EXP FD A'!L39*EurCall!M38+'EXP FD B'!L39*EurCall!M39+'EXP FD C'!L39*EurCall!M40)/(1+rate*dt)</f>
        <v>13.106407666471966</v>
      </c>
      <c r="M39" s="28">
        <f>('EXP FD A'!M39*EurCall!N38+'EXP FD B'!M39*EurCall!N39+'EXP FD C'!M39*EurCall!N40)/(1+rate*dt)</f>
        <v>13.102264565715274</v>
      </c>
      <c r="N39" s="28">
        <f>('EXP FD A'!N39*EurCall!O38+'EXP FD B'!N39*EurCall!O39+'EXP FD C'!N39*EurCall!O40)/(1+rate*dt)</f>
        <v>13.098223775914354</v>
      </c>
      <c r="O39" s="28">
        <f>('EXP FD A'!O39*EurCall!P38+'EXP FD B'!O39*EurCall!P39+'EXP FD C'!O39*EurCall!P40)/(1+rate*dt)</f>
        <v>13.094285783165319</v>
      </c>
      <c r="P39" s="28">
        <f>('EXP FD A'!P39*EurCall!Q38+'EXP FD B'!P39*EurCall!Q39+'EXP FD C'!P39*EurCall!Q40)/(1+rate*dt)</f>
        <v>13.090450904075414</v>
      </c>
      <c r="Q39" s="28">
        <f>('EXP FD A'!Q39*EurCall!R38+'EXP FD B'!Q39*EurCall!R39+'EXP FD C'!Q39*EurCall!R40)/(1+rate*dt)</f>
        <v>13.086719267948153</v>
      </c>
      <c r="R39" s="28">
        <f>('EXP FD A'!R39*EurCall!S38+'EXP FD B'!R39*EurCall!S39+'EXP FD C'!R39*EurCall!S40)/(1+rate*dt)</f>
        <v>13.083090798019768</v>
      </c>
      <c r="S39" s="28">
        <f>('EXP FD A'!S39*EurCall!T38+'EXP FD B'!S39*EurCall!T39+'EXP FD C'!S39*EurCall!T40)/(1+rate*dt)</f>
        <v>13.079565191837597</v>
      </c>
      <c r="T39" s="28">
        <f>('EXP FD A'!T39*EurCall!U38+'EXP FD B'!T39*EurCall!U39+'EXP FD C'!T39*EurCall!U40)/(1+rate*dt)</f>
        <v>13.076141900915262</v>
      </c>
      <c r="U39" s="28">
        <f>('EXP FD A'!U39*EurCall!V38+'EXP FD B'!U39*EurCall!V39+'EXP FD C'!U39*EurCall!V40)/(1+rate*dt)</f>
        <v>13.072820109853575</v>
      </c>
      <c r="V39" s="28">
        <f>('EXP FD A'!V39*EurCall!W38+'EXP FD B'!V39*EurCall!W39+'EXP FD C'!V39*EurCall!W40)/(1+rate*dt)</f>
        <v>13.069598715182099</v>
      </c>
      <c r="W39" s="28">
        <f>('EXP FD A'!W39*EurCall!X38+'EXP FD B'!W39*EurCall!X39+'EXP FD C'!W39*EurCall!X40)/(1+rate*dt)</f>
        <v>13.066476304255453</v>
      </c>
      <c r="X39" s="28">
        <f>('EXP FD A'!X39*EurCall!Y38+'EXP FD B'!X39*EurCall!Y39+'EXP FD C'!X39*EurCall!Y40)/(1+rate*dt)</f>
        <v>13.063451134632631</v>
      </c>
      <c r="Y39" s="28">
        <f>('EXP FD A'!Y39*EurCall!Z38+'EXP FD B'!Y39*EurCall!Z39+'EXP FD C'!Y39*EurCall!Z40)/(1+rate*dt)</f>
        <v>13.060521114477989</v>
      </c>
      <c r="Z39" s="28">
        <f>('EXP FD A'!Z39*EurCall!AA38+'EXP FD B'!Z39*EurCall!AA39+'EXP FD C'!Z39*EurCall!AA40)/(1+rate*dt)</f>
        <v>13.057683784650164</v>
      </c>
      <c r="AA39" s="28">
        <f>('EXP FD A'!AA39*EurCall!AB38+'EXP FD B'!AA39*EurCall!AB39+'EXP FD C'!AA39*EurCall!AB40)/(1+rate*dt)</f>
        <v>13.054936303290186</v>
      </c>
      <c r="AB39" s="28">
        <f>('EXP FD A'!AB39*EurCall!AC38+'EXP FD B'!AB39*EurCall!AC39+'EXP FD C'!AB39*EurCall!AC40)/(1+rate*dt)</f>
        <v>13.052275433881226</v>
      </c>
      <c r="AC39" s="28">
        <f>('EXP FD A'!AC39*EurCall!AD38+'EXP FD B'!AC39*EurCall!AD39+'EXP FD C'!AC39*EurCall!AD40)/(1+rate*dt)</f>
        <v>13.049697537926818</v>
      </c>
      <c r="AD39" s="28">
        <f>('EXP FD A'!AD39*EurCall!AE38+'EXP FD B'!AD39*EurCall!AE39+'EXP FD C'!AD39*EurCall!AE40)/(1+rate*dt)</f>
        <v>13.047198573575944</v>
      </c>
      <c r="AE39" s="28">
        <f>('EXP FD A'!AE39*EurCall!AF38+'EXP FD B'!AE39*EurCall!AF39+'EXP FD C'!AE39*EurCall!AF40)/(1+rate*dt)</f>
        <v>13.04477410170221</v>
      </c>
      <c r="AF39" s="28">
        <f>('EXP FD A'!AF39*EurCall!AG38+'EXP FD B'!AF39*EurCall!AG39+'EXP FD C'!AF39*EurCall!AG40)/(1+rate*dt)</f>
        <v>13.042419301104857</v>
      </c>
      <c r="AG39" s="28">
        <f>('EXP FD A'!AG39*EurCall!AH38+'EXP FD B'!AG39*EurCall!AH39+'EXP FD C'!AG39*EurCall!AH40)/(1+rate*dt)</f>
        <v>13.040128994618211</v>
      </c>
      <c r="AH39" s="28">
        <f>('EXP FD A'!AH39*EurCall!AI38+'EXP FD B'!AH39*EurCall!AI39+'EXP FD C'!AH39*EurCall!AI40)/(1+rate*dt)</f>
        <v>13.037897687961159</v>
      </c>
      <c r="AI39" s="28">
        <f>('EXP FD A'!AI39*EurCall!AJ38+'EXP FD B'!AI39*EurCall!AJ39+'EXP FD C'!AI39*EurCall!AJ40)/(1+rate*dt)</f>
        <v>13.035719623083843</v>
      </c>
      <c r="AJ39" s="28">
        <f>('EXP FD A'!AJ39*EurCall!AK38+'EXP FD B'!AJ39*EurCall!AK39+'EXP FD C'!AJ39*EurCall!AK40)/(1+rate*dt)</f>
        <v>13.033588847516491</v>
      </c>
      <c r="AK39" s="28">
        <f>('EXP FD A'!AK39*EurCall!AL38+'EXP FD B'!AK39*EurCall!AL39+'EXP FD C'!AK39*EurCall!AL40)/(1+rate*dt)</f>
        <v>13.031499300720643</v>
      </c>
      <c r="AL39" s="28">
        <f>('EXP FD A'!AL39*EurCall!AM38+'EXP FD B'!AL39*EurCall!AM39+'EXP FD C'!AL39*EurCall!AM40)/(1+rate*dt)</f>
        <v>13.029444917596887</v>
      </c>
      <c r="AM39" s="28">
        <f>('EXP FD A'!AM39*EurCall!AN38+'EXP FD B'!AM39*EurCall!AN39+'EXP FD C'!AM39*EurCall!AN40)/(1+rate*dt)</f>
        <v>13.027419748018451</v>
      </c>
      <c r="AN39" s="28">
        <f>('EXP FD A'!AN39*EurCall!AO38+'EXP FD B'!AN39*EurCall!AO39+'EXP FD C'!AN39*EurCall!AO40)/(1+rate*dt)</f>
        <v>13.025418089442921</v>
      </c>
      <c r="AO39" s="28">
        <f>('EXP FD A'!AO39*EurCall!AP38+'EXP FD B'!AO39*EurCall!AP39+'EXP FD C'!AO39*EurCall!AP40)/(1+rate*dt)</f>
        <v>13.02343462724345</v>
      </c>
      <c r="AP39" s="28">
        <f>('EXP FD A'!AP39*EurCall!AQ38+'EXP FD B'!AP39*EurCall!AQ39+'EXP FD C'!AP39*EurCall!AQ40)/(1+rate*dt)</f>
        <v>13.021464574412777</v>
      </c>
      <c r="AQ39" s="28">
        <f>('EXP FD A'!AQ39*EurCall!AR38+'EXP FD B'!AQ39*EurCall!AR39+'EXP FD C'!AQ39*EurCall!AR40)/(1+rate*dt)</f>
        <v>13.019503798902146</v>
      </c>
      <c r="AR39" s="28">
        <f>('EXP FD A'!AR39*EurCall!AS38+'EXP FD B'!AR39*EurCall!AS39+'EXP FD C'!AR39*EurCall!AS40)/(1+rate*dt)</f>
        <v>13.017548923511157</v>
      </c>
      <c r="AS39" s="28">
        <f>('EXP FD A'!AS39*EurCall!AT38+'EXP FD B'!AS39*EurCall!AT39+'EXP FD C'!AS39*EurCall!AT40)/(1+rate*dt)</f>
        <v>13.015597380828595</v>
      </c>
      <c r="AT39" s="28">
        <f>('EXP FD A'!AT39*EurCall!AU38+'EXP FD B'!AT39*EurCall!AU39+'EXP FD C'!AT39*EurCall!AU40)/(1+rate*dt)</f>
        <v>13.01364740574502</v>
      </c>
      <c r="AU39" s="28">
        <f>('EXP FD A'!AU39*EurCall!AV38+'EXP FD B'!AU39*EurCall!AV39+'EXP FD C'!AU39*EurCall!AV40)/(1+rate*dt)</f>
        <v>13.011697952772961</v>
      </c>
      <c r="AV39" s="28">
        <f>('EXP FD A'!AV39*EurCall!AW38+'EXP FD B'!AV39*EurCall!AW39+'EXP FD C'!AV39*EurCall!AW40)/(1+rate*dt)</f>
        <v>13.0097485376706</v>
      </c>
      <c r="AW39" s="28">
        <f>('EXP FD A'!AW39*EurCall!AX38+'EXP FD B'!AW39*EurCall!AX39+'EXP FD C'!AW39*EurCall!AX40)/(1+rate*dt)</f>
        <v>13.007799025097485</v>
      </c>
      <c r="AX39" s="28">
        <f>('EXP FD A'!AX39*EurCall!AY38+'EXP FD B'!AX39*EurCall!AY39+'EXP FD C'!AX39*EurCall!AY40)/(1+rate*dt)</f>
        <v>13.005849415048742</v>
      </c>
      <c r="AY39" s="28">
        <f>('EXP FD A'!AY39*EurCall!AZ38+'EXP FD B'!AY39*EurCall!AZ39+'EXP FD C'!AY39*EurCall!AZ40)/(1+rate*dt)</f>
        <v>13.003899707519494</v>
      </c>
      <c r="AZ39" s="28">
        <f>('EXP FD A'!AZ39*EurCall!BA38+'EXP FD B'!AZ39*EurCall!BA39+'EXP FD C'!AZ39*EurCall!BA40)/(1+rate*dt)</f>
        <v>13.001949902504872</v>
      </c>
      <c r="BA39" s="6">
        <f t="shared" si="3"/>
        <v>13</v>
      </c>
    </row>
    <row r="40" spans="1:53" x14ac:dyDescent="0.2">
      <c r="A40" s="15">
        <f t="shared" si="4"/>
        <v>25</v>
      </c>
      <c r="B40" s="16">
        <f t="shared" si="0"/>
        <v>50</v>
      </c>
      <c r="C40" s="26">
        <f>('EXP FD A'!C40*EurCall!D39+'EXP FD B'!C40*EurCall!D40+'EXP FD C'!C40*EurCall!D41)/(1+rate*dt)</f>
        <v>11.197851958782776</v>
      </c>
      <c r="D40" s="28">
        <f>('EXP FD A'!D40*EurCall!E39+'EXP FD B'!D40*EurCall!E40+'EXP FD C'!D40*EurCall!E41)/(1+rate*dt)</f>
        <v>11.190835783777132</v>
      </c>
      <c r="E40" s="28">
        <f>('EXP FD A'!E40*EurCall!F39+'EXP FD B'!E40*EurCall!F40+'EXP FD C'!E40*EurCall!F41)/(1+rate*dt)</f>
        <v>11.183922353903066</v>
      </c>
      <c r="F40" s="28">
        <f>('EXP FD A'!F40*EurCall!G39+'EXP FD B'!F40*EurCall!G40+'EXP FD C'!F40*EurCall!G41)/(1+rate*dt)</f>
        <v>11.177114671330513</v>
      </c>
      <c r="G40" s="28">
        <f>('EXP FD A'!G40*EurCall!H39+'EXP FD B'!G40*EurCall!H40+'EXP FD C'!G40*EurCall!H41)/(1+rate*dt)</f>
        <v>11.170415779834943</v>
      </c>
      <c r="H40" s="28">
        <f>('EXP FD A'!H40*EurCall!I39+'EXP FD B'!H40*EurCall!I40+'EXP FD C'!H40*EurCall!I41)/(1+rate*dt)</f>
        <v>11.16382875908414</v>
      </c>
      <c r="I40" s="28">
        <f>('EXP FD A'!I40*EurCall!J39+'EXP FD B'!I40*EurCall!J40+'EXP FD C'!I40*EurCall!J41)/(1+rate*dt)</f>
        <v>11.157356717853403</v>
      </c>
      <c r="J40" s="28">
        <f>('EXP FD A'!J40*EurCall!K39+'EXP FD B'!J40*EurCall!K40+'EXP FD C'!J40*EurCall!K41)/(1+rate*dt)</f>
        <v>11.151002786030674</v>
      </c>
      <c r="K40" s="28">
        <f>('EXP FD A'!K40*EurCall!L39+'EXP FD B'!K40*EurCall!L40+'EXP FD C'!K40*EurCall!L41)/(1+rate*dt)</f>
        <v>11.144770105258003</v>
      </c>
      <c r="L40" s="28">
        <f>('EXP FD A'!L40*EurCall!M39+'EXP FD B'!L40*EurCall!M40+'EXP FD C'!L40*EurCall!M41)/(1+rate*dt)</f>
        <v>11.138661818040015</v>
      </c>
      <c r="M40" s="28">
        <f>('EXP FD A'!M40*EurCall!N39+'EXP FD B'!M40*EurCall!N40+'EXP FD C'!M40*EurCall!N41)/(1+rate*dt)</f>
        <v>11.132681055133272</v>
      </c>
      <c r="N40" s="28">
        <f>('EXP FD A'!N40*EurCall!O39+'EXP FD B'!N40*EurCall!O40+'EXP FD C'!N40*EurCall!O41)/(1+rate*dt)</f>
        <v>11.126830921013042</v>
      </c>
      <c r="O40" s="28">
        <f>('EXP FD A'!O40*EurCall!P39+'EXP FD B'!O40*EurCall!P40+'EXP FD C'!O40*EurCall!P41)/(1+rate*dt)</f>
        <v>11.121114477196489</v>
      </c>
      <c r="P40" s="28">
        <f>('EXP FD A'!P40*EurCall!Q39+'EXP FD B'!P40*EurCall!Q40+'EXP FD C'!P40*EurCall!Q41)/(1+rate*dt)</f>
        <v>11.115534723183774</v>
      </c>
      <c r="Q40" s="28">
        <f>('EXP FD A'!Q40*EurCall!R39+'EXP FD B'!Q40*EurCall!R40+'EXP FD C'!Q40*EurCall!R41)/(1+rate*dt)</f>
        <v>11.110094574762257</v>
      </c>
      <c r="R40" s="28">
        <f>('EXP FD A'!R40*EurCall!S39+'EXP FD B'!R40*EurCall!S40+'EXP FD C'!R40*EurCall!S41)/(1+rate*dt)</f>
        <v>11.104796839404544</v>
      </c>
      <c r="S40" s="28">
        <f>('EXP FD A'!S40*EurCall!T39+'EXP FD B'!S40*EurCall!T40+'EXP FD C'!S40*EurCall!T41)/(1+rate*dt)</f>
        <v>11.099644188479981</v>
      </c>
      <c r="T40" s="28">
        <f>('EXP FD A'!T40*EurCall!U39+'EXP FD B'!T40*EurCall!U40+'EXP FD C'!T40*EurCall!U41)/(1+rate*dt)</f>
        <v>11.094639125993279</v>
      </c>
      <c r="U40" s="28">
        <f>('EXP FD A'!U40*EurCall!V39+'EXP FD B'!U40*EurCall!V40+'EXP FD C'!U40*EurCall!V41)/(1+rate*dt)</f>
        <v>11.08978395356557</v>
      </c>
      <c r="V40" s="28">
        <f>('EXP FD A'!V40*EurCall!W39+'EXP FD B'!V40*EurCall!W40+'EXP FD C'!V40*EurCall!W41)/(1+rate*dt)</f>
        <v>11.085080731385522</v>
      </c>
      <c r="W40" s="28">
        <f>('EXP FD A'!W40*EurCall!X39+'EXP FD B'!W40*EurCall!X40+'EXP FD C'!W40*EurCall!X41)/(1+rate*dt)</f>
        <v>11.08053123488523</v>
      </c>
      <c r="X40" s="28">
        <f>('EXP FD A'!X40*EurCall!Y39+'EXP FD B'!X40*EurCall!Y40+'EXP FD C'!X40*EurCall!Y41)/(1+rate*dt)</f>
        <v>11.076136906942777</v>
      </c>
      <c r="Y40" s="28">
        <f>('EXP FD A'!Y40*EurCall!Z39+'EXP FD B'!Y40*EurCall!Z40+'EXP FD C'!Y40*EurCall!Z41)/(1+rate*dt)</f>
        <v>11.071898805486995</v>
      </c>
      <c r="Z40" s="28">
        <f>('EXP FD A'!Z40*EurCall!AA39+'EXP FD B'!Z40*EurCall!AA40+'EXP FD C'!Z40*EurCall!AA41)/(1+rate*dt)</f>
        <v>11.067817546488662</v>
      </c>
      <c r="AA40" s="28">
        <f>('EXP FD A'!AA40*EurCall!AB39+'EXP FD B'!AA40*EurCall!AB40+'EXP FD C'!AA40*EurCall!AB41)/(1+rate*dt)</f>
        <v>11.06389324247594</v>
      </c>
      <c r="AB40" s="28">
        <f>('EXP FD A'!AB40*EurCall!AC39+'EXP FD B'!AB40*EurCall!AC40+'EXP FD C'!AB40*EurCall!AC41)/(1+rate*dt)</f>
        <v>11.060125436923114</v>
      </c>
      <c r="AC40" s="28">
        <f>('EXP FD A'!AC40*EurCall!AD39+'EXP FD B'!AC40*EurCall!AD40+'EXP FD C'!AC40*EurCall!AD41)/(1+rate*dt)</f>
        <v>11.056513035145224</v>
      </c>
      <c r="AD40" s="28">
        <f>('EXP FD A'!AD40*EurCall!AE39+'EXP FD B'!AD40*EurCall!AE40+'EXP FD C'!AD40*EurCall!AE41)/(1+rate*dt)</f>
        <v>11.053054232704179</v>
      </c>
      <c r="AE40" s="28">
        <f>('EXP FD A'!AE40*EurCall!AF39+'EXP FD B'!AE40*EurCall!AF40+'EXP FD C'!AE40*EurCall!AF41)/(1+rate*dt)</f>
        <v>11.04974644281398</v>
      </c>
      <c r="AF40" s="28">
        <f>('EXP FD A'!AF40*EurCall!AG39+'EXP FD B'!AF40*EurCall!AG40+'EXP FD C'!AF40*EurCall!AG41)/(1+rate*dt)</f>
        <v>11.04658622484402</v>
      </c>
      <c r="AG40" s="28">
        <f>('EXP FD A'!AG40*EurCall!AH39+'EXP FD B'!AG40*EurCall!AH40+'EXP FD C'!AG40*EurCall!AH41)/(1+rate*dt)</f>
        <v>11.043569216780353</v>
      </c>
      <c r="AH40" s="28">
        <f>('EXP FD A'!AH40*EurCall!AI39+'EXP FD B'!AH40*EurCall!AI40+'EXP FD C'!AH40*EurCall!AI41)/(1+rate*dt)</f>
        <v>11.040690075431371</v>
      </c>
      <c r="AI40" s="28">
        <f>('EXP FD A'!AI40*EurCall!AJ39+'EXP FD B'!AI40*EurCall!AJ40+'EXP FD C'!AI40*EurCall!AJ41)/(1+rate*dt)</f>
        <v>11.037942429263648</v>
      </c>
      <c r="AJ40" s="28">
        <f>('EXP FD A'!AJ40*EurCall!AK39+'EXP FD B'!AJ40*EurCall!AK40+'EXP FD C'!AJ40*EurCall!AK41)/(1+rate*dt)</f>
        <v>11.035318850014349</v>
      </c>
      <c r="AK40" s="28">
        <f>('EXP FD A'!AK40*EurCall!AL39+'EXP FD B'!AK40*EurCall!AL40+'EXP FD C'!AK40*EurCall!AL41)/(1+rate*dt)</f>
        <v>11.032810850605708</v>
      </c>
      <c r="AL40" s="28">
        <f>('EXP FD A'!AL40*EurCall!AM39+'EXP FD B'!AL40*EurCall!AM40+'EXP FD C'!AL40*EurCall!AM41)/(1+rate*dt)</f>
        <v>11.03040891828873</v>
      </c>
      <c r="AM40" s="28">
        <f>('EXP FD A'!AM40*EurCall!AN39+'EXP FD B'!AM40*EurCall!AN40+'EXP FD C'!AM40*EurCall!AN41)/(1+rate*dt)</f>
        <v>11.028102593189672</v>
      </c>
      <c r="AN40" s="28">
        <f>('EXP FD A'!AN40*EurCall!AO39+'EXP FD B'!AN40*EurCall!AO40+'EXP FD C'!AN40*EurCall!AO41)/(1+rate*dt)</f>
        <v>11.025880603222257</v>
      </c>
      <c r="AO40" s="28">
        <f>('EXP FD A'!AO40*EurCall!AP39+'EXP FD B'!AO40*EurCall!AP40+'EXP FD C'!AO40*EurCall!AP41)/(1+rate*dt)</f>
        <v>11.023731066181695</v>
      </c>
      <c r="AP40" s="28">
        <f>('EXP FD A'!AP40*EurCall!AQ39+'EXP FD B'!AP40*EurCall!AQ40+'EXP FD C'!AP40*EurCall!AQ41)/(1+rate*dt)</f>
        <v>11.021641768031671</v>
      </c>
      <c r="AQ40" s="28">
        <f>('EXP FD A'!AQ40*EurCall!AR39+'EXP FD B'!AQ40*EurCall!AR40+'EXP FD C'!AQ40*EurCall!AR41)/(1+rate*dt)</f>
        <v>11.019600521904916</v>
      </c>
      <c r="AR40" s="28">
        <f>('EXP FD A'!AR40*EurCall!AS39+'EXP FD B'!AR40*EurCall!AS40+'EXP FD C'!AR40*EurCall!AS41)/(1+rate*dt)</f>
        <v>11.017595603794465</v>
      </c>
      <c r="AS40" s="28">
        <f>('EXP FD A'!AS40*EurCall!AT39+'EXP FD B'!AS40*EurCall!AT40+'EXP FD C'!AS40*EurCall!AT41)/(1+rate*dt)</f>
        <v>11.015616246679993</v>
      </c>
      <c r="AT40" s="28">
        <f>('EXP FD A'!AT40*EurCall!AU39+'EXP FD B'!AT40*EurCall!AU40+'EXP FD C'!AT40*EurCall!AU41)/(1+rate*dt)</f>
        <v>11.013653153332962</v>
      </c>
      <c r="AU40" s="28">
        <f>('EXP FD A'!AU40*EurCall!AV39+'EXP FD B'!AU40*EurCall!AV40+'EXP FD C'!AU40*EurCall!AV41)/(1+rate*dt)</f>
        <v>11.011698958661832</v>
      </c>
      <c r="AV40" s="28">
        <f>('EXP FD A'!AV40*EurCall!AW39+'EXP FD B'!AV40*EurCall!AW40+'EXP FD C'!AV40*EurCall!AW41)/(1+rate*dt)</f>
        <v>11.009748537670603</v>
      </c>
      <c r="AW40" s="28">
        <f>('EXP FD A'!AW40*EurCall!AX39+'EXP FD B'!AW40*EurCall!AX40+'EXP FD C'!AW40*EurCall!AX41)/(1+rate*dt)</f>
        <v>11.007799025097487</v>
      </c>
      <c r="AX40" s="28">
        <f>('EXP FD A'!AX40*EurCall!AY39+'EXP FD B'!AX40*EurCall!AY40+'EXP FD C'!AX40*EurCall!AY41)/(1+rate*dt)</f>
        <v>11.005849415048742</v>
      </c>
      <c r="AY40" s="28">
        <f>('EXP FD A'!AY40*EurCall!AZ39+'EXP FD B'!AY40*EurCall!AZ40+'EXP FD C'!AY40*EurCall!AZ41)/(1+rate*dt)</f>
        <v>11.003899707519496</v>
      </c>
      <c r="AZ40" s="28">
        <f>('EXP FD A'!AZ40*EurCall!BA39+'EXP FD B'!AZ40*EurCall!BA40+'EXP FD C'!AZ40*EurCall!BA41)/(1+rate*dt)</f>
        <v>11.001949902504872</v>
      </c>
      <c r="BA40" s="6">
        <f t="shared" si="3"/>
        <v>11</v>
      </c>
    </row>
    <row r="41" spans="1:53" x14ac:dyDescent="0.2">
      <c r="A41" s="15">
        <f t="shared" si="4"/>
        <v>24</v>
      </c>
      <c r="B41" s="16">
        <f t="shared" si="0"/>
        <v>48</v>
      </c>
      <c r="C41" s="26">
        <f>('EXP FD A'!C41*EurCall!D40+'EXP FD B'!C41*EurCall!D41+'EXP FD C'!C41*EurCall!D42)/(1+rate*dt)</f>
        <v>9.2896658317404306</v>
      </c>
      <c r="D41" s="28">
        <f>('EXP FD A'!D41*EurCall!E40+'EXP FD B'!D41*EurCall!E41+'EXP FD C'!D41*EurCall!E42)/(1+rate*dt)</f>
        <v>9.2798298195048456</v>
      </c>
      <c r="E41" s="28">
        <f>('EXP FD A'!E41*EurCall!F40+'EXP FD B'!E41*EurCall!F41+'EXP FD C'!E41*EurCall!F42)/(1+rate*dt)</f>
        <v>9.2700829260310762</v>
      </c>
      <c r="F41" s="28">
        <f>('EXP FD A'!F41*EurCall!G40+'EXP FD B'!F41*EurCall!G41+'EXP FD C'!F41*EurCall!G42)/(1+rate*dt)</f>
        <v>9.2604294240430534</v>
      </c>
      <c r="G41" s="28">
        <f>('EXP FD A'!G41*EurCall!H40+'EXP FD B'!G41*EurCall!H41+'EXP FD C'!G41*EurCall!H42)/(1+rate*dt)</f>
        <v>9.2508737628386886</v>
      </c>
      <c r="H41" s="28">
        <f>('EXP FD A'!H41*EurCall!I40+'EXP FD B'!H41*EurCall!I41+'EXP FD C'!H41*EurCall!I42)/(1+rate*dt)</f>
        <v>9.241420573627293</v>
      </c>
      <c r="I41" s="28">
        <f>('EXP FD A'!I41*EurCall!J40+'EXP FD B'!I41*EurCall!J41+'EXP FD C'!I41*EurCall!J42)/(1+rate*dt)</f>
        <v>9.2320746745557631</v>
      </c>
      <c r="J41" s="28">
        <f>('EXP FD A'!J41*EurCall!K40+'EXP FD B'!J41*EurCall!K41+'EXP FD C'!J41*EurCall!K42)/(1+rate*dt)</f>
        <v>9.2228410753045171</v>
      </c>
      <c r="K41" s="28">
        <f>('EXP FD A'!K41*EurCall!L40+'EXP FD B'!K41*EurCall!L41+'EXP FD C'!K41*EurCall!L42)/(1+rate*dt)</f>
        <v>9.2137249811099746</v>
      </c>
      <c r="L41" s="28">
        <f>('EXP FD A'!L41*EurCall!M40+'EXP FD B'!L41*EurCall!M41+'EXP FD C'!L41*EurCall!M42)/(1+rate*dt)</f>
        <v>9.204731796041921</v>
      </c>
      <c r="M41" s="28">
        <f>('EXP FD A'!M41*EurCall!N40+'EXP FD B'!M41*EurCall!N41+'EXP FD C'!M41*EurCall!N42)/(1+rate*dt)</f>
        <v>9.1958671253305369</v>
      </c>
      <c r="N41" s="28">
        <f>('EXP FD A'!N41*EurCall!O40+'EXP FD B'!N41*EurCall!O41+'EXP FD C'!N41*EurCall!O42)/(1+rate*dt)</f>
        <v>9.1871367764985497</v>
      </c>
      <c r="O41" s="28">
        <f>('EXP FD A'!O41*EurCall!P40+'EXP FD B'!O41*EurCall!P41+'EXP FD C'!O41*EurCall!P42)/(1+rate*dt)</f>
        <v>9.1785467590076895</v>
      </c>
      <c r="P41" s="28">
        <f>('EXP FD A'!P41*EurCall!Q40+'EXP FD B'!P41*EurCall!Q41+'EXP FD C'!P41*EurCall!Q42)/(1+rate*dt)</f>
        <v>9.170103282074729</v>
      </c>
      <c r="Q41" s="28">
        <f>('EXP FD A'!Q41*EurCall!R40+'EXP FD B'!Q41*EurCall!R41+'EXP FD C'!Q41*EurCall!R42)/(1+rate*dt)</f>
        <v>9.1618127502492737</v>
      </c>
      <c r="R41" s="28">
        <f>('EXP FD A'!R41*EurCall!S40+'EXP FD B'!R41*EurCall!S41+'EXP FD C'!R41*EurCall!S42)/(1+rate*dt)</f>
        <v>9.1536817562721939</v>
      </c>
      <c r="S41" s="28">
        <f>('EXP FD A'!S41*EurCall!T40+'EXP FD B'!S41*EurCall!T41+'EXP FD C'!S41*EurCall!T42)/(1+rate*dt)</f>
        <v>9.1457170706487023</v>
      </c>
      <c r="T41" s="28">
        <f>('EXP FD A'!T41*EurCall!U40+'EXP FD B'!T41*EurCall!U41+'EXP FD C'!T41*EurCall!U42)/(1+rate*dt)</f>
        <v>9.1379256272721108</v>
      </c>
      <c r="U41" s="28">
        <f>('EXP FD A'!U41*EurCall!V40+'EXP FD B'!U41*EurCall!V41+'EXP FD C'!U41*EurCall!V42)/(1+rate*dt)</f>
        <v>9.1303145043219853</v>
      </c>
      <c r="V41" s="28">
        <f>('EXP FD A'!V41*EurCall!W40+'EXP FD B'!V41*EurCall!W41+'EXP FD C'!V41*EurCall!W42)/(1+rate*dt)</f>
        <v>9.1228908995325178</v>
      </c>
      <c r="W41" s="28">
        <f>('EXP FD A'!W41*EurCall!X40+'EXP FD B'!W41*EurCall!X41+'EXP FD C'!W41*EurCall!X42)/(1+rate*dt)</f>
        <v>9.1156620987825328</v>
      </c>
      <c r="X41" s="28">
        <f>('EXP FD A'!X41*EurCall!Y40+'EXP FD B'!X41*EurCall!Y41+'EXP FD C'!X41*EurCall!Y42)/(1+rate*dt)</f>
        <v>9.1086354367973481</v>
      </c>
      <c r="Y41" s="28">
        <f>('EXP FD A'!Y41*EurCall!Z40+'EXP FD B'!Y41*EurCall!Z41+'EXP FD C'!Y41*EurCall!Z42)/(1+rate*dt)</f>
        <v>9.1018182485755315</v>
      </c>
      <c r="Z41" s="28">
        <f>('EXP FD A'!Z41*EurCall!AA40+'EXP FD B'!Z41*EurCall!AA41+'EXP FD C'!Z41*EurCall!AA42)/(1+rate*dt)</f>
        <v>9.095217809962584</v>
      </c>
      <c r="AA41" s="28">
        <f>('EXP FD A'!AA41*EurCall!AB40+'EXP FD B'!AA41*EurCall!AB41+'EXP FD C'!AA41*EurCall!AB42)/(1+rate*dt)</f>
        <v>9.0888412655935955</v>
      </c>
      <c r="AB41" s="28">
        <f>('EXP FD A'!AB41*EurCall!AC40+'EXP FD B'!AB41*EurCall!AC41+'EXP FD C'!AB41*EurCall!AC42)/(1+rate*dt)</f>
        <v>9.0826955422263218</v>
      </c>
      <c r="AC41" s="28">
        <f>('EXP FD A'!AC41*EurCall!AD40+'EXP FD B'!AC41*EurCall!AD41+'EXP FD C'!AC41*EurCall!AD42)/(1+rate*dt)</f>
        <v>9.0767872452983838</v>
      </c>
      <c r="AD41" s="28">
        <f>('EXP FD A'!AD41*EurCall!AE40+'EXP FD B'!AD41*EurCall!AE41+'EXP FD C'!AD41*EurCall!AE42)/(1+rate*dt)</f>
        <v>9.0711225363889127</v>
      </c>
      <c r="AE41" s="28">
        <f>('EXP FD A'!AE41*EurCall!AF40+'EXP FD B'!AE41*EurCall!AF41+'EXP FD C'!AE41*EurCall!AF42)/(1+rate*dt)</f>
        <v>9.065706989177821</v>
      </c>
      <c r="AF41" s="28">
        <f>('EXP FD A'!AF41*EurCall!AG40+'EXP FD B'!AF41*EurCall!AG41+'EXP FD C'!AF41*EurCall!AG42)/(1+rate*dt)</f>
        <v>9.0605454215220842</v>
      </c>
      <c r="AG41" s="28">
        <f>('EXP FD A'!AG41*EurCall!AH40+'EXP FD B'!AG41*EurCall!AH41+'EXP FD C'!AG41*EurCall!AH42)/(1+rate*dt)</f>
        <v>9.0556417014760733</v>
      </c>
      <c r="AH41" s="28">
        <f>('EXP FD A'!AH41*EurCall!AI40+'EXP FD B'!AH41*EurCall!AI41+'EXP FD C'!AH41*EurCall!AI42)/(1+rate*dt)</f>
        <v>9.0509985255681968</v>
      </c>
      <c r="AI41" s="28">
        <f>('EXP FD A'!AI41*EurCall!AJ40+'EXP FD B'!AI41*EurCall!AJ41+'EXP FD C'!AI41*EurCall!AJ42)/(1+rate*dt)</f>
        <v>9.0466171685427312</v>
      </c>
      <c r="AJ41" s="28">
        <f>('EXP FD A'!AJ41*EurCall!AK40+'EXP FD B'!AJ41*EurCall!AK41+'EXP FD C'!AJ41*EurCall!AK42)/(1+rate*dt)</f>
        <v>9.0424972052670736</v>
      </c>
      <c r="AK41" s="28">
        <f>('EXP FD A'!AK41*EurCall!AL40+'EXP FD B'!AK41*EurCall!AL41+'EXP FD C'!AK41*EurCall!AL42)/(1+rate*dt)</f>
        <v>9.0386362078354754</v>
      </c>
      <c r="AL41" s="28">
        <f>('EXP FD A'!AL41*EurCall!AM40+'EXP FD B'!AL41*EurCall!AM41+'EXP FD C'!AL41*EurCall!AM42)/(1+rate*dt)</f>
        <v>9.0350294243905971</v>
      </c>
      <c r="AM41" s="28">
        <f>('EXP FD A'!AM41*EurCall!AN40+'EXP FD B'!AM41*EurCall!AN41+'EXP FD C'!AM41*EurCall!AN42)/(1+rate*dt)</f>
        <v>9.031669451236775</v>
      </c>
      <c r="AN41" s="28">
        <f>('EXP FD A'!AN41*EurCall!AO40+'EXP FD B'!AN41*EurCall!AO41+'EXP FD C'!AN41*EurCall!AO42)/(1+rate*dt)</f>
        <v>9.0285459169155509</v>
      </c>
      <c r="AO41" s="28">
        <f>('EXP FD A'!AO41*EurCall!AP40+'EXP FD B'!AO41*EurCall!AP41+'EXP FD C'!AO41*EurCall!AP42)/(1+rate*dt)</f>
        <v>9.0256452065824142</v>
      </c>
      <c r="AP41" s="28">
        <f>('EXP FD A'!AP41*EurCall!AQ40+'EXP FD B'!AP41*EurCall!AQ41+'EXP FD C'!AP41*EurCall!AQ42)/(1+rate*dt)</f>
        <v>9.0229502677438838</v>
      </c>
      <c r="AQ41" s="28">
        <f>('EXP FD A'!AQ41*EurCall!AR40+'EXP FD B'!AQ41*EurCall!AR41+'EXP FD C'!AQ41*EurCall!AR42)/(1+rate*dt)</f>
        <v>9.0204405544064841</v>
      </c>
      <c r="AR41" s="28">
        <f>('EXP FD A'!AR41*EurCall!AS40+'EXP FD B'!AR41*EurCall!AS41+'EXP FD C'!AR41*EurCall!AS42)/(1+rate*dt)</f>
        <v>9.0180921854799827</v>
      </c>
      <c r="AS41" s="28">
        <f>('EXP FD A'!AS41*EurCall!AT40+'EXP FD B'!AS41*EurCall!AT41+'EXP FD C'!AS41*EurCall!AT42)/(1+rate*dt)</f>
        <v>9.0158784128487994</v>
      </c>
      <c r="AT41" s="28">
        <f>('EXP FD A'!AT41*EurCall!AU40+'EXP FD B'!AT41*EurCall!AU41+'EXP FD C'!AT41*EurCall!AU42)/(1+rate*dt)</f>
        <v>9.0137705097156751</v>
      </c>
      <c r="AU41" s="28">
        <f>('EXP FD A'!AU41*EurCall!AV40+'EXP FD B'!AU41*EurCall!AV41+'EXP FD C'!AU41*EurCall!AV42)/(1+rate*dt)</f>
        <v>9.0117391893640448</v>
      </c>
      <c r="AV41" s="28">
        <f>('EXP FD A'!AV41*EurCall!AW40+'EXP FD B'!AV41*EurCall!AW41+'EXP FD C'!AV41*EurCall!AW42)/(1+rate*dt)</f>
        <v>9.0097566256236732</v>
      </c>
      <c r="AW41" s="28">
        <f>('EXP FD A'!AW41*EurCall!AX40+'EXP FD B'!AW41*EurCall!AX41+'EXP FD C'!AW41*EurCall!AX42)/(1+rate*dt)</f>
        <v>9.0077990250974889</v>
      </c>
      <c r="AX41" s="28">
        <f>('EXP FD A'!AX41*EurCall!AY40+'EXP FD B'!AX41*EurCall!AY41+'EXP FD C'!AX41*EurCall!AY42)/(1+rate*dt)</f>
        <v>9.0058494150487451</v>
      </c>
      <c r="AY41" s="28">
        <f>('EXP FD A'!AY41*EurCall!AZ40+'EXP FD B'!AY41*EurCall!AZ41+'EXP FD C'!AY41*EurCall!AZ42)/(1+rate*dt)</f>
        <v>9.0038997075194978</v>
      </c>
      <c r="AZ41" s="28">
        <f>('EXP FD A'!AZ41*EurCall!BA40+'EXP FD B'!AZ41*EurCall!BA41+'EXP FD C'!AZ41*EurCall!BA42)/(1+rate*dt)</f>
        <v>9.0019499025048741</v>
      </c>
      <c r="BA41" s="6">
        <f t="shared" si="3"/>
        <v>9</v>
      </c>
    </row>
    <row r="42" spans="1:53" x14ac:dyDescent="0.2">
      <c r="A42" s="15">
        <f t="shared" si="4"/>
        <v>23</v>
      </c>
      <c r="B42" s="16">
        <f t="shared" si="0"/>
        <v>46</v>
      </c>
      <c r="C42" s="26">
        <f>('EXP FD A'!C42*EurCall!D41+'EXP FD B'!C42*EurCall!D42+'EXP FD C'!C42*EurCall!D43)/(1+rate*dt)</f>
        <v>7.4521270457801796</v>
      </c>
      <c r="D42" s="28">
        <f>('EXP FD A'!D42*EurCall!E41+'EXP FD B'!D42*EurCall!E42+'EXP FD C'!D42*EurCall!E43)/(1+rate*dt)</f>
        <v>7.4386954814982236</v>
      </c>
      <c r="E42" s="28">
        <f>('EXP FD A'!E42*EurCall!F41+'EXP FD B'!E42*EurCall!F42+'EXP FD C'!E42*EurCall!F43)/(1+rate*dt)</f>
        <v>7.4253035125683171</v>
      </c>
      <c r="F42" s="28">
        <f>('EXP FD A'!F42*EurCall!G41+'EXP FD B'!F42*EurCall!G42+'EXP FD C'!F42*EurCall!G43)/(1+rate*dt)</f>
        <v>7.411955205006735</v>
      </c>
      <c r="G42" s="28">
        <f>('EXP FD A'!G42*EurCall!H41+'EXP FD B'!G42*EurCall!H42+'EXP FD C'!G42*EurCall!H43)/(1+rate*dt)</f>
        <v>7.3986548894303192</v>
      </c>
      <c r="H42" s="28">
        <f>('EXP FD A'!H42*EurCall!I41+'EXP FD B'!H42*EurCall!I42+'EXP FD C'!H42*EurCall!I43)/(1+rate*dt)</f>
        <v>7.3854071794181779</v>
      </c>
      <c r="I42" s="28">
        <f>('EXP FD A'!I42*EurCall!J41+'EXP FD B'!I42*EurCall!J42+'EXP FD C'!I42*EurCall!J43)/(1+rate*dt)</f>
        <v>7.372216991190542</v>
      </c>
      <c r="J42" s="28">
        <f>('EXP FD A'!J42*EurCall!K41+'EXP FD B'!J42*EurCall!K42+'EXP FD C'!J42*EurCall!K43)/(1+rate*dt)</f>
        <v>7.3590895646839831</v>
      </c>
      <c r="K42" s="28">
        <f>('EXP FD A'!K42*EurCall!L41+'EXP FD B'!K42*EurCall!L42+'EXP FD C'!K42*EurCall!L43)/(1+rate*dt)</f>
        <v>7.3460304861009629</v>
      </c>
      <c r="L42" s="28">
        <f>('EXP FD A'!L42*EurCall!M41+'EXP FD B'!L42*EurCall!M42+'EXP FD C'!L42*EurCall!M43)/(1+rate*dt)</f>
        <v>7.3330457120081611</v>
      </c>
      <c r="M42" s="28">
        <f>('EXP FD A'!M42*EurCall!N41+'EXP FD B'!M42*EurCall!N42+'EXP FD C'!M42*EurCall!N43)/(1+rate*dt)</f>
        <v>7.3201415950515507</v>
      </c>
      <c r="N42" s="28">
        <f>('EXP FD A'!N42*EurCall!O41+'EXP FD B'!N42*EurCall!O42+'EXP FD C'!N42*EurCall!O43)/(1+rate*dt)</f>
        <v>7.3073249113456429</v>
      </c>
      <c r="O42" s="28">
        <f>('EXP FD A'!O42*EurCall!P41+'EXP FD B'!O42*EurCall!P42+'EXP FD C'!O42*EurCall!P43)/(1+rate*dt)</f>
        <v>7.2946028895785791</v>
      </c>
      <c r="P42" s="28">
        <f>('EXP FD A'!P42*EurCall!Q41+'EXP FD B'!P42*EurCall!Q42+'EXP FD C'!P42*EurCall!Q43)/(1+rate*dt)</f>
        <v>7.2819832418520747</v>
      </c>
      <c r="Q42" s="28">
        <f>('EXP FD A'!Q42*EurCall!R41+'EXP FD B'!Q42*EurCall!R42+'EXP FD C'!Q42*EurCall!R43)/(1+rate*dt)</f>
        <v>7.2694741962436593</v>
      </c>
      <c r="R42" s="28">
        <f>('EXP FD A'!R42*EurCall!S41+'EXP FD B'!R42*EurCall!S42+'EXP FD C'!R42*EurCall!S43)/(1+rate*dt)</f>
        <v>7.2570845310354306</v>
      </c>
      <c r="S42" s="28">
        <f>('EXP FD A'!S42*EurCall!T41+'EXP FD B'!S42*EurCall!T42+'EXP FD C'!S42*EurCall!T43)/(1+rate*dt)</f>
        <v>7.2448236104955015</v>
      </c>
      <c r="T42" s="28">
        <f>('EXP FD A'!T42*EurCall!U41+'EXP FD B'!T42*EurCall!U42+'EXP FD C'!T42*EurCall!U43)/(1+rate*dt)</f>
        <v>7.2327014220209218</v>
      </c>
      <c r="U42" s="28">
        <f>('EXP FD A'!U42*EurCall!V41+'EXP FD B'!U42*EurCall!V42+'EXP FD C'!U42*EurCall!V43)/(1+rate*dt)</f>
        <v>7.2207286143489</v>
      </c>
      <c r="V42" s="28">
        <f>('EXP FD A'!V42*EurCall!W41+'EXP FD B'!V42*EurCall!W42+'EXP FD C'!V42*EurCall!W43)/(1+rate*dt)</f>
        <v>7.2089165364095456</v>
      </c>
      <c r="W42" s="28">
        <f>('EXP FD A'!W42*EurCall!X41+'EXP FD B'!W42*EurCall!X42+'EXP FD C'!W42*EurCall!X43)/(1+rate*dt)</f>
        <v>7.1972772762194541</v>
      </c>
      <c r="X42" s="28">
        <f>('EXP FD A'!X42*EurCall!Y41+'EXP FD B'!X42*EurCall!Y42+'EXP FD C'!X42*EurCall!Y43)/(1+rate*dt)</f>
        <v>7.1858236989900535</v>
      </c>
      <c r="Y42" s="28">
        <f>('EXP FD A'!Y42*EurCall!Z41+'EXP FD B'!Y42*EurCall!Z42+'EXP FD C'!Y42*EurCall!Z43)/(1+rate*dt)</f>
        <v>7.1745694833339</v>
      </c>
      <c r="Z42" s="28">
        <f>('EXP FD A'!Z42*EurCall!AA41+'EXP FD B'!Z42*EurCall!AA42+'EXP FD C'!Z42*EurCall!AA43)/(1+rate*dt)</f>
        <v>7.1635291540782795</v>
      </c>
      <c r="AA42" s="28">
        <f>('EXP FD A'!AA42*EurCall!AB41+'EXP FD B'!AA42*EurCall!AB42+'EXP FD C'!AA42*EurCall!AB43)/(1+rate*dt)</f>
        <v>7.1527181097167372</v>
      </c>
      <c r="AB42" s="28">
        <f>('EXP FD A'!AB42*EurCall!AC41+'EXP FD B'!AB42*EurCall!AC42+'EXP FD C'!AB42*EurCall!AC43)/(1+rate*dt)</f>
        <v>7.1421526419179893</v>
      </c>
      <c r="AC42" s="28">
        <f>('EXP FD A'!AC42*EurCall!AD41+'EXP FD B'!AC42*EurCall!AD42+'EXP FD C'!AC42*EurCall!AD43)/(1+rate*dt)</f>
        <v>7.1318499437345677</v>
      </c>
      <c r="AD42" s="28">
        <f>('EXP FD A'!AD42*EurCall!AE41+'EXP FD B'!AD42*EurCall!AE42+'EXP FD C'!AD42*EurCall!AE43)/(1+rate*dt)</f>
        <v>7.1218281021692578</v>
      </c>
      <c r="AE42" s="28">
        <f>('EXP FD A'!AE42*EurCall!AF41+'EXP FD B'!AE42*EurCall!AF42+'EXP FD C'!AE42*EurCall!AF43)/(1+rate*dt)</f>
        <v>7.1121060695167602</v>
      </c>
      <c r="AF42" s="28">
        <f>('EXP FD A'!AF42*EurCall!AG41+'EXP FD B'!AF42*EurCall!AG42+'EXP FD C'!AF42*EurCall!AG43)/(1+rate*dt)</f>
        <v>7.1027036063433382</v>
      </c>
      <c r="AG42" s="28">
        <f>('EXP FD A'!AG42*EurCall!AH41+'EXP FD B'!AG42*EurCall!AH42+'EXP FD C'!AG42*EurCall!AH43)/(1+rate*dt)</f>
        <v>7.0936411870332323</v>
      </c>
      <c r="AH42" s="28">
        <f>('EXP FD A'!AH42*EurCall!AI41+'EXP FD B'!AH42*EurCall!AI42+'EXP FD C'!AH42*EurCall!AI43)/(1+rate*dt)</f>
        <v>7.084939856447745</v>
      </c>
      <c r="AI42" s="28">
        <f>('EXP FD A'!AI42*EurCall!AJ41+'EXP FD B'!AI42*EurCall!AJ42+'EXP FD C'!AI42*EurCall!AJ43)/(1+rate*dt)</f>
        <v>7.0766210233443383</v>
      </c>
      <c r="AJ42" s="28">
        <f>('EXP FD A'!AJ42*EurCall!AK41+'EXP FD B'!AJ42*EurCall!AK42+'EXP FD C'!AJ42*EurCall!AK43)/(1+rate*dt)</f>
        <v>7.0687061727395903</v>
      </c>
      <c r="AK42" s="28">
        <f>('EXP FD A'!AK42*EurCall!AL41+'EXP FD B'!AK42*EurCall!AL42+'EXP FD C'!AK42*EurCall!AL43)/(1+rate*dt)</f>
        <v>7.0612164753666056</v>
      </c>
      <c r="AL42" s="28">
        <f>('EXP FD A'!AL42*EurCall!AM41+'EXP FD B'!AL42*EurCall!AM42+'EXP FD C'!AL42*EurCall!AM43)/(1+rate*dt)</f>
        <v>7.0541722678623771</v>
      </c>
      <c r="AM42" s="28">
        <f>('EXP FD A'!AM42*EurCall!AN41+'EXP FD B'!AM42*EurCall!AN42+'EXP FD C'!AM42*EurCall!AN43)/(1+rate*dt)</f>
        <v>7.0475923725883991</v>
      </c>
      <c r="AN42" s="28">
        <f>('EXP FD A'!AN42*EurCall!AO41+'EXP FD B'!AN42*EurCall!AO42+'EXP FD C'!AN42*EurCall!AO43)/(1+rate*dt)</f>
        <v>7.0414932216229627</v>
      </c>
      <c r="AO42" s="28">
        <f>('EXP FD A'!AO42*EurCall!AP41+'EXP FD B'!AO42*EurCall!AP42+'EXP FD C'!AO42*EurCall!AP43)/(1+rate*dt)</f>
        <v>7.0358877466119552</v>
      </c>
      <c r="AP42" s="28">
        <f>('EXP FD A'!AP42*EurCall!AQ41+'EXP FD B'!AP42*EurCall!AQ42+'EXP FD C'!AP42*EurCall!AQ43)/(1+rate*dt)</f>
        <v>7.0307839969370391</v>
      </c>
      <c r="AQ42" s="28">
        <f>('EXP FD A'!AQ42*EurCall!AR41+'EXP FD B'!AQ42*EurCall!AR42+'EXP FD C'!AQ42*EurCall!AR43)/(1+rate*dt)</f>
        <v>7.026183456801502</v>
      </c>
      <c r="AR42" s="28">
        <f>('EXP FD A'!AR42*EurCall!AS41+'EXP FD B'!AR42*EurCall!AS42+'EXP FD C'!AR42*EurCall!AS43)/(1+rate*dt)</f>
        <v>7.0220790538343101</v>
      </c>
      <c r="AS42" s="28">
        <f>('EXP FD A'!AS42*EurCall!AT41+'EXP FD B'!AS42*EurCall!AT42+'EXP FD C'!AS42*EurCall!AT43)/(1+rate*dt)</f>
        <v>7.0184528987371655</v>
      </c>
      <c r="AT42" s="28">
        <f>('EXP FD A'!AT42*EurCall!AU41+'EXP FD B'!AT42*EurCall!AU42+'EXP FD C'!AT42*EurCall!AU43)/(1+rate*dt)</f>
        <v>7.0152738860061303</v>
      </c>
      <c r="AU42" s="28">
        <f>('EXP FD A'!AU42*EurCall!AV41+'EXP FD B'!AU42*EurCall!AV42+'EXP FD C'!AU42*EurCall!AV43)/(1+rate*dt)</f>
        <v>7.0124954510781157</v>
      </c>
      <c r="AV42" s="28">
        <f>('EXP FD A'!AV42*EurCall!AW41+'EXP FD B'!AV42*EurCall!AW42+'EXP FD C'!AV42*EurCall!AW43)/(1+rate*dt)</f>
        <v>7.0100540713898507</v>
      </c>
      <c r="AW42" s="28">
        <f>('EXP FD A'!AW42*EurCall!AX41+'EXP FD B'!AW42*EurCall!AX42+'EXP FD C'!AW42*EurCall!AX43)/(1+rate*dt)</f>
        <v>7.0078696041329716</v>
      </c>
      <c r="AX42" s="28">
        <f>('EXP FD A'!AX42*EurCall!AY41+'EXP FD B'!AX42*EurCall!AY42+'EXP FD C'!AX42*EurCall!AY43)/(1+rate*dt)</f>
        <v>7.0058494150487451</v>
      </c>
      <c r="AY42" s="28">
        <f>('EXP FD A'!AY42*EurCall!AZ41+'EXP FD B'!AY42*EurCall!AZ42+'EXP FD C'!AY42*EurCall!AZ43)/(1+rate*dt)</f>
        <v>7.0038997075194986</v>
      </c>
      <c r="AZ42" s="28">
        <f>('EXP FD A'!AZ42*EurCall!BA41+'EXP FD B'!AZ42*EurCall!BA42+'EXP FD C'!AZ42*EurCall!BA43)/(1+rate*dt)</f>
        <v>7.0019499025048741</v>
      </c>
      <c r="BA42" s="6">
        <f t="shared" si="3"/>
        <v>7</v>
      </c>
    </row>
    <row r="43" spans="1:53" x14ac:dyDescent="0.2">
      <c r="A43" s="15">
        <f t="shared" si="4"/>
        <v>22</v>
      </c>
      <c r="B43" s="16">
        <f t="shared" si="0"/>
        <v>44</v>
      </c>
      <c r="C43" s="26">
        <f>('EXP FD A'!C43*EurCall!D42+'EXP FD B'!C43*EurCall!D43+'EXP FD C'!C43*EurCall!D44)/(1+rate*dt)</f>
        <v>5.726039447374867</v>
      </c>
      <c r="D43" s="28">
        <f>('EXP FD A'!D43*EurCall!E42+'EXP FD B'!D43*EurCall!E43+'EXP FD C'!D43*EurCall!E44)/(1+rate*dt)</f>
        <v>5.7086266331142062</v>
      </c>
      <c r="E43" s="28">
        <f>('EXP FD A'!E43*EurCall!F42+'EXP FD B'!E43*EurCall!F43+'EXP FD C'!E43*EurCall!F44)/(1+rate*dt)</f>
        <v>5.6911670772808902</v>
      </c>
      <c r="F43" s="28">
        <f>('EXP FD A'!F43*EurCall!G42+'EXP FD B'!F43*EurCall!G43+'EXP FD C'!F43*EurCall!G44)/(1+rate*dt)</f>
        <v>5.6736622868525259</v>
      </c>
      <c r="G43" s="28">
        <f>('EXP FD A'!G43*EurCall!H42+'EXP FD B'!G43*EurCall!H43+'EXP FD C'!G43*EurCall!H44)/(1+rate*dt)</f>
        <v>5.6561139597829131</v>
      </c>
      <c r="H43" s="28">
        <f>('EXP FD A'!H43*EurCall!I42+'EXP FD B'!H43*EurCall!I43+'EXP FD C'!H43*EurCall!I44)/(1+rate*dt)</f>
        <v>5.6385240047697414</v>
      </c>
      <c r="I43" s="28">
        <f>('EXP FD A'!I43*EurCall!J42+'EXP FD B'!I43*EurCall!J43+'EXP FD C'!I43*EurCall!J44)/(1+rate*dt)</f>
        <v>5.6208945632374094</v>
      </c>
      <c r="J43" s="28">
        <f>('EXP FD A'!J43*EurCall!K42+'EXP FD B'!J43*EurCall!K43+'EXP FD C'!J43*EurCall!K44)/(1+rate*dt)</f>
        <v>5.6032280338107023</v>
      </c>
      <c r="K43" s="28">
        <f>('EXP FD A'!K43*EurCall!L42+'EXP FD B'!K43*EurCall!L43+'EXP FD C'!K43*EurCall!L44)/(1+rate*dt)</f>
        <v>5.5855270995927331</v>
      </c>
      <c r="L43" s="28">
        <f>('EXP FD A'!L43*EurCall!M42+'EXP FD B'!L43*EurCall!M43+'EXP FD C'!L43*EurCall!M44)/(1+rate*dt)</f>
        <v>5.5677947586037053</v>
      </c>
      <c r="M43" s="28">
        <f>('EXP FD A'!M43*EurCall!N42+'EXP FD B'!M43*EurCall!N43+'EXP FD C'!M43*EurCall!N44)/(1+rate*dt)</f>
        <v>5.5500343577864912</v>
      </c>
      <c r="N43" s="28">
        <f>('EXP FD A'!N43*EurCall!O42+'EXP FD B'!N43*EurCall!O43+'EXP FD C'!N43*EurCall!O44)/(1+rate*dt)</f>
        <v>5.5322496310417284</v>
      </c>
      <c r="O43" s="28">
        <f>('EXP FD A'!O43*EurCall!P42+'EXP FD B'!O43*EurCall!P43+'EXP FD C'!O43*EurCall!P44)/(1+rate*dt)</f>
        <v>5.514444741820073</v>
      </c>
      <c r="P43" s="28">
        <f>('EXP FD A'!P43*EurCall!Q42+'EXP FD B'!P43*EurCall!Q43+'EXP FD C'!P43*EurCall!Q44)/(1+rate*dt)</f>
        <v>5.4966243308736811</v>
      </c>
      <c r="Q43" s="28">
        <f>('EXP FD A'!Q43*EurCall!R42+'EXP FD B'!Q43*EurCall!R43+'EXP FD C'!Q43*EurCall!R44)/(1+rate*dt)</f>
        <v>5.4787935698541297</v>
      </c>
      <c r="R43" s="28">
        <f>('EXP FD A'!R43*EurCall!S42+'EXP FD B'!R43*EurCall!S43+'EXP FD C'!R43*EurCall!S44)/(1+rate*dt)</f>
        <v>5.4609582215413033</v>
      </c>
      <c r="S43" s="28">
        <f>('EXP FD A'!S43*EurCall!T42+'EXP FD B'!S43*EurCall!T43+'EXP FD C'!S43*EurCall!T44)/(1+rate*dt)</f>
        <v>5.4431247075987024</v>
      </c>
      <c r="T43" s="28">
        <f>('EXP FD A'!T43*EurCall!U42+'EXP FD B'!T43*EurCall!U43+'EXP FD C'!T43*EurCall!U44)/(1+rate*dt)</f>
        <v>5.4253001848767948</v>
      </c>
      <c r="U43" s="28">
        <f>('EXP FD A'!U43*EurCall!V42+'EXP FD B'!U43*EurCall!V43+'EXP FD C'!U43*EurCall!V44)/(1+rate*dt)</f>
        <v>5.4074926314288385</v>
      </c>
      <c r="V43" s="28">
        <f>('EXP FD A'!V43*EurCall!W42+'EXP FD B'!V43*EurCall!W43+'EXP FD C'!V43*EurCall!W44)/(1+rate*dt)</f>
        <v>5.3897109435643591</v>
      </c>
      <c r="W43" s="28">
        <f>('EXP FD A'!W43*EurCall!X42+'EXP FD B'!W43*EurCall!X43+'EXP FD C'!W43*EurCall!X44)/(1+rate*dt)</f>
        <v>5.3719650454450658</v>
      </c>
      <c r="X43" s="28">
        <f>('EXP FD A'!X43*EurCall!Y42+'EXP FD B'!X43*EurCall!Y43+'EXP FD C'!X43*EurCall!Y44)/(1+rate*dt)</f>
        <v>5.3542660129264892</v>
      </c>
      <c r="Y43" s="28">
        <f>('EXP FD A'!Y43*EurCall!Z42+'EXP FD B'!Y43*EurCall!Z43+'EXP FD C'!Y43*EurCall!Z44)/(1+rate*dt)</f>
        <v>5.3366262135646076</v>
      </c>
      <c r="Z43" s="28">
        <f>('EXP FD A'!Z43*EurCall!AA42+'EXP FD B'!Z43*EurCall!AA43+'EXP FD C'!Z43*EurCall!AA44)/(1+rate*dt)</f>
        <v>5.3190594649368634</v>
      </c>
      <c r="AA43" s="28">
        <f>('EXP FD A'!AA43*EurCall!AB42+'EXP FD B'!AA43*EurCall!AB43+'EXP FD C'!AA43*EurCall!AB44)/(1+rate*dt)</f>
        <v>5.3015812136639537</v>
      </c>
      <c r="AB43" s="28">
        <f>('EXP FD A'!AB43*EurCall!AC42+'EXP FD B'!AB43*EurCall!AC43+'EXP FD C'!AB43*EurCall!AC44)/(1+rate*dt)</f>
        <v>5.2842087377501183</v>
      </c>
      <c r="AC43" s="28">
        <f>('EXP FD A'!AC43*EurCall!AD42+'EXP FD B'!AC43*EurCall!AD43+'EXP FD C'!AC43*EurCall!AD44)/(1+rate*dt)</f>
        <v>5.2669613750642617</v>
      </c>
      <c r="AD43" s="28">
        <f>('EXP FD A'!AD43*EurCall!AE42+'EXP FD B'!AD43*EurCall!AE43+'EXP FD C'!AD43*EurCall!AE44)/(1+rate*dt)</f>
        <v>5.2498607809279285</v>
      </c>
      <c r="AE43" s="28">
        <f>('EXP FD A'!AE43*EurCall!AF42+'EXP FD B'!AE43*EurCall!AF43+'EXP FD C'!AE43*EurCall!AF44)/(1+rate*dt)</f>
        <v>5.2329312178052962</v>
      </c>
      <c r="AF43" s="28">
        <f>('EXP FD A'!AF43*EurCall!AG42+'EXP FD B'!AF43*EurCall!AG43+'EXP FD C'!AF43*EurCall!AG44)/(1+rate*dt)</f>
        <v>5.2161998799214828</v>
      </c>
      <c r="AG43" s="28">
        <f>('EXP FD A'!AG43*EurCall!AH42+'EXP FD B'!AG43*EurCall!AH43+'EXP FD C'!AG43*EurCall!AH44)/(1+rate*dt)</f>
        <v>5.199697255140304</v>
      </c>
      <c r="AH43" s="28">
        <f>('EXP FD A'!AH43*EurCall!AI42+'EXP FD B'!AH43*EurCall!AI43+'EXP FD C'!AH43*EurCall!AI44)/(1+rate*dt)</f>
        <v>5.1834575254156787</v>
      </c>
      <c r="AI43" s="28">
        <f>('EXP FD A'!AI43*EurCall!AJ42+'EXP FD B'!AI43*EurCall!AJ43+'EXP FD C'!AI43*EurCall!AJ44)/(1+rate*dt)</f>
        <v>5.1675190052949285</v>
      </c>
      <c r="AJ43" s="28">
        <f>('EXP FD A'!AJ43*EurCall!AK42+'EXP FD B'!AJ43*EurCall!AK43+'EXP FD C'!AJ43*EurCall!AK44)/(1+rate*dt)</f>
        <v>5.1519246148475029</v>
      </c>
      <c r="AK43" s="28">
        <f>('EXP FD A'!AK43*EurCall!AL42+'EXP FD B'!AK43*EurCall!AL43+'EXP FD C'!AK43*EurCall!AL44)/(1+rate*dt)</f>
        <v>5.1367223783387752</v>
      </c>
      <c r="AL43" s="28">
        <f>('EXP FD A'!AL43*EurCall!AM42+'EXP FD B'!AL43*EurCall!AM43+'EXP FD C'!AL43*EurCall!AM44)/(1+rate*dt)</f>
        <v>5.1219659319375248</v>
      </c>
      <c r="AM43" s="28">
        <f>('EXP FD A'!AM43*EurCall!AN42+'EXP FD B'!AM43*EurCall!AN43+'EXP FD C'!AM43*EurCall!AN44)/(1+rate*dt)</f>
        <v>5.1077150111833216</v>
      </c>
      <c r="AN43" s="28">
        <f>('EXP FD A'!AN43*EurCall!AO42+'EXP FD B'!AN43*EurCall!AO43+'EXP FD C'!AN43*EurCall!AO44)/(1+rate*dt)</f>
        <v>5.0940358694948316</v>
      </c>
      <c r="AO43" s="28">
        <f>('EXP FD A'!AO43*EurCall!AP42+'EXP FD B'!AO43*EurCall!AP43+'EXP FD C'!AO43*EurCall!AP44)/(1+rate*dt)</f>
        <v>5.0810015491088212</v>
      </c>
      <c r="AP43" s="28">
        <f>('EXP FD A'!AP43*EurCall!AQ42+'EXP FD B'!AP43*EurCall!AQ43+'EXP FD C'!AP43*EurCall!AQ44)/(1+rate*dt)</f>
        <v>5.0686918800937786</v>
      </c>
      <c r="AQ43" s="28">
        <f>('EXP FD A'!AQ43*EurCall!AR42+'EXP FD B'!AQ43*EurCall!AR43+'EXP FD C'!AQ43*EurCall!AR44)/(1+rate*dt)</f>
        <v>5.0571930132534408</v>
      </c>
      <c r="AR43" s="28">
        <f>('EXP FD A'!AR43*EurCall!AS42+'EXP FD B'!AR43*EurCall!AS43+'EXP FD C'!AR43*EurCall!AS44)/(1+rate*dt)</f>
        <v>5.0465961862764521</v>
      </c>
      <c r="AS43" s="28">
        <f>('EXP FD A'!AS43*EurCall!AT42+'EXP FD B'!AS43*EurCall!AT43+'EXP FD C'!AS43*EurCall!AT44)/(1+rate*dt)</f>
        <v>5.0369952602122146</v>
      </c>
      <c r="AT43" s="28">
        <f>('EXP FD A'!AT43*EurCall!AU42+'EXP FD B'!AT43*EurCall!AU43+'EXP FD C'!AT43*EurCall!AU44)/(1+rate*dt)</f>
        <v>5.0284823158362064</v>
      </c>
      <c r="AU43" s="28">
        <f>('EXP FD A'!AU43*EurCall!AV42+'EXP FD B'!AU43*EurCall!AV43+'EXP FD C'!AU43*EurCall!AV44)/(1+rate*dt)</f>
        <v>5.021140221447804</v>
      </c>
      <c r="AV43" s="28">
        <f>('EXP FD A'!AV43*EurCall!AW42+'EXP FD B'!AV43*EurCall!AW43+'EXP FD C'!AV43*EurCall!AW44)/(1+rate*dt)</f>
        <v>5.015030505261989</v>
      </c>
      <c r="AW43" s="28">
        <f>('EXP FD A'!AW43*EurCall!AX42+'EXP FD B'!AW43*EurCall!AX43+'EXP FD C'!AW43*EurCall!AX44)/(1+rate*dt)</f>
        <v>5.0101739786195321</v>
      </c>
      <c r="AX43" s="28">
        <f>('EXP FD A'!AX43*EurCall!AY42+'EXP FD B'!AX43*EurCall!AY43+'EXP FD C'!AX43*EurCall!AY44)/(1+rate*dt)</f>
        <v>5.0065201925677112</v>
      </c>
      <c r="AY43" s="28">
        <f>('EXP FD A'!AY43*EurCall!AZ42+'EXP FD B'!AY43*EurCall!AZ43+'EXP FD C'!AY43*EurCall!AZ44)/(1+rate*dt)</f>
        <v>5.0038997075194978</v>
      </c>
      <c r="AZ43" s="28">
        <f>('EXP FD A'!AZ43*EurCall!BA42+'EXP FD B'!AZ43*EurCall!BA43+'EXP FD C'!AZ43*EurCall!BA44)/(1+rate*dt)</f>
        <v>5.0019499025048741</v>
      </c>
      <c r="BA43" s="6">
        <f t="shared" si="3"/>
        <v>5</v>
      </c>
    </row>
    <row r="44" spans="1:53" x14ac:dyDescent="0.2">
      <c r="A44" s="15">
        <f t="shared" si="4"/>
        <v>21</v>
      </c>
      <c r="B44" s="16">
        <f t="shared" si="0"/>
        <v>42</v>
      </c>
      <c r="C44" s="26">
        <f>('EXP FD A'!C44*EurCall!D43+'EXP FD B'!C44*EurCall!D44+'EXP FD C'!C44*EurCall!D45)/(1+rate*dt)</f>
        <v>4.163621591745807</v>
      </c>
      <c r="D44" s="28">
        <f>('EXP FD A'!D44*EurCall!E43+'EXP FD B'!D44*EurCall!E44+'EXP FD C'!D44*EurCall!E45)/(1+rate*dt)</f>
        <v>4.1426724912217043</v>
      </c>
      <c r="E44" s="28">
        <f>('EXP FD A'!E44*EurCall!F43+'EXP FD B'!E44*EurCall!F44+'EXP FD C'!E44*EurCall!F45)/(1+rate*dt)</f>
        <v>4.1215754428885907</v>
      </c>
      <c r="F44" s="28">
        <f>('EXP FD A'!F44*EurCall!G43+'EXP FD B'!F44*EurCall!G44+'EXP FD C'!F44*EurCall!G45)/(1+rate*dt)</f>
        <v>4.1003275668516519</v>
      </c>
      <c r="G44" s="28">
        <f>('EXP FD A'!G44*EurCall!H43+'EXP FD B'!G44*EurCall!H44+'EXP FD C'!G44*EurCall!H45)/(1+rate*dt)</f>
        <v>4.0789259149286856</v>
      </c>
      <c r="H44" s="28">
        <f>('EXP FD A'!H44*EurCall!I43+'EXP FD B'!H44*EurCall!I44+'EXP FD C'!H44*EurCall!I45)/(1+rate*dt)</f>
        <v>4.0573674713581598</v>
      </c>
      <c r="I44" s="28">
        <f>('EXP FD A'!I44*EurCall!J43+'EXP FD B'!I44*EurCall!J44+'EXP FD C'!I44*EurCall!J45)/(1+rate*dt)</f>
        <v>4.0356491541084001</v>
      </c>
      <c r="J44" s="28">
        <f>('EXP FD A'!J44*EurCall!K43+'EXP FD B'!J44*EurCall!K44+'EXP FD C'!J44*EurCall!K45)/(1+rate*dt)</f>
        <v>4.0137678169208906</v>
      </c>
      <c r="K44" s="28">
        <f>('EXP FD A'!K44*EurCall!L43+'EXP FD B'!K44*EurCall!L44+'EXP FD C'!K44*EurCall!L45)/(1+rate*dt)</f>
        <v>3.9917202522481516</v>
      </c>
      <c r="L44" s="28">
        <f>('EXP FD A'!L44*EurCall!M43+'EXP FD B'!L44*EurCall!M44+'EXP FD C'!L44*EurCall!M45)/(1+rate*dt)</f>
        <v>3.9695031952799065</v>
      </c>
      <c r="M44" s="28">
        <f>('EXP FD A'!M44*EurCall!N43+'EXP FD B'!M44*EurCall!N44+'EXP FD C'!M44*EurCall!N45)/(1+rate*dt)</f>
        <v>3.9471133292918479</v>
      </c>
      <c r="N44" s="28">
        <f>('EXP FD A'!N44*EurCall!O43+'EXP FD B'!N44*EurCall!O44+'EXP FD C'!N44*EurCall!O45)/(1+rate*dt)</f>
        <v>3.924547292600856</v>
      </c>
      <c r="O44" s="28">
        <f>('EXP FD A'!O44*EurCall!P43+'EXP FD B'!O44*EurCall!P44+'EXP FD C'!O44*EurCall!P45)/(1+rate*dt)</f>
        <v>3.9018016874711656</v>
      </c>
      <c r="P44" s="28">
        <f>('EXP FD A'!P44*EurCall!Q43+'EXP FD B'!P44*EurCall!Q44+'EXP FD C'!P44*EurCall!Q45)/(1+rate*dt)</f>
        <v>3.8788730913904335</v>
      </c>
      <c r="Q44" s="28">
        <f>('EXP FD A'!Q44*EurCall!R43+'EXP FD B'!Q44*EurCall!R44+'EXP FD C'!Q44*EurCall!R45)/(1+rate*dt)</f>
        <v>3.85575807122633</v>
      </c>
      <c r="R44" s="28">
        <f>('EXP FD A'!R44*EurCall!S43+'EXP FD B'!R44*EurCall!S44+'EXP FD C'!R44*EurCall!S45)/(1+rate*dt)</f>
        <v>3.8324532008874428</v>
      </c>
      <c r="S44" s="28">
        <f>('EXP FD A'!S44*EurCall!T43+'EXP FD B'!S44*EurCall!T44+'EXP FD C'!S44*EurCall!T45)/(1+rate*dt)</f>
        <v>3.8089550832524783</v>
      </c>
      <c r="T44" s="28">
        <f>('EXP FD A'!T44*EurCall!U43+'EXP FD B'!T44*EurCall!U44+'EXP FD C'!T44*EurCall!U45)/(1+rate*dt)</f>
        <v>3.7852603773059639</v>
      </c>
      <c r="U44" s="28">
        <f>('EXP FD A'!U44*EurCall!V43+'EXP FD B'!U44*EurCall!V44+'EXP FD C'!U44*EurCall!V45)/(1+rate*dt)</f>
        <v>3.7613658316359264</v>
      </c>
      <c r="V44" s="28">
        <f>('EXP FD A'!V44*EurCall!W43+'EXP FD B'!V44*EurCall!W44+'EXP FD C'!V44*EurCall!W45)/(1+rate*dt)</f>
        <v>3.7372683257209598</v>
      </c>
      <c r="W44" s="28">
        <f>('EXP FD A'!W44*EurCall!X43+'EXP FD B'!W44*EurCall!X44+'EXP FD C'!W44*EurCall!X45)/(1+rate*dt)</f>
        <v>3.7129649207758098</v>
      </c>
      <c r="X44" s="28">
        <f>('EXP FD A'!X44*EurCall!Y43+'EXP FD B'!X44*EurCall!Y44+'EXP FD C'!X44*EurCall!Y45)/(1+rate*dt)</f>
        <v>3.6884529223556952</v>
      </c>
      <c r="Y44" s="28">
        <f>('EXP FD A'!Y44*EurCall!Z43+'EXP FD B'!Y44*EurCall!Z44+'EXP FD C'!Y44*EurCall!Z45)/(1+rate*dt)</f>
        <v>3.6637299574657831</v>
      </c>
      <c r="Z44" s="28">
        <f>('EXP FD A'!Z44*EurCall!AA43+'EXP FD B'!Z44*EurCall!AA44+'EXP FD C'!Z44*EurCall!AA45)/(1+rate*dt)</f>
        <v>3.6387940696174397</v>
      </c>
      <c r="AA44" s="28">
        <f>('EXP FD A'!AA44*EurCall!AB43+'EXP FD B'!AA44*EurCall!AB44+'EXP FD C'!AA44*EurCall!AB45)/(1+rate*dt)</f>
        <v>3.6136438361618128</v>
      </c>
      <c r="AB44" s="28">
        <f>('EXP FD A'!AB44*EurCall!AC43+'EXP FD B'!AB44*EurCall!AC44+'EXP FD C'!AB44*EurCall!AC45)/(1+rate*dt)</f>
        <v>3.5882785133737749</v>
      </c>
      <c r="AC44" s="28">
        <f>('EXP FD A'!AC44*EurCall!AD43+'EXP FD B'!AC44*EurCall!AD44+'EXP FD C'!AC44*EurCall!AD45)/(1+rate*dt)</f>
        <v>3.5626982162350629</v>
      </c>
      <c r="AD44" s="28">
        <f>('EXP FD A'!AD44*EurCall!AE43+'EXP FD B'!AD44*EurCall!AE44+'EXP FD C'!AD44*EurCall!AE45)/(1+rate*dt)</f>
        <v>3.5369041417824088</v>
      </c>
      <c r="AE44" s="28">
        <f>('EXP FD A'!AE44*EurCall!AF43+'EXP FD B'!AE44*EurCall!AF44+'EXP FD C'!AE44*EurCall!AF45)/(1+rate*dt)</f>
        <v>3.5108988473904184</v>
      </c>
      <c r="AF44" s="28">
        <f>('EXP FD A'!AF44*EurCall!AG43+'EXP FD B'!AF44*EurCall!AG44+'EXP FD C'!AF44*EurCall!AG45)/(1+rate*dt)</f>
        <v>3.484686598649136</v>
      </c>
      <c r="AG44" s="28">
        <f>('EXP FD A'!AG44*EurCall!AH43+'EXP FD B'!AG44*EurCall!AH44+'EXP FD C'!AG44*EurCall!AH45)/(1+rate*dt)</f>
        <v>3.4582738058457365</v>
      </c>
      <c r="AH44" s="28">
        <f>('EXP FD A'!AH44*EurCall!AI43+'EXP FD B'!AH44*EurCall!AI44+'EXP FD C'!AH44*EurCall!AI45)/(1+rate*dt)</f>
        <v>3.4316695738459226</v>
      </c>
      <c r="AI44" s="28">
        <f>('EXP FD A'!AI44*EurCall!AJ43+'EXP FD B'!AI44*EurCall!AJ44+'EXP FD C'!AI44*EurCall!AJ45)/(1+rate*dt)</f>
        <v>3.4048863979173896</v>
      </c>
      <c r="AJ44" s="28">
        <f>('EXP FD A'!AJ44*EurCall!AK43+'EXP FD B'!AJ44*EurCall!AK44+'EXP FD C'!AJ44*EurCall!AK45)/(1+rate*dt)</f>
        <v>3.3779410484775951</v>
      </c>
      <c r="AK44" s="28">
        <f>('EXP FD A'!AK44*EurCall!AL43+'EXP FD B'!AK44*EurCall!AL44+'EXP FD C'!AK44*EurCall!AL45)/(1+rate*dt)</f>
        <v>3.350855701910826</v>
      </c>
      <c r="AL44" s="28">
        <f>('EXP FD A'!AL44*EurCall!AM43+'EXP FD B'!AL44*EurCall!AM44+'EXP FD C'!AL44*EurCall!AM45)/(1+rate*dt)</f>
        <v>3.3236593939415053</v>
      </c>
      <c r="AM44" s="28">
        <f>('EXP FD A'!AM44*EurCall!AN43+'EXP FD B'!AM44*EurCall!AN44+'EXP FD C'!AM44*EurCall!AN45)/(1+rate*dt)</f>
        <v>3.2963898986432336</v>
      </c>
      <c r="AN44" s="28">
        <f>('EXP FD A'!AN44*EurCall!AO43+'EXP FD B'!AN44*EurCall!AO44+'EXP FD C'!AN44*EurCall!AO45)/(1+rate*dt)</f>
        <v>3.269096172968871</v>
      </c>
      <c r="AO44" s="28">
        <f>('EXP FD A'!AO44*EurCall!AP43+'EXP FD B'!AO44*EurCall!AP44+'EXP FD C'!AO44*EurCall!AP45)/(1+rate*dt)</f>
        <v>3.2418415579665383</v>
      </c>
      <c r="AP44" s="28">
        <f>('EXP FD A'!AP44*EurCall!AQ43+'EXP FD B'!AP44*EurCall!AQ44+'EXP FD C'!AP44*EurCall!AQ45)/(1+rate*dt)</f>
        <v>3.2147079997593027</v>
      </c>
      <c r="AQ44" s="28">
        <f>('EXP FD A'!AQ44*EurCall!AR43+'EXP FD B'!AQ44*EurCall!AR44+'EXP FD C'!AQ44*EurCall!AR45)/(1+rate*dt)</f>
        <v>3.1878016548631938</v>
      </c>
      <c r="AR44" s="28">
        <f>('EXP FD A'!AR44*EurCall!AS43+'EXP FD B'!AR44*EurCall!AS44+'EXP FD C'!AR44*EurCall!AS45)/(1+rate*dt)</f>
        <v>3.1612603885714594</v>
      </c>
      <c r="AS44" s="28">
        <f>('EXP FD A'!AS44*EurCall!AT43+'EXP FD B'!AS44*EurCall!AT44+'EXP FD C'!AS44*EurCall!AT45)/(1+rate*dt)</f>
        <v>3.1352638811280333</v>
      </c>
      <c r="AT44" s="28">
        <f>('EXP FD A'!AT44*EurCall!AU43+'EXP FD B'!AT44*EurCall!AU44+'EXP FD C'!AT44*EurCall!AU45)/(1+rate*dt)</f>
        <v>3.1100473525424674</v>
      </c>
      <c r="AU44" s="28">
        <f>('EXP FD A'!AU44*EurCall!AV43+'EXP FD B'!AU44*EurCall!AV44+'EXP FD C'!AU44*EurCall!AV45)/(1+rate*dt)</f>
        <v>3.0859203450808881</v>
      </c>
      <c r="AV44" s="28">
        <f>('EXP FD A'!AV44*EurCall!AW43+'EXP FD B'!AV44*EurCall!AW44+'EXP FD C'!AV44*EurCall!AW45)/(1+rate*dt)</f>
        <v>3.0632926250992911</v>
      </c>
      <c r="AW44" s="28">
        <f>('EXP FD A'!AW44*EurCall!AX43+'EXP FD B'!AW44*EurCall!AX44+'EXP FD C'!AW44*EurCall!AX45)/(1+rate*dt)</f>
        <v>3.0427101762713415</v>
      </c>
      <c r="AX44" s="28">
        <f>('EXP FD A'!AX44*EurCall!AY43+'EXP FD B'!AX44*EurCall!AY44+'EXP FD C'!AX44*EurCall!AY45)/(1+rate*dt)</f>
        <v>3.0249055945648307</v>
      </c>
      <c r="AY44" s="28">
        <f>('EXP FD A'!AY44*EurCall!AZ43+'EXP FD B'!AY44*EurCall!AZ44+'EXP FD C'!AY44*EurCall!AZ45)/(1+rate*dt)</f>
        <v>3.0108691730555202</v>
      </c>
      <c r="AZ44" s="28">
        <f>('EXP FD A'!AZ44*EurCall!BA43+'EXP FD B'!AZ44*EurCall!BA44+'EXP FD C'!AZ44*EurCall!BA45)/(1+rate*dt)</f>
        <v>3.0019499025048741</v>
      </c>
      <c r="BA44" s="6">
        <f t="shared" si="3"/>
        <v>3</v>
      </c>
    </row>
    <row r="45" spans="1:53" x14ac:dyDescent="0.2">
      <c r="A45" s="15">
        <f t="shared" si="4"/>
        <v>20</v>
      </c>
      <c r="B45" s="16">
        <f t="shared" si="0"/>
        <v>40</v>
      </c>
      <c r="C45" s="26">
        <f>('EXP FD A'!C45*EurCall!D44+'EXP FD B'!C45*EurCall!D45+'EXP FD C'!C45*EurCall!D46)/(1+rate*dt)</f>
        <v>2.8221634924271806</v>
      </c>
      <c r="D45" s="28">
        <f>('EXP FD A'!D45*EurCall!E44+'EXP FD B'!D45*EurCall!E45+'EXP FD C'!D45*EurCall!E46)/(1+rate*dt)</f>
        <v>2.7992792818037193</v>
      </c>
      <c r="E45" s="28">
        <f>('EXP FD A'!E45*EurCall!F44+'EXP FD B'!E45*EurCall!F45+'EXP FD C'!E45*EurCall!F46)/(1+rate*dt)</f>
        <v>2.776176688354445</v>
      </c>
      <c r="F45" s="28">
        <f>('EXP FD A'!F45*EurCall!G44+'EXP FD B'!F45*EurCall!G45+'EXP FD C'!F45*EurCall!G46)/(1+rate*dt)</f>
        <v>2.7528491725203819</v>
      </c>
      <c r="G45" s="28">
        <f>('EXP FD A'!G45*EurCall!H44+'EXP FD B'!G45*EurCall!H45+'EXP FD C'!G45*EurCall!H46)/(1+rate*dt)</f>
        <v>2.7292898615681946</v>
      </c>
      <c r="H45" s="28">
        <f>('EXP FD A'!H45*EurCall!I44+'EXP FD B'!H45*EurCall!I45+'EXP FD C'!H45*EurCall!I46)/(1+rate*dt)</f>
        <v>2.7054915254138163</v>
      </c>
      <c r="I45" s="28">
        <f>('EXP FD A'!I45*EurCall!J44+'EXP FD B'!I45*EurCall!J45+'EXP FD C'!I45*EurCall!J46)/(1+rate*dt)</f>
        <v>2.6814465501546763</v>
      </c>
      <c r="J45" s="28">
        <f>('EXP FD A'!J45*EurCall!K44+'EXP FD B'!J45*EurCall!K45+'EXP FD C'!J45*EurCall!K46)/(1+rate*dt)</f>
        <v>2.6571469090414146</v>
      </c>
      <c r="K45" s="28">
        <f>('EXP FD A'!K45*EurCall!L44+'EXP FD B'!K45*EurCall!L45+'EXP FD C'!K45*EurCall!L46)/(1+rate*dt)</f>
        <v>2.6325841305821953</v>
      </c>
      <c r="L45" s="28">
        <f>('EXP FD A'!L45*EurCall!M44+'EXP FD B'!L45*EurCall!M45+'EXP FD C'!L45*EurCall!M46)/(1+rate*dt)</f>
        <v>2.6077492634288006</v>
      </c>
      <c r="M45" s="28">
        <f>('EXP FD A'!M45*EurCall!N44+'EXP FD B'!M45*EurCall!N45+'EXP FD C'!M45*EurCall!N46)/(1+rate*dt)</f>
        <v>2.5826328376424192</v>
      </c>
      <c r="N45" s="28">
        <f>('EXP FD A'!N45*EurCall!O44+'EXP FD B'!N45*EurCall!O45+'EXP FD C'!N45*EurCall!O46)/(1+rate*dt)</f>
        <v>2.5572248218770559</v>
      </c>
      <c r="O45" s="28">
        <f>('EXP FD A'!O45*EurCall!P44+'EXP FD B'!O45*EurCall!P45+'EXP FD C'!O45*EurCall!P46)/(1+rate*dt)</f>
        <v>2.5315145759480946</v>
      </c>
      <c r="P45" s="28">
        <f>('EXP FD A'!P45*EurCall!Q44+'EXP FD B'!P45*EurCall!Q45+'EXP FD C'!P45*EurCall!Q46)/(1+rate*dt)</f>
        <v>2.5054907981706505</v>
      </c>
      <c r="Q45" s="28">
        <f>('EXP FD A'!Q45*EurCall!R44+'EXP FD B'!Q45*EurCall!R45+'EXP FD C'!Q45*EurCall!R46)/(1+rate*dt)</f>
        <v>2.4791414667543847</v>
      </c>
      <c r="R45" s="28">
        <f>('EXP FD A'!R45*EurCall!S44+'EXP FD B'!R45*EurCall!S45+'EXP FD C'!R45*EurCall!S46)/(1+rate*dt)</f>
        <v>2.4524537744253427</v>
      </c>
      <c r="S45" s="28">
        <f>('EXP FD A'!S45*EurCall!T44+'EXP FD B'!S45*EurCall!T45+'EXP FD C'!S45*EurCall!T46)/(1+rate*dt)</f>
        <v>2.4254140553071237</v>
      </c>
      <c r="T45" s="28">
        <f>('EXP FD A'!T45*EurCall!U44+'EXP FD B'!T45*EurCall!U45+'EXP FD C'!T45*EurCall!U46)/(1+rate*dt)</f>
        <v>2.3980077029284983</v>
      </c>
      <c r="U45" s="28">
        <f>('EXP FD A'!U45*EurCall!V44+'EXP FD B'!U45*EurCall!V45+'EXP FD C'!U45*EurCall!V46)/(1+rate*dt)</f>
        <v>2.3702190780263175</v>
      </c>
      <c r="V45" s="28">
        <f>('EXP FD A'!V45*EurCall!W44+'EXP FD B'!V45*EurCall!W45+'EXP FD C'!V45*EurCall!W46)/(1+rate*dt)</f>
        <v>2.3420314045734694</v>
      </c>
      <c r="W45" s="28">
        <f>('EXP FD A'!W45*EurCall!X44+'EXP FD B'!W45*EurCall!X45+'EXP FD C'!W45*EurCall!X46)/(1+rate*dt)</f>
        <v>2.3134266521719491</v>
      </c>
      <c r="X45" s="28">
        <f>('EXP FD A'!X45*EurCall!Y44+'EXP FD B'!X45*EurCall!Y45+'EXP FD C'!X45*EurCall!Y46)/(1+rate*dt)</f>
        <v>2.2843854025981867</v>
      </c>
      <c r="Y45" s="28">
        <f>('EXP FD A'!Y45*EurCall!Z44+'EXP FD B'!Y45*EurCall!Z45+'EXP FD C'!Y45*EurCall!Z46)/(1+rate*dt)</f>
        <v>2.2548866978554267</v>
      </c>
      <c r="Z45" s="28">
        <f>('EXP FD A'!Z45*EurCall!AA44+'EXP FD B'!Z45*EurCall!AA45+'EXP FD C'!Z45*EurCall!AA46)/(1+rate*dt)</f>
        <v>2.2249078665550108</v>
      </c>
      <c r="AA45" s="28">
        <f>('EXP FD A'!AA45*EurCall!AB44+'EXP FD B'!AA45*EurCall!AB45+'EXP FD C'!AA45*EurCall!AB46)/(1+rate*dt)</f>
        <v>2.1944243247871986</v>
      </c>
      <c r="AB45" s="28">
        <f>('EXP FD A'!AB45*EurCall!AC44+'EXP FD B'!AB45*EurCall!AC45+'EXP FD C'!AB45*EurCall!AC46)/(1+rate*dt)</f>
        <v>2.1634093468161</v>
      </c>
      <c r="AC45" s="28">
        <f>('EXP FD A'!AC45*EurCall!AD44+'EXP FD B'!AC45*EurCall!AD45+'EXP FD C'!AC45*EurCall!AD46)/(1+rate*dt)</f>
        <v>2.1318337998935792</v>
      </c>
      <c r="AD45" s="28">
        <f>('EXP FD A'!AD45*EurCall!AE44+'EXP FD B'!AD45*EurCall!AE45+'EXP FD C'!AD45*EurCall!AE46)/(1+rate*dt)</f>
        <v>2.0996658361682701</v>
      </c>
      <c r="AE45" s="28">
        <f>('EXP FD A'!AE45*EurCall!AF44+'EXP FD B'!AE45*EurCall!AF45+'EXP FD C'!AE45*EurCall!AF46)/(1+rate*dt)</f>
        <v>2.0668705329794701</v>
      </c>
      <c r="AF45" s="28">
        <f>('EXP FD A'!AF45*EurCall!AG44+'EXP FD B'!AF45*EurCall!AG45+'EXP FD C'!AF45*EurCall!AG46)/(1+rate*dt)</f>
        <v>2.0334094706510006</v>
      </c>
      <c r="AG45" s="28">
        <f>('EXP FD A'!AG45*EurCall!AH44+'EXP FD B'!AG45*EurCall!AH45+'EXP FD C'!AG45*EurCall!AH46)/(1+rate*dt)</f>
        <v>1.9992402340712516</v>
      </c>
      <c r="AH45" s="28">
        <f>('EXP FD A'!AH45*EurCall!AI44+'EXP FD B'!AH45*EurCall!AI45+'EXP FD C'!AH45*EurCall!AI46)/(1+rate*dt)</f>
        <v>1.9643158206332665</v>
      </c>
      <c r="AI45" s="28">
        <f>('EXP FD A'!AI45*EurCall!AJ44+'EXP FD B'!AI45*EurCall!AJ45+'EXP FD C'!AI45*EurCall!AJ46)/(1+rate*dt)</f>
        <v>1.9285839321934573</v>
      </c>
      <c r="AJ45" s="28">
        <f>('EXP FD A'!AJ45*EurCall!AK44+'EXP FD B'!AJ45*EurCall!AK45+'EXP FD C'!AJ45*EurCall!AK46)/(1+rate*dt)</f>
        <v>1.8919861221419334</v>
      </c>
      <c r="AK45" s="28">
        <f>('EXP FD A'!AK45*EurCall!AL44+'EXP FD B'!AK45*EurCall!AL45+'EXP FD C'!AK45*EurCall!AL46)/(1+rate*dt)</f>
        <v>1.8544567598306803</v>
      </c>
      <c r="AL45" s="28">
        <f>('EXP FD A'!AL45*EurCall!AM44+'EXP FD B'!AL45*EurCall!AM45+'EXP FD C'!AL45*EurCall!AM46)/(1+rate*dt)</f>
        <v>1.8159217625838764</v>
      </c>
      <c r="AM45" s="28">
        <f>('EXP FD A'!AM45*EurCall!AN44+'EXP FD B'!AM45*EurCall!AN45+'EXP FD C'!AM45*EurCall!AN46)/(1+rate*dt)</f>
        <v>1.7762970290435722</v>
      </c>
      <c r="AN45" s="28">
        <f>('EXP FD A'!AN45*EurCall!AO44+'EXP FD B'!AN45*EurCall!AO45+'EXP FD C'!AN45*EurCall!AO46)/(1+rate*dt)</f>
        <v>1.7354864848597114</v>
      </c>
      <c r="AO45" s="28">
        <f>('EXP FD A'!AO45*EurCall!AP44+'EXP FD B'!AO45*EurCall!AP45+'EXP FD C'!AO45*EurCall!AP46)/(1+rate*dt)</f>
        <v>1.6933796200923732</v>
      </c>
      <c r="AP45" s="28">
        <f>('EXP FD A'!AP45*EurCall!AQ44+'EXP FD B'!AP45*EurCall!AQ45+'EXP FD C'!AP45*EurCall!AQ46)/(1+rate*dt)</f>
        <v>1.6498483533658945</v>
      </c>
      <c r="AQ45" s="28">
        <f>('EXP FD A'!AQ45*EurCall!AR44+'EXP FD B'!AQ45*EurCall!AR45+'EXP FD C'!AQ45*EurCall!AR46)/(1+rate*dt)</f>
        <v>1.6047429953014303</v>
      </c>
      <c r="AR45" s="28">
        <f>('EXP FD A'!AR45*EurCall!AS44+'EXP FD B'!AR45*EurCall!AS45+'EXP FD C'!AR45*EurCall!AS46)/(1+rate*dt)</f>
        <v>1.5578869950510972</v>
      </c>
      <c r="AS45" s="28">
        <f>('EXP FD A'!AS45*EurCall!AT44+'EXP FD B'!AS45*EurCall!AT45+'EXP FD C'!AS45*EurCall!AT46)/(1+rate*dt)</f>
        <v>1.5090700271629498</v>
      </c>
      <c r="AT45" s="28">
        <f>('EXP FD A'!AT45*EurCall!AU44+'EXP FD B'!AT45*EurCall!AU45+'EXP FD C'!AT45*EurCall!AU46)/(1+rate*dt)</f>
        <v>1.458038794360387</v>
      </c>
      <c r="AU45" s="28">
        <f>('EXP FD A'!AU45*EurCall!AV44+'EXP FD B'!AU45*EurCall!AV45+'EXP FD C'!AU45*EurCall!AV46)/(1+rate*dt)</f>
        <v>1.4044846598633516</v>
      </c>
      <c r="AV45" s="28">
        <f>('EXP FD A'!AV45*EurCall!AW44+'EXP FD B'!AV45*EurCall!AW45+'EXP FD C'!AV45*EurCall!AW46)/(1+rate*dt)</f>
        <v>1.3480268433076319</v>
      </c>
      <c r="AW45" s="28">
        <f>('EXP FD A'!AW45*EurCall!AX44+'EXP FD B'!AW45*EurCall!AX45+'EXP FD C'!AW45*EurCall!AX46)/(1+rate*dt)</f>
        <v>1.2881893618528866</v>
      </c>
      <c r="AX45" s="28">
        <f>('EXP FD A'!AX45*EurCall!AY44+'EXP FD B'!AX45*EurCall!AY45+'EXP FD C'!AX45*EurCall!AY46)/(1+rate*dt)</f>
        <v>1.2243690905160012</v>
      </c>
      <c r="AY45" s="28">
        <f>('EXP FD A'!AY45*EurCall!AZ44+'EXP FD B'!AY45*EurCall!AZ45+'EXP FD C'!AY45*EurCall!AZ46)/(1+rate*dt)</f>
        <v>1.1557911304974724</v>
      </c>
      <c r="AZ45" s="28">
        <f>('EXP FD A'!AZ45*EurCall!BA44+'EXP FD B'!AZ45*EurCall!BA45+'EXP FD C'!AZ45*EurCall!BA46)/(1+rate*dt)</f>
        <v>1.0814459277036148</v>
      </c>
      <c r="BA45" s="6">
        <f t="shared" si="3"/>
        <v>1</v>
      </c>
    </row>
    <row r="46" spans="1:53" x14ac:dyDescent="0.2">
      <c r="A46" s="15">
        <f t="shared" si="4"/>
        <v>19</v>
      </c>
      <c r="B46" s="16">
        <f t="shared" si="0"/>
        <v>38</v>
      </c>
      <c r="C46" s="26">
        <f>('EXP FD A'!C46*EurCall!D45+'EXP FD B'!C46*EurCall!D46+'EXP FD C'!C46*EurCall!D47)/(1+rate*dt)</f>
        <v>1.7508040092332156</v>
      </c>
      <c r="D46" s="28">
        <f>('EXP FD A'!D46*EurCall!E45+'EXP FD B'!D46*EurCall!E46+'EXP FD C'!D46*EurCall!E47)/(1+rate*dt)</f>
        <v>1.7286146961425315</v>
      </c>
      <c r="E46" s="28">
        <f>('EXP FD A'!E46*EurCall!F45+'EXP FD B'!E46*EurCall!F46+'EXP FD C'!E46*EurCall!F47)/(1+rate*dt)</f>
        <v>1.7062138917930154</v>
      </c>
      <c r="F46" s="28">
        <f>('EXP FD A'!F46*EurCall!G45+'EXP FD B'!F46*EurCall!G46+'EXP FD C'!F46*EurCall!G47)/(1+rate*dt)</f>
        <v>1.6835952596249564</v>
      </c>
      <c r="G46" s="28">
        <f>('EXP FD A'!G46*EurCall!H45+'EXP FD B'!G46*EurCall!H46+'EXP FD C'!G46*EurCall!H47)/(1+rate*dt)</f>
        <v>1.6607521397479927</v>
      </c>
      <c r="H46" s="28">
        <f>('EXP FD A'!H46*EurCall!I45+'EXP FD B'!H46*EurCall!I46+'EXP FD C'!H46*EurCall!I47)/(1+rate*dt)</f>
        <v>1.6376775254004499</v>
      </c>
      <c r="I46" s="28">
        <f>('EXP FD A'!I46*EurCall!J45+'EXP FD B'!I46*EurCall!J46+'EXP FD C'!I46*EurCall!J47)/(1+rate*dt)</f>
        <v>1.6143640371626764</v>
      </c>
      <c r="J46" s="28">
        <f>('EXP FD A'!J46*EurCall!K45+'EXP FD B'!J46*EurCall!K46+'EXP FD C'!J46*EurCall!K47)/(1+rate*dt)</f>
        <v>1.5908038946574126</v>
      </c>
      <c r="K46" s="28">
        <f>('EXP FD A'!K46*EurCall!L45+'EXP FD B'!K46*EurCall!L46+'EXP FD C'!K46*EurCall!L47)/(1+rate*dt)</f>
        <v>1.5669888854320333</v>
      </c>
      <c r="L46" s="28">
        <f>('EXP FD A'!L46*EurCall!M45+'EXP FD B'!L46*EurCall!M46+'EXP FD C'!L46*EurCall!M47)/(1+rate*dt)</f>
        <v>1.5429103306729473</v>
      </c>
      <c r="M46" s="28">
        <f>('EXP FD A'!M46*EurCall!N45+'EXP FD B'!M46*EurCall!N46+'EXP FD C'!M46*EurCall!N47)/(1+rate*dt)</f>
        <v>1.5185590473502688</v>
      </c>
      <c r="N46" s="28">
        <f>('EXP FD A'!N46*EurCall!O45+'EXP FD B'!N46*EurCall!O46+'EXP FD C'!N46*EurCall!O47)/(1+rate*dt)</f>
        <v>1.4939253063296389</v>
      </c>
      <c r="O46" s="28">
        <f>('EXP FD A'!O46*EurCall!P45+'EXP FD B'!O46*EurCall!P46+'EXP FD C'!O46*EurCall!P47)/(1+rate*dt)</f>
        <v>1.4689987859159968</v>
      </c>
      <c r="P46" s="28">
        <f>('EXP FD A'!P46*EurCall!Q45+'EXP FD B'!P46*EurCall!Q46+'EXP FD C'!P46*EurCall!Q47)/(1+rate*dt)</f>
        <v>1.4437685202090085</v>
      </c>
      <c r="Q46" s="28">
        <f>('EXP FD A'!Q46*EurCall!R45+'EXP FD B'!Q46*EurCall!R46+'EXP FD C'!Q46*EurCall!R47)/(1+rate*dt)</f>
        <v>1.4182228415491371</v>
      </c>
      <c r="R46" s="28">
        <f>('EXP FD A'!R46*EurCall!S45+'EXP FD B'!R46*EurCall!S46+'EXP FD C'!R46*EurCall!S47)/(1+rate*dt)</f>
        <v>1.3923493162137763</v>
      </c>
      <c r="S46" s="28">
        <f>('EXP FD A'!S46*EurCall!T45+'EXP FD B'!S46*EurCall!T46+'EXP FD C'!S46*EurCall!T47)/(1+rate*dt)</f>
        <v>1.3661346723805745</v>
      </c>
      <c r="T46" s="28">
        <f>('EXP FD A'!T46*EurCall!U45+'EXP FD B'!T46*EurCall!U46+'EXP FD C'!T46*EurCall!U47)/(1+rate*dt)</f>
        <v>1.3395647192052895</v>
      </c>
      <c r="U46" s="28">
        <f>('EXP FD A'!U46*EurCall!V45+'EXP FD B'!U46*EurCall!V46+'EXP FD C'!U46*EurCall!V47)/(1+rate*dt)</f>
        <v>1.3126242556584438</v>
      </c>
      <c r="V46" s="28">
        <f>('EXP FD A'!V46*EurCall!W45+'EXP FD B'!V46*EurCall!W46+'EXP FD C'!V46*EurCall!W47)/(1+rate*dt)</f>
        <v>1.2852969675216013</v>
      </c>
      <c r="W46" s="28">
        <f>('EXP FD A'!W46*EurCall!X45+'EXP FD B'!W46*EurCall!X46+'EXP FD C'!W46*EurCall!X47)/(1+rate*dt)</f>
        <v>1.2575653106516749</v>
      </c>
      <c r="X46" s="28">
        <f>('EXP FD A'!X46*EurCall!Y45+'EXP FD B'!X46*EurCall!Y46+'EXP FD C'!X46*EurCall!Y47)/(1+rate*dt)</f>
        <v>1.2294103782697796</v>
      </c>
      <c r="Y46" s="28">
        <f>('EXP FD A'!Y46*EurCall!Z45+'EXP FD B'!Y46*EurCall!Z46+'EXP FD C'!Y46*EurCall!Z47)/(1+rate*dt)</f>
        <v>1.2008117496070743</v>
      </c>
      <c r="Z46" s="28">
        <f>('EXP FD A'!Z46*EurCall!AA45+'EXP FD B'!Z46*EurCall!AA46+'EXP FD C'!Z46*EurCall!AA47)/(1+rate*dt)</f>
        <v>1.1717473167283867</v>
      </c>
      <c r="AA46" s="28">
        <f>('EXP FD A'!AA46*EurCall!AB45+'EXP FD B'!AA46*EurCall!AB46+'EXP FD C'!AA46*EurCall!AB47)/(1+rate*dt)</f>
        <v>1.1421930857366744</v>
      </c>
      <c r="AB46" s="28">
        <f>('EXP FD A'!AB46*EurCall!AC45+'EXP FD B'!AB46*EurCall!AC46+'EXP FD C'!AB46*EurCall!AC47)/(1+rate*dt)</f>
        <v>1.1121229478154129</v>
      </c>
      <c r="AC46" s="28">
        <f>('EXP FD A'!AC46*EurCall!AD45+'EXP FD B'!AC46*EurCall!AD46+'EXP FD C'!AC46*EurCall!AD47)/(1+rate*dt)</f>
        <v>1.081508414665558</v>
      </c>
      <c r="AD46" s="28">
        <f>('EXP FD A'!AD46*EurCall!AE45+'EXP FD B'!AD46*EurCall!AE46+'EXP FD C'!AD46*EurCall!AE47)/(1+rate*dt)</f>
        <v>1.0503183118080921</v>
      </c>
      <c r="AE46" s="28">
        <f>('EXP FD A'!AE46*EurCall!AF45+'EXP FD B'!AE46*EurCall!AF46+'EXP FD C'!AE46*EurCall!AF47)/(1+rate*dt)</f>
        <v>1.0185184219169165</v>
      </c>
      <c r="AF46" s="28">
        <f>('EXP FD A'!AF46*EurCall!AG45+'EXP FD B'!AF46*EurCall!AG46+'EXP FD C'!AF46*EurCall!AG47)/(1+rate*dt)</f>
        <v>0.98607106878016837</v>
      </c>
      <c r="AG46" s="28">
        <f>('EXP FD A'!AG46*EurCall!AH45+'EXP FD B'!AG46*EurCall!AH46+'EXP FD C'!AG46*EurCall!AH47)/(1+rate*dt)</f>
        <v>0.95293463061761308</v>
      </c>
      <c r="AH46" s="28">
        <f>('EXP FD A'!AH46*EurCall!AI45+'EXP FD B'!AH46*EurCall!AI46+'EXP FD C'!AH46*EurCall!AI47)/(1+rate*dt)</f>
        <v>0.91906296926307895</v>
      </c>
      <c r="AI46" s="28">
        <f>('EXP FD A'!AI46*EurCall!AJ45+'EXP FD B'!AI46*EurCall!AJ46+'EXP FD C'!AI46*EurCall!AJ47)/(1+rate*dt)</f>
        <v>0.8844047591125086</v>
      </c>
      <c r="AJ46" s="28">
        <f>('EXP FD A'!AJ46*EurCall!AK45+'EXP FD B'!AJ46*EurCall!AK46+'EXP FD C'!AJ46*EurCall!AK47)/(1+rate*dt)</f>
        <v>0.84890269670939189</v>
      </c>
      <c r="AK46" s="28">
        <f>('EXP FD A'!AK46*EurCall!AL45+'EXP FD B'!AK46*EurCall!AL46+'EXP FD C'!AK46*EurCall!AL47)/(1+rate*dt)</f>
        <v>0.812492568382991</v>
      </c>
      <c r="AL46" s="28">
        <f>('EXP FD A'!AL46*EurCall!AM45+'EXP FD B'!AL46*EurCall!AM46+'EXP FD C'!AL46*EurCall!AM47)/(1+rate*dt)</f>
        <v>0.77510214950848344</v>
      </c>
      <c r="AM46" s="28">
        <f>('EXP FD A'!AM46*EurCall!AN45+'EXP FD B'!AM46*EurCall!AN46+'EXP FD C'!AM46*EurCall!AN47)/(1+rate*dt)</f>
        <v>0.73664990483804504</v>
      </c>
      <c r="AN46" s="28">
        <f>('EXP FD A'!AN46*EurCall!AO45+'EXP FD B'!AN46*EurCall!AO46+'EXP FD C'!AN46*EurCall!AO47)/(1+rate*dt)</f>
        <v>0.6970434552059479</v>
      </c>
      <c r="AO46" s="28">
        <f>('EXP FD A'!AO46*EurCall!AP45+'EXP FD B'!AO46*EurCall!AP46+'EXP FD C'!AO46*EurCall!AP47)/(1+rate*dt)</f>
        <v>0.65617777220194451</v>
      </c>
      <c r="AP46" s="28">
        <f>('EXP FD A'!AP46*EurCall!AQ45+'EXP FD B'!AP46*EurCall!AQ46+'EXP FD C'!AP46*EurCall!AQ47)/(1+rate*dt)</f>
        <v>0.6139330599421694</v>
      </c>
      <c r="AQ46" s="28">
        <f>('EXP FD A'!AQ46*EurCall!AR45+'EXP FD B'!AQ46*EurCall!AR46+'EXP FD C'!AQ46*EurCall!AR47)/(1+rate*dt)</f>
        <v>0.57017228319338997</v>
      </c>
      <c r="AR46" s="28">
        <f>('EXP FD A'!AR46*EurCall!AS45+'EXP FD B'!AR46*EurCall!AS46+'EXP FD C'!AR46*EurCall!AS47)/(1+rate*dt)</f>
        <v>0.52473830601599158</v>
      </c>
      <c r="AS46" s="28">
        <f>('EXP FD A'!AS46*EurCall!AT45+'EXP FD B'!AS46*EurCall!AT46+'EXP FD C'!AS46*EurCall!AT47)/(1+rate*dt)</f>
        <v>0.4774506182788088</v>
      </c>
      <c r="AT46" s="28">
        <f>('EXP FD A'!AT46*EurCall!AU45+'EXP FD B'!AT46*EurCall!AU46+'EXP FD C'!AT46*EurCall!AU47)/(1+rate*dt)</f>
        <v>0.42810165436370234</v>
      </c>
      <c r="AU46" s="28">
        <f>('EXP FD A'!AU46*EurCall!AV45+'EXP FD B'!AU46*EurCall!AV46+'EXP FD C'!AU46*EurCall!AV47)/(1+rate*dt)</f>
        <v>0.3764527576840026</v>
      </c>
      <c r="AV46" s="28">
        <f>('EXP FD A'!AV46*EurCall!AW45+'EXP FD B'!AV46*EurCall!AW46+'EXP FD C'!AV46*EurCall!AW47)/(1+rate*dt)</f>
        <v>0.3222299295275623</v>
      </c>
      <c r="AW46" s="28">
        <f>('EXP FD A'!AW46*EurCall!AX45+'EXP FD B'!AW46*EurCall!AX46+'EXP FD C'!AW46*EurCall!AX47)/(1+rate*dt)</f>
        <v>0.26511964155383239</v>
      </c>
      <c r="AX46" s="28">
        <f>('EXP FD A'!AX46*EurCall!AY45+'EXP FD B'!AX46*EurCall!AY46+'EXP FD C'!AX46*EurCall!AY47)/(1+rate*dt)</f>
        <v>0.20476521918326399</v>
      </c>
      <c r="AY46" s="28">
        <f>('EXP FD A'!AY46*EurCall!AZ45+'EXP FD B'!AY46*EurCall!AZ46+'EXP FD C'!AY46*EurCall!AZ47)/(1+rate*dt)</f>
        <v>0.14076466568152018</v>
      </c>
      <c r="AZ46" s="28">
        <f>('EXP FD A'!AZ46*EurCall!BA45+'EXP FD B'!AZ46*EurCall!BA46+'EXP FD C'!AZ46*EurCall!BA47)/(1+rate*dt)</f>
        <v>7.267136643167843E-2</v>
      </c>
      <c r="BA46" s="6">
        <f t="shared" si="3"/>
        <v>0</v>
      </c>
    </row>
    <row r="47" spans="1:53" x14ac:dyDescent="0.2">
      <c r="A47" s="15">
        <f t="shared" si="4"/>
        <v>18</v>
      </c>
      <c r="B47" s="16">
        <f t="shared" ref="B47:B65" si="5">Smin+dS*A47</f>
        <v>36</v>
      </c>
      <c r="C47" s="26">
        <f>('EXP FD A'!C47*EurCall!D46+'EXP FD B'!C47*EurCall!D47+'EXP FD C'!C47*EurCall!D48)/(1+rate*dt)</f>
        <v>0.97299216596950844</v>
      </c>
      <c r="D47" s="28">
        <f>('EXP FD A'!D47*EurCall!E46+'EXP FD B'!D47*EurCall!E47+'EXP FD C'!D47*EurCall!E48)/(1+rate*dt)</f>
        <v>0.95435613257640084</v>
      </c>
      <c r="E47" s="28">
        <f>('EXP FD A'!E47*EurCall!F46+'EXP FD B'!E47*EurCall!F47+'EXP FD C'!E47*EurCall!F48)/(1+rate*dt)</f>
        <v>0.93559958498537132</v>
      </c>
      <c r="F47" s="28">
        <f>('EXP FD A'!F47*EurCall!G46+'EXP FD B'!F47*EurCall!G47+'EXP FD C'!F47*EurCall!G48)/(1+rate*dt)</f>
        <v>0.91672059588112409</v>
      </c>
      <c r="G47" s="28">
        <f>('EXP FD A'!G47*EurCall!H46+'EXP FD B'!G47*EurCall!H47+'EXP FD C'!G47*EurCall!H48)/(1+rate*dt)</f>
        <v>0.89771722453937131</v>
      </c>
      <c r="H47" s="28">
        <f>('EXP FD A'!H47*EurCall!I46+'EXP FD B'!H47*EurCall!I47+'EXP FD C'!H47*EurCall!I48)/(1+rate*dt)</f>
        <v>0.87858752196453882</v>
      </c>
      <c r="I47" s="28">
        <f>('EXP FD A'!I47*EurCall!J46+'EXP FD B'!I47*EurCall!J47+'EXP FD C'!I47*EurCall!J48)/(1+rate*dt)</f>
        <v>0.85932953709087756</v>
      </c>
      <c r="J47" s="28">
        <f>('EXP FD A'!J47*EurCall!K46+'EXP FD B'!J47*EurCall!K47+'EXP FD C'!J47*EurCall!K48)/(1+rate*dt)</f>
        <v>0.83994132423935464</v>
      </c>
      <c r="K47" s="28">
        <f>('EXP FD A'!K47*EurCall!L46+'EXP FD B'!K47*EurCall!L47+'EXP FD C'!K47*EurCall!L48)/(1+rate*dt)</f>
        <v>0.82042095205907295</v>
      </c>
      <c r="L47" s="28">
        <f>('EXP FD A'!L47*EurCall!M46+'EXP FD B'!L47*EurCall!M47+'EXP FD C'!L47*EurCall!M48)/(1+rate*dt)</f>
        <v>0.80076651422576928</v>
      </c>
      <c r="M47" s="28">
        <f>('EXP FD A'!M47*EurCall!N46+'EXP FD B'!M47*EurCall!N47+'EXP FD C'!M47*EurCall!N48)/(1+rate*dt)</f>
        <v>0.78097614222277212</v>
      </c>
      <c r="N47" s="28">
        <f>('EXP FD A'!N47*EurCall!O46+'EXP FD B'!N47*EurCall!O47+'EXP FD C'!N47*EurCall!O48)/(1+rate*dt)</f>
        <v>0.76104802059369059</v>
      </c>
      <c r="O47" s="28">
        <f>('EXP FD A'!O47*EurCall!P46+'EXP FD B'!O47*EurCall!P47+'EXP FD C'!O47*EurCall!P48)/(1+rate*dt)</f>
        <v>0.74098040513351082</v>
      </c>
      <c r="P47" s="28">
        <f>('EXP FD A'!P47*EurCall!Q46+'EXP FD B'!P47*EurCall!Q47+'EXP FD C'!P47*EurCall!Q48)/(1+rate*dt)</f>
        <v>0.72077164457878373</v>
      </c>
      <c r="Q47" s="28">
        <f>('EXP FD A'!Q47*EurCall!R46+'EXP FD B'!Q47*EurCall!R47+'EXP FD C'!Q47*EurCall!R48)/(1+rate*dt)</f>
        <v>0.70042020647197833</v>
      </c>
      <c r="R47" s="28">
        <f>('EXP FD A'!R47*EurCall!S46+'EXP FD B'!R47*EurCall!S47+'EXP FD C'!R47*EurCall!S48)/(1+rate*dt)</f>
        <v>0.67992470801458305</v>
      </c>
      <c r="S47" s="28">
        <f>('EXP FD A'!S47*EurCall!T46+'EXP FD B'!S47*EurCall!T47+'EXP FD C'!S47*EurCall!T48)/(1+rate*dt)</f>
        <v>0.65928395289400599</v>
      </c>
      <c r="T47" s="28">
        <f>('EXP FD A'!T47*EurCall!U46+'EXP FD B'!T47*EurCall!U47+'EXP FD C'!T47*EurCall!U48)/(1+rate*dt)</f>
        <v>0.63849697527806604</v>
      </c>
      <c r="U47" s="28">
        <f>('EXP FD A'!U47*EurCall!V46+'EXP FD B'!U47*EurCall!V47+'EXP FD C'!U47*EurCall!V48)/(1+rate*dt)</f>
        <v>0.61756309242694729</v>
      </c>
      <c r="V47" s="28">
        <f>('EXP FD A'!V47*EurCall!W46+'EXP FD B'!V47*EurCall!W47+'EXP FD C'!V47*EurCall!W48)/(1+rate*dt)</f>
        <v>0.59648196768724915</v>
      </c>
      <c r="W47" s="28">
        <f>('EXP FD A'!W47*EurCall!X46+'EXP FD B'!W47*EurCall!X47+'EXP FD C'!W47*EurCall!X48)/(1+rate*dt)</f>
        <v>0.57525368602033045</v>
      </c>
      <c r="X47" s="28">
        <f>('EXP FD A'!X47*EurCall!Y46+'EXP FD B'!X47*EurCall!Y47+'EXP FD C'!X47*EurCall!Y48)/(1+rate*dt)</f>
        <v>0.55387884469517112</v>
      </c>
      <c r="Y47" s="28">
        <f>('EXP FD A'!Y47*EurCall!Z46+'EXP FD B'!Y47*EurCall!Z47+'EXP FD C'!Y47*EurCall!Z48)/(1+rate*dt)</f>
        <v>0.53235866236650065</v>
      </c>
      <c r="Z47" s="28">
        <f>('EXP FD A'!Z47*EurCall!AA46+'EXP FD B'!Z47*EurCall!AA47+'EXP FD C'!Z47*EurCall!AA48)/(1+rate*dt)</f>
        <v>0.51069511048953276</v>
      </c>
      <c r="AA47" s="28">
        <f>('EXP FD A'!AA47*EurCall!AB46+'EXP FD B'!AA47*EurCall!AB47+'EXP FD C'!AA47*EurCall!AB48)/(1+rate*dt)</f>
        <v>0.48889107192771031</v>
      </c>
      <c r="AB47" s="28">
        <f>('EXP FD A'!AB47*EurCall!AC46+'EXP FD B'!AB47*EurCall!AC47+'EXP FD C'!AB47*EurCall!AC48)/(1+rate*dt)</f>
        <v>0.46695053273243786</v>
      </c>
      <c r="AC47" s="28">
        <f>('EXP FD A'!AC47*EurCall!AD46+'EXP FD B'!AC47*EurCall!AD47+'EXP FD C'!AC47*EurCall!AD48)/(1+rate*dt)</f>
        <v>0.44487881446757011</v>
      </c>
      <c r="AD47" s="28">
        <f>('EXP FD A'!AD47*EurCall!AE46+'EXP FD B'!AD47*EurCall!AE47+'EXP FD C'!AD47*EurCall!AE48)/(1+rate*dt)</f>
        <v>0.42268285618346041</v>
      </c>
      <c r="AE47" s="28">
        <f>('EXP FD A'!AE47*EurCall!AF46+'EXP FD B'!AE47*EurCall!AF47+'EXP FD C'!AE47*EurCall!AF48)/(1+rate*dt)</f>
        <v>0.40037155729920892</v>
      </c>
      <c r="AF47" s="28">
        <f>('EXP FD A'!AF47*EurCall!AG46+'EXP FD B'!AF47*EurCall!AG47+'EXP FD C'!AF47*EurCall!AG48)/(1+rate*dt)</f>
        <v>0.37795619533132047</v>
      </c>
      <c r="AG47" s="28">
        <f>('EXP FD A'!AG47*EurCall!AH46+'EXP FD B'!AG47*EurCall!AH47+'EXP FD C'!AG47*EurCall!AH48)/(1+rate*dt)</f>
        <v>0.3554509357413666</v>
      </c>
      <c r="AH47" s="28">
        <f>('EXP FD A'!AH47*EurCall!AI46+'EXP FD B'!AH47*EurCall!AI47+'EXP FD C'!AH47*EurCall!AI48)/(1+rate*dt)</f>
        <v>0.33287345532423979</v>
      </c>
      <c r="AI47" s="28">
        <f>('EXP FD A'!AI47*EurCall!AJ46+'EXP FD B'!AI47*EurCall!AJ47+'EXP FD C'!AI47*EurCall!AJ48)/(1+rate*dt)</f>
        <v>0.31024570571934862</v>
      </c>
      <c r="AJ47" s="28">
        <f>('EXP FD A'!AJ47*EurCall!AK46+'EXP FD B'!AJ47*EurCall!AK47+'EXP FD C'!AJ47*EurCall!AK48)/(1+rate*dt)</f>
        <v>0.28759485004173646</v>
      </c>
      <c r="AK47" s="28">
        <f>('EXP FD A'!AK47*EurCall!AL46+'EXP FD B'!AK47*EurCall!AL47+'EXP FD C'!AK47*EurCall!AL48)/(1+rate*dt)</f>
        <v>0.26495441359422267</v>
      </c>
      <c r="AL47" s="28">
        <f>('EXP FD A'!AL47*EurCall!AM46+'EXP FD B'!AL47*EurCall!AM47+'EXP FD C'!AL47*EurCall!AM48)/(1+rate*dt)</f>
        <v>0.24236569949346212</v>
      </c>
      <c r="AM47" s="28">
        <f>('EXP FD A'!AM47*EurCall!AN46+'EXP FD B'!AM47*EurCall!AN47+'EXP FD C'!AM47*EurCall!AN48)/(1+rate*dt)</f>
        <v>0.21987953225215817</v>
      </c>
      <c r="AN47" s="28">
        <f>('EXP FD A'!AN47*EurCall!AO46+'EXP FD B'!AN47*EurCall!AO47+'EXP FD C'!AN47*EurCall!AO48)/(1+rate*dt)</f>
        <v>0.19755840741580416</v>
      </c>
      <c r="AO47" s="28">
        <f>('EXP FD A'!AO47*EurCall!AP46+'EXP FD B'!AO47*EurCall!AP47+'EXP FD C'!AO47*EurCall!AP48)/(1+rate*dt)</f>
        <v>0.17547914384818927</v>
      </c>
      <c r="AP47" s="28">
        <f>('EXP FD A'!AP47*EurCall!AQ46+'EXP FD B'!AP47*EurCall!AQ47+'EXP FD C'!AP47*EurCall!AQ48)/(1+rate*dt)</f>
        <v>0.1537361578691962</v>
      </c>
      <c r="AQ47" s="28">
        <f>('EXP FD A'!AQ47*EurCall!AR46+'EXP FD B'!AQ47*EurCall!AR47+'EXP FD C'!AQ47*EurCall!AR48)/(1+rate*dt)</f>
        <v>0.1324455059096657</v>
      </c>
      <c r="AR47" s="28">
        <f>('EXP FD A'!AR47*EurCall!AS46+'EXP FD B'!AR47*EurCall!AS47+'EXP FD C'!AR47*EurCall!AS48)/(1+rate*dt)</f>
        <v>0.11174987542598519</v>
      </c>
      <c r="AS47" s="28">
        <f>('EXP FD A'!AS47*EurCall!AT46+'EXP FD B'!AS47*EurCall!AT47+'EXP FD C'!AS47*EurCall!AT48)/(1+rate*dt)</f>
        <v>9.1824743225881508E-2</v>
      </c>
      <c r="AT47" s="28">
        <f>('EXP FD A'!AT47*EurCall!AU46+'EXP FD B'!AT47*EurCall!AU47+'EXP FD C'!AT47*EurCall!AU48)/(1+rate*dt)</f>
        <v>7.2885966622488224E-2</v>
      </c>
      <c r="AU47" s="28">
        <f>('EXP FD A'!AU47*EurCall!AV46+'EXP FD B'!AU47*EurCall!AV47+'EXP FD C'!AU47*EurCall!AV48)/(1+rate*dt)</f>
        <v>5.5199126056729289E-2</v>
      </c>
      <c r="AV47" s="28">
        <f>('EXP FD A'!AV47*EurCall!AW46+'EXP FD B'!AV47*EurCall!AW47+'EXP FD C'!AV47*EurCall!AW48)/(1+rate*dt)</f>
        <v>3.90909972913537E-2</v>
      </c>
      <c r="AW47" s="28">
        <f>('EXP FD A'!AW47*EurCall!AX46+'EXP FD B'!AW47*EurCall!AX47+'EXP FD C'!AW47*EurCall!AX48)/(1+rate*dt)</f>
        <v>2.496359481242456E-2</v>
      </c>
      <c r="AX47" s="28">
        <f>('EXP FD A'!AX47*EurCall!AY46+'EXP FD B'!AX47*EurCall!AY47+'EXP FD C'!AX47*EurCall!AY48)/(1+rate*dt)</f>
        <v>1.3311291034633459E-2</v>
      </c>
      <c r="AY47" s="28">
        <f>('EXP FD A'!AY47*EurCall!AZ46+'EXP FD B'!AY47*EurCall!AZ47+'EXP FD C'!AY47*EurCall!AZ48)/(1+rate*dt)</f>
        <v>4.7415695811879582E-3</v>
      </c>
      <c r="AZ47" s="28">
        <f>('EXP FD A'!AZ47*EurCall!BA46+'EXP FD B'!AZ47*EurCall!BA47+'EXP FD C'!AZ47*EurCall!BA48)/(1+rate*dt)</f>
        <v>0</v>
      </c>
      <c r="BA47" s="6">
        <f t="shared" si="3"/>
        <v>0</v>
      </c>
    </row>
    <row r="48" spans="1:53" x14ac:dyDescent="0.2">
      <c r="A48" s="15">
        <f t="shared" si="4"/>
        <v>17</v>
      </c>
      <c r="B48" s="16">
        <f t="shared" si="5"/>
        <v>34</v>
      </c>
      <c r="C48" s="26">
        <f>('EXP FD A'!C48*EurCall!D47+'EXP FD B'!C48*EurCall!D48+'EXP FD C'!C48*EurCall!D49)/(1+rate*dt)</f>
        <v>0.47283337143787313</v>
      </c>
      <c r="D48" s="28">
        <f>('EXP FD A'!D48*EurCall!E47+'EXP FD B'!D48*EurCall!E48+'EXP FD C'!D48*EurCall!E49)/(1+rate*dt)</f>
        <v>0.45962904211355926</v>
      </c>
      <c r="E48" s="28">
        <f>('EXP FD A'!E48*EurCall!F47+'EXP FD B'!E48*EurCall!F48+'EXP FD C'!E48*EurCall!F49)/(1+rate*dt)</f>
        <v>0.44642603220308225</v>
      </c>
      <c r="F48" s="28">
        <f>('EXP FD A'!F48*EurCall!G47+'EXP FD B'!F48*EurCall!G48+'EXP FD C'!F48*EurCall!G49)/(1+rate*dt)</f>
        <v>0.43322715802893402</v>
      </c>
      <c r="G48" s="28">
        <f>('EXP FD A'!G48*EurCall!H47+'EXP FD B'!G48*EurCall!H48+'EXP FD C'!G48*EurCall!H49)/(1+rate*dt)</f>
        <v>0.42003547091364252</v>
      </c>
      <c r="H48" s="28">
        <f>('EXP FD A'!H48*EurCall!I47+'EXP FD B'!H48*EurCall!I48+'EXP FD C'!H48*EurCall!I49)/(1+rate*dt)</f>
        <v>0.40685427739369834</v>
      </c>
      <c r="I48" s="28">
        <f>('EXP FD A'!I48*EurCall!J47+'EXP FD B'!I48*EurCall!J48+'EXP FD C'!I48*EurCall!J49)/(1+rate*dt)</f>
        <v>0.39368716133446163</v>
      </c>
      <c r="J48" s="28">
        <f>('EXP FD A'!J48*EurCall!K47+'EXP FD B'!J48*EurCall!K48+'EXP FD C'!J48*EurCall!K49)/(1+rate*dt)</f>
        <v>0.38053800813367111</v>
      </c>
      <c r="K48" s="28">
        <f>('EXP FD A'!K48*EurCall!L47+'EXP FD B'!K48*EurCall!L48+'EXP FD C'!K48*EurCall!L49)/(1+rate*dt)</f>
        <v>0.36741103121848301</v>
      </c>
      <c r="L48" s="28">
        <f>('EXP FD A'!L48*EurCall!M47+'EXP FD B'!L48*EurCall!M48+'EXP FD C'!L48*EurCall!M49)/(1+rate*dt)</f>
        <v>0.35431080105915613</v>
      </c>
      <c r="M48" s="28">
        <f>('EXP FD A'!M48*EurCall!N47+'EXP FD B'!M48*EurCall!N48+'EXP FD C'!M48*EurCall!N49)/(1+rate*dt)</f>
        <v>0.34124227694133352</v>
      </c>
      <c r="N48" s="28">
        <f>('EXP FD A'!N48*EurCall!O47+'EXP FD B'!N48*EurCall!O48+'EXP FD C'!N48*EurCall!O49)/(1+rate*dt)</f>
        <v>0.32821084175798321</v>
      </c>
      <c r="O48" s="28">
        <f>('EXP FD A'!O48*EurCall!P47+'EXP FD B'!O48*EurCall!P48+'EXP FD C'!O48*EurCall!P49)/(1+rate*dt)</f>
        <v>0.3152223401009136</v>
      </c>
      <c r="P48" s="28">
        <f>('EXP FD A'!P48*EurCall!Q47+'EXP FD B'!P48*EurCall!Q48+'EXP FD C'!P48*EurCall!Q49)/(1+rate*dt)</f>
        <v>0.30228311994959672</v>
      </c>
      <c r="Q48" s="28">
        <f>('EXP FD A'!Q48*EurCall!R47+'EXP FD B'!Q48*EurCall!R48+'EXP FD C'!Q48*EurCall!R49)/(1+rate*dt)</f>
        <v>0.28940007827073289</v>
      </c>
      <c r="R48" s="28">
        <f>('EXP FD A'!R48*EurCall!S47+'EXP FD B'!R48*EurCall!S48+'EXP FD C'!R48*EurCall!S49)/(1+rate*dt)</f>
        <v>0.27658071085408048</v>
      </c>
      <c r="S48" s="28">
        <f>('EXP FD A'!S48*EurCall!T47+'EXP FD B'!S48*EurCall!T48+'EXP FD C'!S48*EurCall!T49)/(1+rate*dt)</f>
        <v>0.26383316671652768</v>
      </c>
      <c r="T48" s="28">
        <f>('EXP FD A'!T48*EurCall!U47+'EXP FD B'!T48*EurCall!U48+'EXP FD C'!T48*EurCall!U49)/(1+rate*dt)</f>
        <v>0.25116630740445844</v>
      </c>
      <c r="U48" s="28">
        <f>('EXP FD A'!U48*EurCall!V47+'EXP FD B'!U48*EurCall!V48+'EXP FD C'!U48*EurCall!V49)/(1+rate*dt)</f>
        <v>0.23858977151051464</v>
      </c>
      <c r="V48" s="28">
        <f>('EXP FD A'!V48*EurCall!W47+'EXP FD B'!V48*EurCall!W48+'EXP FD C'!V48*EurCall!W49)/(1+rate*dt)</f>
        <v>0.22611404469001736</v>
      </c>
      <c r="W48" s="28">
        <f>('EXP FD A'!W48*EurCall!X47+'EXP FD B'!W48*EurCall!X48+'EXP FD C'!W48*EurCall!X49)/(1+rate*dt)</f>
        <v>0.21375053540817618</v>
      </c>
      <c r="X48" s="28">
        <f>('EXP FD A'!X48*EurCall!Y47+'EXP FD B'!X48*EurCall!Y48+'EXP FD C'!X48*EurCall!Y49)/(1+rate*dt)</f>
        <v>0.20151165656334979</v>
      </c>
      <c r="Y48" s="28">
        <f>('EXP FD A'!Y48*EurCall!Z47+'EXP FD B'!Y48*EurCall!Z48+'EXP FD C'!Y48*EurCall!Z49)/(1+rate*dt)</f>
        <v>0.18941091300298676</v>
      </c>
      <c r="Z48" s="28">
        <f>('EXP FD A'!Z48*EurCall!AA47+'EXP FD B'!Z48*EurCall!AA48+'EXP FD C'!Z48*EurCall!AA49)/(1+rate*dt)</f>
        <v>0.17746299476305355</v>
      </c>
      <c r="AA48" s="28">
        <f>('EXP FD A'!AA48*EurCall!AB47+'EXP FD B'!AA48*EurCall!AB48+'EXP FD C'!AA48*EurCall!AB49)/(1+rate*dt)</f>
        <v>0.16568387560000528</v>
      </c>
      <c r="AB48" s="28">
        <f>('EXP FD A'!AB48*EurCall!AC47+'EXP FD B'!AB48*EurCall!AC48+'EXP FD C'!AB48*EurCall!AC49)/(1+rate*dt)</f>
        <v>0.15409091602233305</v>
      </c>
      <c r="AC48" s="28">
        <f>('EXP FD A'!AC48*EurCall!AD47+'EXP FD B'!AC48*EurCall!AD48+'EXP FD C'!AC48*EurCall!AD49)/(1+rate*dt)</f>
        <v>0.14270296953494702</v>
      </c>
      <c r="AD48" s="28">
        <f>('EXP FD A'!AD48*EurCall!AE47+'EXP FD B'!AD48*EurCall!AE48+'EXP FD C'!AD48*EurCall!AE49)/(1+rate*dt)</f>
        <v>0.13154049014345878</v>
      </c>
      <c r="AE48" s="28">
        <f>('EXP FD A'!AE48*EurCall!AF47+'EXP FD B'!AE48*EurCall!AF48+'EXP FD C'!AE48*EurCall!AF49)/(1+rate*dt)</f>
        <v>0.12062563827442742</v>
      </c>
      <c r="AF48" s="28">
        <f>('EXP FD A'!AF48*EurCall!AG47+'EXP FD B'!AF48*EurCall!AG48+'EXP FD C'!AF48*EurCall!AG49)/(1+rate*dt)</f>
        <v>0.10998238108448488</v>
      </c>
      <c r="AG48" s="28">
        <f>('EXP FD A'!AG48*EurCall!AH47+'EXP FD B'!AG48*EurCall!AH48+'EXP FD C'!AG48*EurCall!AH49)/(1+rate*dt)</f>
        <v>9.9636581569578567E-2</v>
      </c>
      <c r="AH48" s="28">
        <f>('EXP FD A'!AH48*EurCall!AI47+'EXP FD B'!AH48*EurCall!AI48+'EXP FD C'!AH48*EurCall!AI49)/(1+rate*dt)</f>
        <v>8.9616068834801652E-2</v>
      </c>
      <c r="AI48" s="28">
        <f>('EXP FD A'!AI48*EurCall!AJ47+'EXP FD B'!AI48*EurCall!AJ48+'EXP FD C'!AI48*EurCall!AJ49)/(1+rate*dt)</f>
        <v>7.9950679204254832E-2</v>
      </c>
      <c r="AJ48" s="28">
        <f>('EXP FD A'!AJ48*EurCall!AK47+'EXP FD B'!AJ48*EurCall!AK48+'EXP FD C'!AJ48*EurCall!AK49)/(1+rate*dt)</f>
        <v>7.0672254359275918E-2</v>
      </c>
      <c r="AK48" s="28">
        <f>('EXP FD A'!AK48*EurCall!AL47+'EXP FD B'!AK48*EurCall!AL48+'EXP FD C'!AK48*EurCall!AL49)/(1+rate*dt)</f>
        <v>6.1814578163745679E-2</v>
      </c>
      <c r="AL48" s="28">
        <f>('EXP FD A'!AL48*EurCall!AM47+'EXP FD B'!AL48*EurCall!AM48+'EXP FD C'!AL48*EurCall!AM49)/(1+rate*dt)</f>
        <v>5.3413227977691408E-2</v>
      </c>
      <c r="AM48" s="28">
        <f>('EXP FD A'!AM48*EurCall!AN47+'EXP FD B'!AM48*EurCall!AN48+'EXP FD C'!AM48*EurCall!AN49)/(1+rate*dt)</f>
        <v>4.5505308709804272E-2</v>
      </c>
      <c r="AN48" s="28">
        <f>('EXP FD A'!AN48*EurCall!AO47+'EXP FD B'!AN48*EurCall!AO48+'EXP FD C'!AN48*EurCall!AO49)/(1+rate*dt)</f>
        <v>3.8129028156437358E-2</v>
      </c>
      <c r="AO48" s="28">
        <f>('EXP FD A'!AO48*EurCall!AP47+'EXP FD B'!AO48*EurCall!AP48+'EXP FD C'!AO48*EurCall!AP49)/(1+rate*dt)</f>
        <v>3.1323059744119905E-2</v>
      </c>
      <c r="AP48" s="28">
        <f>('EXP FD A'!AP48*EurCall!AQ47+'EXP FD B'!AP48*EurCall!AQ48+'EXP FD C'!AP48*EurCall!AQ49)/(1+rate*dt)</f>
        <v>2.5125622918520656E-2</v>
      </c>
      <c r="AQ48" s="28">
        <f>('EXP FD A'!AQ48*EurCall!AR47+'EXP FD B'!AQ48*EurCall!AR48+'EXP FD C'!AQ48*EurCall!AR49)/(1+rate*dt)</f>
        <v>1.9573191219082485E-2</v>
      </c>
      <c r="AR48" s="28">
        <f>('EXP FD A'!AR48*EurCall!AS47+'EXP FD B'!AR48*EurCall!AS48+'EXP FD C'!AR48*EurCall!AS49)/(1+rate*dt)</f>
        <v>1.4698712457501407E-2</v>
      </c>
      <c r="AS48" s="28">
        <f>('EXP FD A'!AS48*EurCall!AT47+'EXP FD B'!AS48*EurCall!AT48+'EXP FD C'!AS48*EurCall!AT49)/(1+rate*dt)</f>
        <v>1.0529193057606271E-2</v>
      </c>
      <c r="AT48" s="28">
        <f>('EXP FD A'!AT48*EurCall!AU47+'EXP FD B'!AT48*EurCall!AU48+'EXP FD C'!AT48*EurCall!AU49)/(1+rate*dt)</f>
        <v>7.0824579269228487E-3</v>
      </c>
      <c r="AU48" s="28">
        <f>('EXP FD A'!AU48*EurCall!AV47+'EXP FD B'!AU48*EurCall!AV48+'EXP FD C'!AU48*EurCall!AV49)/(1+rate*dt)</f>
        <v>4.3628463428282737E-3</v>
      </c>
      <c r="AV48" s="28">
        <f>('EXP FD A'!AV48*EurCall!AW47+'EXP FD B'!AV48*EurCall!AW48+'EXP FD C'!AV48*EurCall!AW49)/(1+rate*dt)</f>
        <v>2.3555410872482096E-3</v>
      </c>
      <c r="AW48" s="28">
        <f>('EXP FD A'!AW48*EurCall!AX47+'EXP FD B'!AW48*EurCall!AX48+'EXP FD C'!AW48*EurCall!AX49)/(1+rate*dt)</f>
        <v>1.0191500403475611E-3</v>
      </c>
      <c r="AX48" s="28">
        <f>('EXP FD A'!AX48*EurCall!AY47+'EXP FD B'!AX48*EurCall!AY48+'EXP FD C'!AX48*EurCall!AY49)/(1+rate*dt)</f>
        <v>2.7606408566038587E-4</v>
      </c>
      <c r="AY48" s="28">
        <f>('EXP FD A'!AY48*EurCall!AZ47+'EXP FD B'!AY48*EurCall!AZ48+'EXP FD C'!AY48*EurCall!AZ49)/(1+rate*dt)</f>
        <v>0</v>
      </c>
      <c r="AZ48" s="28">
        <f>('EXP FD A'!AZ48*EurCall!BA47+'EXP FD B'!AZ48*EurCall!BA48+'EXP FD C'!AZ48*EurCall!BA49)/(1+rate*dt)</f>
        <v>0</v>
      </c>
      <c r="BA48" s="6">
        <f t="shared" ref="BA48:BA64" si="6">MAX(B48-K,0)</f>
        <v>0</v>
      </c>
    </row>
    <row r="49" spans="1:53" x14ac:dyDescent="0.2">
      <c r="A49" s="15">
        <f t="shared" si="4"/>
        <v>16</v>
      </c>
      <c r="B49" s="16">
        <f t="shared" si="5"/>
        <v>32</v>
      </c>
      <c r="C49" s="26">
        <f>('EXP FD A'!C49*EurCall!D48+'EXP FD B'!C49*EurCall!D49+'EXP FD C'!C49*EurCall!D50)/(1+rate*dt)</f>
        <v>0.19580687803173005</v>
      </c>
      <c r="D49" s="28">
        <f>('EXP FD A'!D49*EurCall!E48+'EXP FD B'!D49*EurCall!E49+'EXP FD C'!D49*EurCall!E50)/(1+rate*dt)</f>
        <v>0.18812553275733873</v>
      </c>
      <c r="E49" s="28">
        <f>('EXP FD A'!E49*EurCall!F48+'EXP FD B'!E49*EurCall!F49+'EXP FD C'!E49*EurCall!F50)/(1+rate*dt)</f>
        <v>0.1805238317993165</v>
      </c>
      <c r="F49" s="28">
        <f>('EXP FD A'!F49*EurCall!G48+'EXP FD B'!F49*EurCall!G49+'EXP FD C'!F49*EurCall!G50)/(1+rate*dt)</f>
        <v>0.17300563396470162</v>
      </c>
      <c r="G49" s="28">
        <f>('EXP FD A'!G49*EurCall!H48+'EXP FD B'!G49*EurCall!H49+'EXP FD C'!G49*EurCall!H50)/(1+rate*dt)</f>
        <v>0.16557496317220396</v>
      </c>
      <c r="H49" s="28">
        <f>('EXP FD A'!H49*EurCall!I48+'EXP FD B'!H49*EurCall!I49+'EXP FD C'!H49*EurCall!I50)/(1+rate*dt)</f>
        <v>0.15823601383557595</v>
      </c>
      <c r="I49" s="28">
        <f>('EXP FD A'!I49*EurCall!J48+'EXP FD B'!I49*EurCall!J49+'EXP FD C'!I49*EurCall!J50)/(1+rate*dt)</f>
        <v>0.15099315601313823</v>
      </c>
      <c r="J49" s="28">
        <f>('EXP FD A'!J49*EurCall!K48+'EXP FD B'!J49*EurCall!K49+'EXP FD C'!J49*EurCall!K50)/(1+rate*dt)</f>
        <v>0.14385094022262632</v>
      </c>
      <c r="K49" s="28">
        <f>('EXP FD A'!K49*EurCall!L48+'EXP FD B'!K49*EurCall!L49+'EXP FD C'!K49*EurCall!L50)/(1+rate*dt)</f>
        <v>0.13681410180064374</v>
      </c>
      <c r="L49" s="28">
        <f>('EXP FD A'!L49*EurCall!M48+'EXP FD B'!L49*EurCall!M49+'EXP FD C'!L49*EurCall!M50)/(1+rate*dt)</f>
        <v>0.12988756466284698</v>
      </c>
      <c r="M49" s="28">
        <f>('EXP FD A'!M49*EurCall!N48+'EXP FD B'!M49*EurCall!N49+'EXP FD C'!M49*EurCall!N50)/(1+rate*dt)</f>
        <v>0.12307644429407937</v>
      </c>
      <c r="N49" s="28">
        <f>('EXP FD A'!N49*EurCall!O48+'EXP FD B'!N49*EurCall!O49+'EXP FD C'!N49*EurCall!O50)/(1+rate*dt)</f>
        <v>0.11638604976649455</v>
      </c>
      <c r="O49" s="28">
        <f>('EXP FD A'!O49*EurCall!P48+'EXP FD B'!O49*EurCall!P49+'EXP FD C'!O49*EurCall!P50)/(1+rate*dt)</f>
        <v>0.10982188454770406</v>
      </c>
      <c r="P49" s="28">
        <f>('EXP FD A'!P49*EurCall!Q48+'EXP FD B'!P49*EurCall!Q49+'EXP FD C'!P49*EurCall!Q50)/(1+rate*dt)</f>
        <v>0.10338964581953256</v>
      </c>
      <c r="Q49" s="28">
        <f>('EXP FD A'!Q49*EurCall!R48+'EXP FD B'!Q49*EurCall!R49+'EXP FD C'!Q49*EurCall!R50)/(1+rate*dt)</f>
        <v>9.7095221980429858E-2</v>
      </c>
      <c r="R49" s="28">
        <f>('EXP FD A'!R49*EurCall!S48+'EXP FD B'!R49*EurCall!S49+'EXP FD C'!R49*EurCall!S50)/(1+rate*dt)</f>
        <v>9.0944687950301376E-2</v>
      </c>
      <c r="S49" s="28">
        <f>('EXP FD A'!S49*EurCall!T48+'EXP FD B'!S49*EurCall!T49+'EXP FD C'!S49*EurCall!T50)/(1+rate*dt)</f>
        <v>8.4944297834816745E-2</v>
      </c>
      <c r="T49" s="28">
        <f>('EXP FD A'!T49*EurCall!U48+'EXP FD B'!T49*EurCall!U49+'EXP FD C'!T49*EurCall!U50)/(1+rate*dt)</f>
        <v>7.910047443651548E-2</v>
      </c>
      <c r="U49" s="28">
        <f>('EXP FD A'!U49*EurCall!V48+'EXP FD B'!U49*EurCall!V49+'EXP FD C'!U49*EurCall!V50)/(1+rate*dt)</f>
        <v>7.3419795021708645E-2</v>
      </c>
      <c r="V49" s="28">
        <f>('EXP FD A'!V49*EurCall!W48+'EXP FD B'!V49*EurCall!W49+'EXP FD C'!V49*EurCall!W50)/(1+rate*dt)</f>
        <v>6.7908972664901687E-2</v>
      </c>
      <c r="W49" s="28">
        <f>('EXP FD A'!W49*EurCall!X48+'EXP FD B'!W49*EurCall!X49+'EXP FD C'!W49*EurCall!X50)/(1+rate*dt)</f>
        <v>6.2574832396115887E-2</v>
      </c>
      <c r="X49" s="28">
        <f>('EXP FD A'!X49*EurCall!Y48+'EXP FD B'!X49*EurCall!Y49+'EXP FD C'!X49*EurCall!Y50)/(1+rate*dt)</f>
        <v>5.7424281271349922E-2</v>
      </c>
      <c r="Y49" s="28">
        <f>('EXP FD A'!Y49*EurCall!Z48+'EXP FD B'!Y49*EurCall!Z49+'EXP FD C'!Y49*EurCall!Z50)/(1+rate*dt)</f>
        <v>5.2464271373368468E-2</v>
      </c>
      <c r="Z49" s="28">
        <f>('EXP FD A'!Z49*EurCall!AA48+'EXP FD B'!Z49*EurCall!AA49+'EXP FD C'!Z49*EurCall!AA50)/(1+rate*dt)</f>
        <v>4.7701754630750923E-2</v>
      </c>
      <c r="AA49" s="28">
        <f>('EXP FD A'!AA49*EurCall!AB48+'EXP FD B'!AA49*EurCall!AB49+'EXP FD C'!AA49*EurCall!AB50)/(1+rate*dt)</f>
        <v>4.3143628220586205E-2</v>
      </c>
      <c r="AB49" s="28">
        <f>('EXP FD A'!AB49*EurCall!AC48+'EXP FD B'!AB49*EurCall!AC49+'EXP FD C'!AB49*EurCall!AC50)/(1+rate*dt)</f>
        <v>3.8796669198914925E-2</v>
      </c>
      <c r="AC49" s="28">
        <f>('EXP FD A'!AC49*EurCall!AD48+'EXP FD B'!AC49*EurCall!AD49+'EXP FD C'!AC49*EurCall!AD50)/(1+rate*dt)</f>
        <v>3.4667456889808282E-2</v>
      </c>
      <c r="AD49" s="28">
        <f>('EXP FD A'!AD49*EurCall!AE48+'EXP FD B'!AD49*EurCall!AE49+'EXP FD C'!AD49*EurCall!AE50)/(1+rate*dt)</f>
        <v>3.0762281468702714E-2</v>
      </c>
      <c r="AE49" s="28">
        <f>('EXP FD A'!AE49*EurCall!AF48+'EXP FD B'!AE49*EurCall!AF49+'EXP FD C'!AE49*EurCall!AF50)/(1+rate*dt)</f>
        <v>2.7087037112260008E-2</v>
      </c>
      <c r="AF49" s="28">
        <f>('EXP FD A'!AF49*EurCall!AG48+'EXP FD B'!AF49*EurCall!AG49+'EXP FD C'!AF49*EurCall!AG50)/(1+rate*dt)</f>
        <v>2.3647098075060394E-2</v>
      </c>
      <c r="AG49" s="28">
        <f>('EXP FD A'!AG49*EurCall!AH48+'EXP FD B'!AG49*EurCall!AH49+'EXP FD C'!AG49*EurCall!AH50)/(1+rate*dt)</f>
        <v>2.044717611961213E-2</v>
      </c>
      <c r="AH49" s="28">
        <f>('EXP FD A'!AH49*EurCall!AI48+'EXP FD B'!AH49*EurCall!AI49+'EXP FD C'!AH49*EurCall!AI50)/(1+rate*dt)</f>
        <v>1.7491157906834406E-2</v>
      </c>
      <c r="AI49" s="28">
        <f>('EXP FD A'!AI49*EurCall!AJ48+'EXP FD B'!AI49*EurCall!AJ49+'EXP FD C'!AI49*EurCall!AJ50)/(1+rate*dt)</f>
        <v>1.4781921298324376E-2</v>
      </c>
      <c r="AJ49" s="28">
        <f>('EXP FD A'!AJ49*EurCall!AK48+'EXP FD B'!AJ49*EurCall!AK49+'EXP FD C'!AJ49*EurCall!AK50)/(1+rate*dt)</f>
        <v>1.2321130094838028E-2</v>
      </c>
      <c r="AK49" s="28">
        <f>('EXP FD A'!AK49*EurCall!AL48+'EXP FD B'!AK49*EurCall!AL49+'EXP FD C'!AK49*EurCall!AL50)/(1+rate*dt)</f>
        <v>1.0109007624463699E-2</v>
      </c>
      <c r="AL49" s="28">
        <f>('EXP FD A'!AL49*EurCall!AM48+'EXP FD B'!AL49*EurCall!AM49+'EXP FD C'!AL49*EurCall!AM50)/(1+rate*dt)</f>
        <v>8.1440909137561485E-3</v>
      </c>
      <c r="AM49" s="28">
        <f>('EXP FD A'!AM49*EurCall!AN48+'EXP FD B'!AM49*EurCall!AN49+'EXP FD C'!AM49*EurCall!AN50)/(1+rate*dt)</f>
        <v>6.4229690763832857E-3</v>
      </c>
      <c r="AN49" s="28">
        <f>('EXP FD A'!AN49*EurCall!AO48+'EXP FD B'!AN49*EurCall!AO49+'EXP FD C'!AN49*EurCall!AO50)/(1+rate*dt)</f>
        <v>4.94001223357508E-3</v>
      </c>
      <c r="AO49" s="28">
        <f>('EXP FD A'!AO49*EurCall!AP48+'EXP FD B'!AO49*EurCall!AP49+'EXP FD C'!AO49*EurCall!AP50)/(1+rate*dt)</f>
        <v>3.6871009949406828E-3</v>
      </c>
      <c r="AP49" s="28">
        <f>('EXP FD A'!AP49*EurCall!AQ48+'EXP FD B'!AP49*EurCall!AQ49+'EXP FD C'!AP49*EurCall!AQ50)/(1+rate*dt)</f>
        <v>2.6533716084269051E-3</v>
      </c>
      <c r="AQ49" s="28">
        <f>('EXP FD A'!AQ49*EurCall!AR48+'EXP FD B'!AQ49*EurCall!AR49+'EXP FD C'!AQ49*EurCall!AR50)/(1+rate*dt)</f>
        <v>1.8249987611285274E-3</v>
      </c>
      <c r="AR49" s="28">
        <f>('EXP FD A'!AR49*EurCall!AS48+'EXP FD B'!AR49*EurCall!AS49+'EXP FD C'!AR49*EurCall!AS50)/(1+rate*dt)</f>
        <v>1.185047225293365E-3</v>
      </c>
      <c r="AS49" s="28">
        <f>('EXP FD A'!AS49*EurCall!AT48+'EXP FD B'!AS49*EurCall!AT49+'EXP FD C'!AS49*EurCall!AT50)/(1+rate*dt)</f>
        <v>7.1343579347011449E-4</v>
      </c>
      <c r="AT49" s="28">
        <f>('EXP FD A'!AT49*EurCall!AU48+'EXP FD B'!AT49*EurCall!AU49+'EXP FD C'!AT49*EurCall!AU50)/(1+rate*dt)</f>
        <v>3.8707311711036604E-4</v>
      </c>
      <c r="AU49" s="28">
        <f>('EXP FD A'!AU49*EurCall!AV48+'EXP FD B'!AU49*EurCall!AV49+'EXP FD C'!AU49*EurCall!AV50)/(1+rate*dt)</f>
        <v>1.8024626699445233E-4</v>
      </c>
      <c r="AV49" s="28">
        <f>('EXP FD A'!AV49*EurCall!AW48+'EXP FD B'!AV49*EurCall!AW49+'EXP FD C'!AV49*EurCall!AW50)/(1+rate*dt)</f>
        <v>6.5370462641048144E-5</v>
      </c>
      <c r="AW49" s="28">
        <f>('EXP FD A'!AW49*EurCall!AX48+'EXP FD B'!AW49*EurCall!AX49+'EXP FD C'!AW49*EurCall!AX50)/(1+rate*dt)</f>
        <v>1.4244194610345396E-5</v>
      </c>
      <c r="AX49" s="28">
        <f>('EXP FD A'!AX49*EurCall!AY48+'EXP FD B'!AX49*EurCall!AY49+'EXP FD C'!AX49*EurCall!AY50)/(1+rate*dt)</f>
        <v>0</v>
      </c>
      <c r="AY49" s="28">
        <f>('EXP FD A'!AY49*EurCall!AZ48+'EXP FD B'!AY49*EurCall!AZ49+'EXP FD C'!AY49*EurCall!AZ50)/(1+rate*dt)</f>
        <v>0</v>
      </c>
      <c r="AZ49" s="28">
        <f>('EXP FD A'!AZ49*EurCall!BA48+'EXP FD B'!AZ49*EurCall!BA49+'EXP FD C'!AZ49*EurCall!BA50)/(1+rate*dt)</f>
        <v>0</v>
      </c>
      <c r="BA49" s="6">
        <f t="shared" si="6"/>
        <v>0</v>
      </c>
    </row>
    <row r="50" spans="1:53" x14ac:dyDescent="0.2">
      <c r="A50" s="15">
        <f t="shared" si="4"/>
        <v>15</v>
      </c>
      <c r="B50" s="16">
        <f t="shared" si="5"/>
        <v>30</v>
      </c>
      <c r="C50" s="26">
        <f>('EXP FD A'!C50*EurCall!D49+'EXP FD B'!C50*EurCall!D50+'EXP FD C'!C50*EurCall!D51)/(1+rate*dt)</f>
        <v>6.7320687296554438E-2</v>
      </c>
      <c r="D50" s="28">
        <f>('EXP FD A'!D50*EurCall!E49+'EXP FD B'!D50*EurCall!E50+'EXP FD C'!D50*EurCall!E51)/(1+rate*dt)</f>
        <v>6.3746685031195877E-2</v>
      </c>
      <c r="E50" s="28">
        <f>('EXP FD A'!E50*EurCall!F49+'EXP FD B'!E50*EurCall!F50+'EXP FD C'!E50*EurCall!F51)/(1+rate*dt)</f>
        <v>6.025914073289633E-2</v>
      </c>
      <c r="F50" s="28">
        <f>('EXP FD A'!F50*EurCall!G49+'EXP FD B'!F50*EurCall!G50+'EXP FD C'!F50*EurCall!G51)/(1+rate*dt)</f>
        <v>5.6859834446797687E-2</v>
      </c>
      <c r="G50" s="28">
        <f>('EXP FD A'!G50*EurCall!H49+'EXP FD B'!G50*EurCall!H50+'EXP FD C'!G50*EurCall!H51)/(1+rate*dt)</f>
        <v>5.355053157255122E-2</v>
      </c>
      <c r="H50" s="28">
        <f>('EXP FD A'!H50*EurCall!I49+'EXP FD B'!H50*EurCall!I50+'EXP FD C'!H50*EurCall!I51)/(1+rate*dt)</f>
        <v>5.0332976142416663E-2</v>
      </c>
      <c r="I50" s="28">
        <f>('EXP FD A'!I50*EurCall!J49+'EXP FD B'!I50*EurCall!J50+'EXP FD C'!I50*EurCall!J51)/(1+rate*dt)</f>
        <v>4.7208883346784664E-2</v>
      </c>
      <c r="J50" s="28">
        <f>('EXP FD A'!J50*EurCall!K49+'EXP FD B'!J50*EurCall!K50+'EXP FD C'!J50*EurCall!K51)/(1+rate*dt)</f>
        <v>4.4179931248269647E-2</v>
      </c>
      <c r="K50" s="28">
        <f>('EXP FD A'!K50*EurCall!L49+'EXP FD B'!K50*EurCall!L50+'EXP FD C'!K50*EurCall!L51)/(1+rate*dt)</f>
        <v>4.1247751624132661E-2</v>
      </c>
      <c r="L50" s="28">
        <f>('EXP FD A'!L50*EurCall!M49+'EXP FD B'!L50*EurCall!M50+'EXP FD C'!L50*EurCall!M51)/(1+rate*dt)</f>
        <v>3.84139198761786E-2</v>
      </c>
      <c r="M50" s="28">
        <f>('EXP FD A'!M50*EurCall!N49+'EXP FD B'!M50*EurCall!N50+'EXP FD C'!M50*EurCall!N51)/(1+rate*dt)</f>
        <v>3.5679943947671537E-2</v>
      </c>
      <c r="N50" s="28">
        <f>('EXP FD A'!N50*EurCall!O49+'EXP FD B'!N50*EurCall!O50+'EXP FD C'!N50*EurCall!O51)/(1+rate*dt)</f>
        <v>3.3047252188516681E-2</v>
      </c>
      <c r="O50" s="28">
        <f>('EXP FD A'!O50*EurCall!P49+'EXP FD B'!O50*EurCall!P50+'EXP FD C'!O50*EurCall!P51)/(1+rate*dt)</f>
        <v>3.0517180113318571E-2</v>
      </c>
      <c r="P50" s="28">
        <f>('EXP FD A'!P50*EurCall!Q49+'EXP FD B'!P50*EurCall!Q50+'EXP FD C'!P50*EurCall!Q51)/(1+rate*dt)</f>
        <v>2.8090956002359294E-2</v>
      </c>
      <c r="Q50" s="28">
        <f>('EXP FD A'!Q50*EurCall!R49+'EXP FD B'!Q50*EurCall!R50+'EXP FD C'!Q50*EurCall!R51)/(1+rate*dt)</f>
        <v>2.5769685303540995E-2</v>
      </c>
      <c r="R50" s="28">
        <f>('EXP FD A'!R50*EurCall!S49+'EXP FD B'!R50*EurCall!S50+'EXP FD C'!R50*EurCall!S51)/(1+rate*dt)</f>
        <v>2.3554333804484646E-2</v>
      </c>
      <c r="S50" s="28">
        <f>('EXP FD A'!S50*EurCall!T49+'EXP FD B'!S50*EurCall!T50+'EXP FD C'!S50*EurCall!T51)/(1+rate*dt)</f>
        <v>2.1445709558947812E-2</v>
      </c>
      <c r="T50" s="28">
        <f>('EXP FD A'!T50*EurCall!U49+'EXP FD B'!T50*EurCall!U50+'EXP FD C'!T50*EurCall!U51)/(1+rate*dt)</f>
        <v>1.9444443571302206E-2</v>
      </c>
      <c r="U50" s="28">
        <f>('EXP FD A'!U50*EurCall!V49+'EXP FD B'!U50*EurCall!V50+'EXP FD C'!U50*EurCall!V51)/(1+rate*dt)</f>
        <v>1.7550969267895324E-2</v>
      </c>
      <c r="V50" s="28">
        <f>('EXP FD A'!V50*EurCall!W49+'EXP FD B'!V50*EurCall!W50+'EXP FD C'!V50*EurCall!W51)/(1+rate*dt)</f>
        <v>1.5765500815730218E-2</v>
      </c>
      <c r="W50" s="28">
        <f>('EXP FD A'!W50*EurCall!X49+'EXP FD B'!W50*EurCall!X50+'EXP FD C'!W50*EurCall!X51)/(1+rate*dt)</f>
        <v>1.4088010388177728E-2</v>
      </c>
      <c r="X50" s="28">
        <f>('EXP FD A'!X50*EurCall!Y49+'EXP FD B'!X50*EurCall!Y50+'EXP FD C'!X50*EurCall!Y51)/(1+rate*dt)</f>
        <v>1.2518204525652719E-2</v>
      </c>
      <c r="Y50" s="28">
        <f>('EXP FD A'!Y50*EurCall!Z49+'EXP FD B'!Y50*EurCall!Z50+'EXP FD C'!Y50*EurCall!Z51)/(1+rate*dt)</f>
        <v>1.1055499797713435E-2</v>
      </c>
      <c r="Z50" s="28">
        <f>('EXP FD A'!Z50*EurCall!AA49+'EXP FD B'!Z50*EurCall!AA50+'EXP FD C'!Z50*EurCall!AA51)/(1+rate*dt)</f>
        <v>9.6989980433377625E-3</v>
      </c>
      <c r="AA50" s="28">
        <f>('EXP FD A'!AA50*EurCall!AB49+'EXP FD B'!AA50*EurCall!AB50+'EXP FD C'!AA50*EurCall!AB51)/(1+rate*dt)</f>
        <v>8.4474615496853908E-3</v>
      </c>
      <c r="AB50" s="28">
        <f>('EXP FD A'!AB50*EurCall!AC49+'EXP FD B'!AB50*EurCall!AC50+'EXP FD C'!AB50*EurCall!AC51)/(1+rate*dt)</f>
        <v>7.2992886279293423E-3</v>
      </c>
      <c r="AC50" s="28">
        <f>('EXP FD A'!AC50*EurCall!AD49+'EXP FD B'!AC50*EurCall!AD50+'EXP FD C'!AC50*EurCall!AD51)/(1+rate*dt)</f>
        <v>6.2524901590492385E-3</v>
      </c>
      <c r="AD50" s="28">
        <f>('EXP FD A'!AD50*EurCall!AE49+'EXP FD B'!AD50*EurCall!AE50+'EXP FD C'!AD50*EurCall!AE51)/(1+rate*dt)</f>
        <v>5.304667813833569E-3</v>
      </c>
      <c r="AE50" s="28">
        <f>('EXP FD A'!AE50*EurCall!AF49+'EXP FD B'!AE50*EurCall!AF50+'EXP FD C'!AE50*EurCall!AF51)/(1+rate*dt)</f>
        <v>4.4529948002187056E-3</v>
      </c>
      <c r="AF50" s="28">
        <f>('EXP FD A'!AF50*EurCall!AG49+'EXP FD B'!AF50*EurCall!AG50+'EXP FD C'!AF50*EurCall!AG51)/(1+rate*dt)</f>
        <v>3.6942001571258266E-3</v>
      </c>
      <c r="AG50" s="28">
        <f>('EXP FD A'!AG50*EurCall!AH49+'EXP FD B'!AG50*EurCall!AH50+'EXP FD C'!AG50*EurCall!AH51)/(1+rate*dt)</f>
        <v>3.0245577954733588E-3</v>
      </c>
      <c r="AH50" s="28">
        <f>('EXP FD A'!AH50*EurCall!AI49+'EXP FD B'!AH50*EurCall!AI50+'EXP FD C'!AH50*EurCall!AI51)/(1+rate*dt)</f>
        <v>2.4398816804681845E-3</v>
      </c>
      <c r="AI50" s="28">
        <f>('EXP FD A'!AI50*EurCall!AJ49+'EXP FD B'!AI50*EurCall!AJ50+'EXP FD C'!AI50*EurCall!AJ51)/(1+rate*dt)</f>
        <v>1.9355287483118226E-3</v>
      </c>
      <c r="AJ50" s="28">
        <f>('EXP FD A'!AJ50*EurCall!AK49+'EXP FD B'!AJ50*EurCall!AK50+'EXP FD C'!AJ50*EurCall!AK51)/(1+rate*dt)</f>
        <v>1.5064113449614217E-3</v>
      </c>
      <c r="AK50" s="28">
        <f>('EXP FD A'!AK50*EurCall!AL49+'EXP FD B'!AK50*EurCall!AL50+'EXP FD C'!AK50*EurCall!AL51)/(1+rate*dt)</f>
        <v>1.1470211491117594E-3</v>
      </c>
      <c r="AL50" s="28">
        <f>('EXP FD A'!AL50*EurCall!AM49+'EXP FD B'!AL50*EurCall!AM50+'EXP FD C'!AL50*EurCall!AM51)/(1+rate*dt)</f>
        <v>8.5146667339624442E-4</v>
      </c>
      <c r="AM50" s="28">
        <f>('EXP FD A'!AM50*EurCall!AN49+'EXP FD B'!AM50*EurCall!AN50+'EXP FD C'!AM50*EurCall!AN51)/(1+rate*dt)</f>
        <v>6.1352649437594739E-4</v>
      </c>
      <c r="AN50" s="28">
        <f>('EXP FD A'!AN50*EurCall!AO49+'EXP FD B'!AN50*EurCall!AO50+'EXP FD C'!AN50*EurCall!AO51)/(1+rate*dt)</f>
        <v>4.2672029740050495E-4</v>
      </c>
      <c r="AO50" s="28">
        <f>('EXP FD A'!AO50*EurCall!AP49+'EXP FD B'!AO50*EurCall!AP50+'EXP FD C'!AO50*EurCall!AP51)/(1+rate*dt)</f>
        <v>2.8439957345305914E-4</v>
      </c>
      <c r="AP50" s="28">
        <f>('EXP FD A'!AP50*EurCall!AQ49+'EXP FD B'!AP50*EurCall!AQ50+'EXP FD C'!AP50*EurCall!AQ51)/(1+rate*dt)</f>
        <v>1.79859284857749E-4</v>
      </c>
      <c r="AQ50" s="28">
        <f>('EXP FD A'!AQ50*EurCall!AR49+'EXP FD B'!AQ50*EurCall!AR50+'EXP FD C'!AQ50*EurCall!AR51)/(1+rate*dt)</f>
        <v>1.0647090775007688E-4</v>
      </c>
      <c r="AR50" s="28">
        <f>('EXP FD A'!AR50*EurCall!AS49+'EXP FD B'!AR50*EurCall!AS50+'EXP FD C'!AR50*EurCall!AS51)/(1+rate*dt)</f>
        <v>5.7835803861947105E-5</v>
      </c>
      <c r="AS50" s="28">
        <f>('EXP FD A'!AS50*EurCall!AT49+'EXP FD B'!AS50*EurCall!AT50+'EXP FD C'!AS50*EurCall!AT51)/(1+rate*dt)</f>
        <v>2.7955662664789089E-5</v>
      </c>
      <c r="AT50" s="28">
        <f>('EXP FD A'!AT50*EurCall!AU49+'EXP FD B'!AT50*EurCall!AU50+'EXP FD C'!AT50*EurCall!AU51)/(1+rate*dt)</f>
        <v>1.1413510084733862E-5</v>
      </c>
      <c r="AU50" s="28">
        <f>('EXP FD A'!AU50*EurCall!AV49+'EXP FD B'!AU50*EurCall!AV50+'EXP FD C'!AU50*EurCall!AV51)/(1+rate*dt)</f>
        <v>3.5541382295707982E-6</v>
      </c>
      <c r="AV50" s="28">
        <f>('EXP FD A'!AV50*EurCall!AW49+'EXP FD B'!AV50*EurCall!AW50+'EXP FD C'!AV50*EurCall!AW51)/(1+rate*dt)</f>
        <v>6.4629801554364518E-7</v>
      </c>
      <c r="AW50" s="28">
        <f>('EXP FD A'!AW50*EurCall!AX49+'EXP FD B'!AW50*EurCall!AX50+'EXP FD C'!AW50*EurCall!AX51)/(1+rate*dt)</f>
        <v>0</v>
      </c>
      <c r="AX50" s="28">
        <f>('EXP FD A'!AX50*EurCall!AY49+'EXP FD B'!AX50*EurCall!AY50+'EXP FD C'!AX50*EurCall!AY51)/(1+rate*dt)</f>
        <v>0</v>
      </c>
      <c r="AY50" s="28">
        <f>('EXP FD A'!AY50*EurCall!AZ49+'EXP FD B'!AY50*EurCall!AZ50+'EXP FD C'!AY50*EurCall!AZ51)/(1+rate*dt)</f>
        <v>0</v>
      </c>
      <c r="AZ50" s="28">
        <f>('EXP FD A'!AZ50*EurCall!BA49+'EXP FD B'!AZ50*EurCall!BA50+'EXP FD C'!AZ50*EurCall!BA51)/(1+rate*dt)</f>
        <v>0</v>
      </c>
      <c r="BA50" s="6">
        <f t="shared" si="6"/>
        <v>0</v>
      </c>
    </row>
    <row r="51" spans="1:53" x14ac:dyDescent="0.2">
      <c r="A51" s="15">
        <f t="shared" si="4"/>
        <v>14</v>
      </c>
      <c r="B51" s="16">
        <f t="shared" si="5"/>
        <v>28</v>
      </c>
      <c r="C51" s="26">
        <f>('EXP FD A'!C51*EurCall!D50+'EXP FD B'!C51*EurCall!D51+'EXP FD C'!C51*EurCall!D52)/(1+rate*dt)</f>
        <v>1.8741631416127169E-2</v>
      </c>
      <c r="D51" s="28">
        <f>('EXP FD A'!D51*EurCall!E50+'EXP FD B'!D51*EurCall!E51+'EXP FD C'!D51*EurCall!E52)/(1+rate*dt)</f>
        <v>1.7442552463120944E-2</v>
      </c>
      <c r="E51" s="28">
        <f>('EXP FD A'!E51*EurCall!F50+'EXP FD B'!E51*EurCall!F51+'EXP FD C'!E51*EurCall!F52)/(1+rate*dt)</f>
        <v>1.6196872394796755E-2</v>
      </c>
      <c r="F51" s="28">
        <f>('EXP FD A'!F51*EurCall!G50+'EXP FD B'!F51*EurCall!G51+'EXP FD C'!F51*EurCall!G52)/(1+rate*dt)</f>
        <v>1.500445271033625E-2</v>
      </c>
      <c r="G51" s="28">
        <f>('EXP FD A'!G51*EurCall!H50+'EXP FD B'!G51*EurCall!H51+'EXP FD C'!G51*EurCall!H52)/(1+rate*dt)</f>
        <v>1.3865092516743354E-2</v>
      </c>
      <c r="H51" s="28">
        <f>('EXP FD A'!H51*EurCall!I50+'EXP FD B'!H51*EurCall!I51+'EXP FD C'!H51*EurCall!I52)/(1+rate*dt)</f>
        <v>1.2778525081040727E-2</v>
      </c>
      <c r="I51" s="28">
        <f>('EXP FD A'!I51*EurCall!J50+'EXP FD B'!I51*EurCall!J51+'EXP FD C'!I51*EurCall!J52)/(1+rate*dt)</f>
        <v>1.174441437655145E-2</v>
      </c>
      <c r="J51" s="28">
        <f>('EXP FD A'!J51*EurCall!K50+'EXP FD B'!J51*EurCall!K51+'EXP FD C'!J51*EurCall!K52)/(1+rate*dt)</f>
        <v>1.0762351650979416E-2</v>
      </c>
      <c r="K51" s="28">
        <f>('EXP FD A'!K51*EurCall!L50+'EXP FD B'!K51*EurCall!L51+'EXP FD C'!K51*EurCall!L52)/(1+rate*dt)</f>
        <v>9.83185204856327E-3</v>
      </c>
      <c r="L51" s="28">
        <f>('EXP FD A'!L51*EurCall!M50+'EXP FD B'!L51*EurCall!M51+'EXP FD C'!L51*EurCall!M52)/(1+rate*dt)</f>
        <v>8.9523513235780314E-3</v>
      </c>
      <c r="M51" s="28">
        <f>('EXP FD A'!M51*EurCall!N50+'EXP FD B'!M51*EurCall!N51+'EXP FD C'!M51*EurCall!N52)/(1+rate*dt)</f>
        <v>8.1232026878984859E-3</v>
      </c>
      <c r="N51" s="28">
        <f>('EXP FD A'!N51*EurCall!O50+'EXP FD B'!N51*EurCall!O51+'EXP FD C'!N51*EurCall!O52)/(1+rate*dt)</f>
        <v>7.3436738412114835E-3</v>
      </c>
      <c r="O51" s="28">
        <f>('EXP FD A'!O51*EurCall!P50+'EXP FD B'!O51*EurCall!P51+'EXP FD C'!O51*EurCall!P52)/(1+rate*dt)</f>
        <v>6.6129442387481705E-3</v>
      </c>
      <c r="P51" s="28">
        <f>('EXP FD A'!P51*EurCall!Q50+'EXP FD B'!P51*EurCall!Q51+'EXP FD C'!P51*EurCall!Q52)/(1+rate*dt)</f>
        <v>5.9301026580615111E-3</v>
      </c>
      <c r="Q51" s="28">
        <f>('EXP FD A'!Q51*EurCall!R50+'EXP FD B'!Q51*EurCall!R51+'EXP FD C'!Q51*EurCall!R52)/(1+rate*dt)</f>
        <v>5.2941451333357401E-3</v>
      </c>
      <c r="R51" s="28">
        <f>('EXP FD A'!R51*EurCall!S50+'EXP FD B'!R51*EurCall!S51+'EXP FD C'!R51*EurCall!S52)/(1+rate*dt)</f>
        <v>4.7039733328901687E-3</v>
      </c>
      <c r="S51" s="28">
        <f>('EXP FD A'!S51*EurCall!T50+'EXP FD B'!S51*EurCall!T51+'EXP FD C'!S51*EurCall!T52)/(1+rate*dt)</f>
        <v>4.1583934628022963E-3</v>
      </c>
      <c r="T51" s="28">
        <f>('EXP FD A'!T51*EurCall!U50+'EXP FD B'!T51*EurCall!U51+'EXP FD C'!T51*EurCall!U52)/(1+rate*dt)</f>
        <v>3.6561157867533371E-3</v>
      </c>
      <c r="U51" s="28">
        <f>('EXP FD A'!U51*EurCall!V50+'EXP FD B'!U51*EurCall!V51+'EXP FD C'!U51*EurCall!V52)/(1+rate*dt)</f>
        <v>3.1957548590699704E-3</v>
      </c>
      <c r="V51" s="28">
        <f>('EXP FD A'!V51*EurCall!W50+'EXP FD B'!V51*EurCall!W51+'EXP FD C'!V51*EurCall!W52)/(1+rate*dt)</f>
        <v>2.7758305742141723E-3</v>
      </c>
      <c r="W51" s="28">
        <f>('EXP FD A'!W51*EurCall!X50+'EXP FD B'!W51*EurCall!X51+'EXP FD C'!W51*EurCall!X52)/(1+rate*dt)</f>
        <v>2.3947701413000485E-3</v>
      </c>
      <c r="X51" s="28">
        <f>('EXP FD A'!X51*EurCall!Y50+'EXP FD B'!X51*EurCall!Y51+'EXP FD C'!X51*EurCall!Y52)/(1+rate*dt)</f>
        <v>2.0509110961492672E-3</v>
      </c>
      <c r="Y51" s="28">
        <f>('EXP FD A'!Y51*EurCall!Z50+'EXP FD B'!Y51*EurCall!Z51+'EXP FD C'!Y51*EurCall!Z52)/(1+rate*dt)</f>
        <v>1.7425054653934801E-3</v>
      </c>
      <c r="Z51" s="28">
        <f>('EXP FD A'!Z51*EurCall!AA50+'EXP FD B'!Z51*EurCall!AA51+'EXP FD C'!Z51*EurCall!AA52)/(1+rate*dt)</f>
        <v>1.4677251965408658E-3</v>
      </c>
      <c r="AA51" s="28">
        <f>('EXP FD A'!AA51*EurCall!AB50+'EXP FD B'!AA51*EurCall!AB51+'EXP FD C'!AA51*EurCall!AB52)/(1+rate*dt)</f>
        <v>1.2246689639692204E-3</v>
      </c>
      <c r="AB51" s="28">
        <f>('EXP FD A'!AB51*EurCall!AC50+'EXP FD B'!AB51*EurCall!AC51+'EXP FD C'!AB51*EurCall!AC52)/(1+rate*dt)</f>
        <v>1.0113704525806482E-3</v>
      </c>
      <c r="AC51" s="28">
        <f>('EXP FD A'!AC51*EurCall!AD50+'EXP FD B'!AC51*EurCall!AD51+'EXP FD C'!AC51*EurCall!AD52)/(1+rate*dt)</f>
        <v>8.2580820730265446E-4</v>
      </c>
      <c r="AD51" s="28">
        <f>('EXP FD A'!AD51*EurCall!AE50+'EXP FD B'!AD51*EurCall!AE51+'EXP FD C'!AD51*EurCall!AE52)/(1+rate*dt)</f>
        <v>6.6591711655480555E-4</v>
      </c>
      <c r="AE51" s="28">
        <f>('EXP FD A'!AE51*EurCall!AF50+'EXP FD B'!AE51*EurCall!AF51+'EXP FD C'!AE51*EurCall!AF52)/(1+rate*dt)</f>
        <v>5.2960156989225837E-4</v>
      </c>
      <c r="AF51" s="28">
        <f>('EXP FD A'!AF51*EurCall!AG50+'EXP FD B'!AF51*EurCall!AG51+'EXP FD C'!AF51*EurCall!AG52)/(1+rate*dt)</f>
        <v>4.1475029284816301E-4</v>
      </c>
      <c r="AG51" s="28">
        <f>('EXP FD A'!AG51*EurCall!AH50+'EXP FD B'!AG51*EurCall!AH51+'EXP FD C'!AG51*EurCall!AH52)/(1+rate*dt)</f>
        <v>3.1925281401740655E-4</v>
      </c>
      <c r="AH51" s="28">
        <f>('EXP FD A'!AH51*EurCall!AI50+'EXP FD B'!AH51*EurCall!AI51+'EXP FD C'!AH51*EurCall!AI52)/(1+rate*dt)</f>
        <v>2.4101745914787188E-4</v>
      </c>
      <c r="AI51" s="28">
        <f>('EXP FD A'!AI51*EurCall!AJ50+'EXP FD B'!AI51*EurCall!AJ51+'EXP FD C'!AI51*EurCall!AJ52)/(1+rate*dt)</f>
        <v>1.7799069304158335E-4</v>
      </c>
      <c r="AJ51" s="28">
        <f>('EXP FD A'!AJ51*EurCall!AK50+'EXP FD B'!AJ51*EurCall!AK51+'EXP FD C'!AJ51*EurCall!AK52)/(1+rate*dt)</f>
        <v>1.2817754131247435E-4</v>
      </c>
      <c r="AK51" s="28">
        <f>('EXP FD A'!AK51*EurCall!AL50+'EXP FD B'!AK51*EurCall!AL51+'EXP FD C'!AK51*EurCall!AL52)/(1+rate*dt)</f>
        <v>8.966271993117122E-5</v>
      </c>
      <c r="AL51" s="28">
        <f>('EXP FD A'!AL51*EurCall!AM50+'EXP FD B'!AL51*EurCall!AM51+'EXP FD C'!AL51*EurCall!AM52)/(1+rate*dt)</f>
        <v>6.0631981332160893E-5</v>
      </c>
      <c r="AM51" s="28">
        <f>('EXP FD A'!AM51*EurCall!AN50+'EXP FD B'!AM51*EurCall!AN51+'EXP FD C'!AM51*EurCall!AN52)/(1+rate*dt)</f>
        <v>3.9393053376148235E-5</v>
      </c>
      <c r="AN51" s="28">
        <f>('EXP FD A'!AN51*EurCall!AO50+'EXP FD B'!AN51*EurCall!AO51+'EXP FD C'!AN51*EurCall!AO52)/(1+rate*dt)</f>
        <v>2.4395405439494731E-5</v>
      </c>
      <c r="AO51" s="28">
        <f>('EXP FD A'!AO51*EurCall!AP50+'EXP FD B'!AO51*EurCall!AP51+'EXP FD C'!AO51*EurCall!AP52)/(1+rate*dt)</f>
        <v>1.4247931151993023E-5</v>
      </c>
      <c r="AP51" s="28">
        <f>('EXP FD A'!AP51*EurCall!AQ50+'EXP FD B'!AP51*EurCall!AQ51+'EXP FD C'!AP51*EurCall!AQ52)/(1+rate*dt)</f>
        <v>7.73350092570194E-6</v>
      </c>
      <c r="AQ51" s="28">
        <f>('EXP FD A'!AQ51*EurCall!AR50+'EXP FD B'!AQ51*EurCall!AR51+'EXP FD C'!AQ51*EurCall!AR52)/(1+rate*dt)</f>
        <v>3.8192265146226582E-6</v>
      </c>
      <c r="AR51" s="28">
        <f>('EXP FD A'!AR51*EurCall!AS50+'EXP FD B'!AR51*EurCall!AS51+'EXP FD C'!AR51*EurCall!AS52)/(1+rate*dt)</f>
        <v>1.6612197962147854E-6</v>
      </c>
      <c r="AS51" s="28">
        <f>('EXP FD A'!AS51*EurCall!AT50+'EXP FD B'!AS51*EurCall!AT51+'EXP FD C'!AS51*EurCall!AT52)/(1+rate*dt)</f>
        <v>6.0265542802659997E-7</v>
      </c>
      <c r="AT51" s="28">
        <f>('EXP FD A'!AT51*EurCall!AU50+'EXP FD B'!AT51*EurCall!AU51+'EXP FD C'!AT51*EurCall!AU52)/(1+rate*dt)</f>
        <v>1.6411388082150189E-7</v>
      </c>
      <c r="AU51" s="28">
        <f>('EXP FD A'!AU51*EurCall!AV50+'EXP FD B'!AU51*EurCall!AV51+'EXP FD C'!AU51*EurCall!AV52)/(1+rate*dt)</f>
        <v>2.5559808524324955E-8</v>
      </c>
      <c r="AV51" s="28">
        <f>('EXP FD A'!AV51*EurCall!AW50+'EXP FD B'!AV51*EurCall!AW51+'EXP FD C'!AV51*EurCall!AW52)/(1+rate*dt)</f>
        <v>0</v>
      </c>
      <c r="AW51" s="28">
        <f>('EXP FD A'!AW51*EurCall!AX50+'EXP FD B'!AW51*EurCall!AX51+'EXP FD C'!AW51*EurCall!AX52)/(1+rate*dt)</f>
        <v>0</v>
      </c>
      <c r="AX51" s="28">
        <f>('EXP FD A'!AX51*EurCall!AY50+'EXP FD B'!AX51*EurCall!AY51+'EXP FD C'!AX51*EurCall!AY52)/(1+rate*dt)</f>
        <v>0</v>
      </c>
      <c r="AY51" s="28">
        <f>('EXP FD A'!AY51*EurCall!AZ50+'EXP FD B'!AY51*EurCall!AZ51+'EXP FD C'!AY51*EurCall!AZ52)/(1+rate*dt)</f>
        <v>0</v>
      </c>
      <c r="AZ51" s="28">
        <f>('EXP FD A'!AZ51*EurCall!BA50+'EXP FD B'!AZ51*EurCall!BA51+'EXP FD C'!AZ51*EurCall!BA52)/(1+rate*dt)</f>
        <v>0</v>
      </c>
      <c r="BA51" s="6">
        <f t="shared" si="6"/>
        <v>0</v>
      </c>
    </row>
    <row r="52" spans="1:53" x14ac:dyDescent="0.2">
      <c r="A52" s="15">
        <f t="shared" si="4"/>
        <v>13</v>
      </c>
      <c r="B52" s="16">
        <f t="shared" si="5"/>
        <v>26</v>
      </c>
      <c r="C52" s="26">
        <f>('EXP FD A'!C52*EurCall!D51+'EXP FD B'!C52*EurCall!D52+'EXP FD C'!C52*EurCall!D53)/(1+rate*dt)</f>
        <v>4.1279998590412941E-3</v>
      </c>
      <c r="D52" s="28">
        <f>('EXP FD A'!D52*EurCall!E51+'EXP FD B'!D52*EurCall!E52+'EXP FD C'!D52*EurCall!E53)/(1+rate*dt)</f>
        <v>3.7665573925846903E-3</v>
      </c>
      <c r="E52" s="28">
        <f>('EXP FD A'!E52*EurCall!F51+'EXP FD B'!E52*EurCall!F52+'EXP FD C'!E52*EurCall!F53)/(1+rate*dt)</f>
        <v>3.4269749218369173E-3</v>
      </c>
      <c r="F52" s="28">
        <f>('EXP FD A'!F52*EurCall!G51+'EXP FD B'!F52*EurCall!G52+'EXP FD C'!F52*EurCall!G53)/(1+rate*dt)</f>
        <v>3.1086787181405368E-3</v>
      </c>
      <c r="G52" s="28">
        <f>('EXP FD A'!G52*EurCall!H51+'EXP FD B'!G52*EurCall!H52+'EXP FD C'!G52*EurCall!H53)/(1+rate*dt)</f>
        <v>2.8110719651658254E-3</v>
      </c>
      <c r="H52" s="28">
        <f>('EXP FD A'!H52*EurCall!I51+'EXP FD B'!H52*EurCall!I52+'EXP FD C'!H52*EurCall!I53)/(1+rate*dt)</f>
        <v>2.533535398957031E-3</v>
      </c>
      <c r="I52" s="28">
        <f>('EXP FD A'!I52*EurCall!J51+'EXP FD B'!I52*EurCall!J52+'EXP FD C'!I52*EurCall!J53)/(1+rate*dt)</f>
        <v>2.2754280952285424E-3</v>
      </c>
      <c r="J52" s="28">
        <f>('EXP FD A'!J52*EurCall!K51+'EXP FD B'!J52*EurCall!K52+'EXP FD C'!J52*EurCall!K53)/(1+rate*dt)</f>
        <v>2.0360884133483574E-3</v>
      </c>
      <c r="K52" s="28">
        <f>('EXP FD A'!K52*EurCall!L51+'EXP FD B'!K52*EurCall!L52+'EXP FD C'!K52*EurCall!L53)/(1+rate*dt)</f>
        <v>1.8148351060903237E-3</v>
      </c>
      <c r="L52" s="28">
        <f>('EXP FD A'!L52*EurCall!M51+'EXP FD B'!L52*EurCall!M52+'EXP FD C'!L52*EurCall!M53)/(1+rate*dt)</f>
        <v>1.6109686036890854E-3</v>
      </c>
      <c r="M52" s="28">
        <f>('EXP FD A'!M52*EurCall!N51+'EXP FD B'!M52*EurCall!N52+'EXP FD C'!M52*EurCall!N53)/(1+rate*dt)</f>
        <v>1.4237724799628369E-3</v>
      </c>
      <c r="N52" s="28">
        <f>('EXP FD A'!N52*EurCall!O51+'EXP FD B'!N52*EurCall!O52+'EXP FD C'!N52*EurCall!O53)/(1+rate*dt)</f>
        <v>1.2525151072468989E-3</v>
      </c>
      <c r="O52" s="28">
        <f>('EXP FD A'!O52*EurCall!P51+'EXP FD B'!O52*EurCall!P52+'EXP FD C'!O52*EurCall!P53)/(1+rate*dt)</f>
        <v>1.0964515055722265E-3</v>
      </c>
      <c r="P52" s="28">
        <f>('EXP FD A'!P52*EurCall!Q51+'EXP FD B'!P52*EurCall!Q52+'EXP FD C'!P52*EurCall!Q53)/(1+rate*dt)</f>
        <v>9.5482538989215759E-4</v>
      </c>
      <c r="Q52" s="28">
        <f>('EXP FD A'!Q52*EurCall!R51+'EXP FD B'!Q52*EurCall!R52+'EXP FD C'!Q52*EurCall!R53)/(1+rate*dt)</f>
        <v>8.2687141717248066E-4</v>
      </c>
      <c r="R52" s="28">
        <f>('EXP FD A'!R52*EurCall!S51+'EXP FD B'!R52*EurCall!S52+'EXP FD C'!R52*EurCall!S53)/(1+rate*dt)</f>
        <v>7.1181763277889418E-4</v>
      </c>
      <c r="S52" s="28">
        <f>('EXP FD A'!S52*EurCall!T51+'EXP FD B'!S52*EurCall!T52+'EXP FD C'!S52*EurCall!T53)/(1+rate*dt)</f>
        <v>6.0888811278845319E-4</v>
      </c>
      <c r="T52" s="28">
        <f>('EXP FD A'!T52*EurCall!U51+'EXP FD B'!T52*EurCall!U52+'EXP FD C'!T52*EurCall!U53)/(1+rate*dt)</f>
        <v>5.1730579558712593E-4</v>
      </c>
      <c r="U52" s="28">
        <f>('EXP FD A'!U52*EurCall!V51+'EXP FD B'!U52*EurCall!V52+'EXP FD C'!U52*EurCall!V53)/(1+rate*dt)</f>
        <v>4.3629549236884785E-4</v>
      </c>
      <c r="V52" s="28">
        <f>('EXP FD A'!V52*EurCall!W51+'EXP FD B'!V52*EurCall!W52+'EXP FD C'!V52*EurCall!W53)/(1+rate*dt)</f>
        <v>3.6508706190508316E-4</v>
      </c>
      <c r="W52" s="28">
        <f>('EXP FD A'!W52*EurCall!X51+'EXP FD B'!W52*EurCall!X52+'EXP FD C'!W52*EurCall!X53)/(1+rate*dt)</f>
        <v>3.0291873020153368E-4</v>
      </c>
      <c r="X52" s="28">
        <f>('EXP FD A'!X52*EurCall!Y51+'EXP FD B'!X52*EurCall!Y52+'EXP FD C'!X52*EurCall!Y53)/(1+rate*dt)</f>
        <v>2.4904053040885227E-4</v>
      </c>
      <c r="Y52" s="28">
        <f>('EXP FD A'!Y52*EurCall!Z51+'EXP FD B'!Y52*EurCall!Z52+'EXP FD C'!Y52*EurCall!Z53)/(1+rate*dt)</f>
        <v>2.0271783263517965E-4</v>
      </c>
      <c r="Z52" s="28">
        <f>('EXP FD A'!Z52*EurCall!AA51+'EXP FD B'!Z52*EurCall!AA52+'EXP FD C'!Z52*EurCall!AA53)/(1+rate*dt)</f>
        <v>1.6323492717321605E-4</v>
      </c>
      <c r="AA52" s="28">
        <f>('EXP FD A'!AA52*EurCall!AB51+'EXP FD B'!AA52*EurCall!AB52+'EXP FD C'!AA52*EurCall!AB53)/(1+rate*dt)</f>
        <v>1.2989861818796537E-4</v>
      </c>
      <c r="AB52" s="28">
        <f>('EXP FD A'!AB52*EurCall!AC51+'EXP FD B'!AB52*EurCall!AC52+'EXP FD C'!AB52*EurCall!AC53)/(1+rate*dt)</f>
        <v>1.0204177823649873E-4</v>
      </c>
      <c r="AC52" s="28">
        <f>('EXP FD A'!AC52*EurCall!AD51+'EXP FD B'!AC52*EurCall!AD52+'EXP FD C'!AC52*EurCall!AD53)/(1+rate*dt)</f>
        <v>7.9026807278087055E-5</v>
      </c>
      <c r="AD52" s="28">
        <f>('EXP FD A'!AD52*EurCall!AE51+'EXP FD B'!AD52*EurCall!AE52+'EXP FD C'!AD52*EurCall!AE53)/(1+rate*dt)</f>
        <v>6.0248933307418467E-5</v>
      </c>
      <c r="AE52" s="28">
        <f>('EXP FD A'!AE52*EurCall!AF51+'EXP FD B'!AE52*EurCall!AF52+'EXP FD C'!AE52*EurCall!AF53)/(1+rate*dt)</f>
        <v>4.5139285695704964E-5</v>
      </c>
      <c r="AF52" s="28">
        <f>('EXP FD A'!AF52*EurCall!AG51+'EXP FD B'!AF52*EurCall!AG52+'EXP FD C'!AF52*EurCall!AG53)/(1+rate*dt)</f>
        <v>3.316766711865054E-5</v>
      </c>
      <c r="AG52" s="28">
        <f>('EXP FD A'!AG52*EurCall!AH51+'EXP FD B'!AG52*EurCall!AH52+'EXP FD C'!AG52*EurCall!AH53)/(1+rate*dt)</f>
        <v>2.3844946033261248E-5</v>
      </c>
      <c r="AH52" s="28">
        <f>('EXP FD A'!AH52*EurCall!AI51+'EXP FD B'!AH52*EurCall!AI52+'EXP FD C'!AH52*EurCall!AI53)/(1+rate*dt)</f>
        <v>1.672498957302489E-5</v>
      </c>
      <c r="AI52" s="28">
        <f>('EXP FD A'!AI52*EurCall!AJ51+'EXP FD B'!AI52*EurCall!AJ52+'EXP FD C'!AI52*EurCall!AJ53)/(1+rate*dt)</f>
        <v>1.1406057090695089E-5</v>
      </c>
      <c r="AJ52" s="28">
        <f>('EXP FD A'!AJ52*EurCall!AK51+'EXP FD B'!AJ52*EurCall!AK52+'EXP FD C'!AJ52*EurCall!AK53)/(1+rate*dt)</f>
        <v>7.5315781064307823E-6</v>
      </c>
      <c r="AK52" s="28">
        <f>('EXP FD A'!AK52*EurCall!AL51+'EXP FD B'!AK52*EurCall!AL52+'EXP FD C'!AK52*EurCall!AL53)/(1+rate*dt)</f>
        <v>4.7902459099739649E-6</v>
      </c>
      <c r="AL52" s="28">
        <f>('EXP FD A'!AL52*EurCall!AM51+'EXP FD B'!AL52*EurCall!AM52+'EXP FD C'!AL52*EurCall!AM53)/(1+rate*dt)</f>
        <v>2.9153703636251843E-6</v>
      </c>
      <c r="AM52" s="28">
        <f>('EXP FD A'!AM52*EurCall!AN51+'EXP FD B'!AM52*EurCall!AN52+'EXP FD C'!AM52*EurCall!AN53)/(1+rate*dt)</f>
        <v>1.6834514079941389E-6</v>
      </c>
      <c r="AN52" s="28">
        <f>('EXP FD A'!AN52*EurCall!AO51+'EXP FD B'!AN52*EurCall!AO52+'EXP FD C'!AN52*EurCall!AO53)/(1+rate*dt)</f>
        <v>9.1195916573299056E-7</v>
      </c>
      <c r="AO52" s="28">
        <f>('EXP FD A'!AO52*EurCall!AP51+'EXP FD B'!AO52*EurCall!AP52+'EXP FD C'!AO52*EurCall!AP53)/(1+rate*dt)</f>
        <v>4.5633796708996025E-7</v>
      </c>
      <c r="AP52" s="28">
        <f>('EXP FD A'!AP52*EurCall!AQ51+'EXP FD B'!AP52*EurCall!AQ52+'EXP FD C'!AP52*EurCall!AQ53)/(1+rate*dt)</f>
        <v>2.0629032946569549E-7</v>
      </c>
      <c r="AQ52" s="28">
        <f>('EXP FD A'!AQ52*EurCall!AR51+'EXP FD B'!AQ52*EurCall!AR52+'EXP FD C'!AQ52*EurCall!AR53)/(1+rate*dt)</f>
        <v>8.1442557437406495E-8</v>
      </c>
      <c r="AR52" s="28">
        <f>('EXP FD A'!AR52*EurCall!AS51+'EXP FD B'!AR52*EurCall!AS52+'EXP FD C'!AR52*EurCall!AS53)/(1+rate*dt)</f>
        <v>2.654489103822067E-8</v>
      </c>
      <c r="AS52" s="28">
        <f>('EXP FD A'!AS52*EurCall!AT51+'EXP FD B'!AS52*EurCall!AT52+'EXP FD C'!AS52*EurCall!AT53)/(1+rate*dt)</f>
        <v>6.4132906788400442E-9</v>
      </c>
      <c r="AT52" s="28">
        <f>('EXP FD A'!AT52*EurCall!AU51+'EXP FD B'!AT52*EurCall!AU52+'EXP FD C'!AT52*EurCall!AU53)/(1+rate*dt)</f>
        <v>8.7218485664975683E-10</v>
      </c>
      <c r="AU52" s="28">
        <f>('EXP FD A'!AU52*EurCall!AV51+'EXP FD B'!AU52*EurCall!AV52+'EXP FD C'!AU52*EurCall!AV53)/(1+rate*dt)</f>
        <v>0</v>
      </c>
      <c r="AV52" s="28">
        <f>('EXP FD A'!AV52*EurCall!AW51+'EXP FD B'!AV52*EurCall!AW52+'EXP FD C'!AV52*EurCall!AW53)/(1+rate*dt)</f>
        <v>0</v>
      </c>
      <c r="AW52" s="28">
        <f>('EXP FD A'!AW52*EurCall!AX51+'EXP FD B'!AW52*EurCall!AX52+'EXP FD C'!AW52*EurCall!AX53)/(1+rate*dt)</f>
        <v>0</v>
      </c>
      <c r="AX52" s="28">
        <f>('EXP FD A'!AX52*EurCall!AY51+'EXP FD B'!AX52*EurCall!AY52+'EXP FD C'!AX52*EurCall!AY53)/(1+rate*dt)</f>
        <v>0</v>
      </c>
      <c r="AY52" s="28">
        <f>('EXP FD A'!AY52*EurCall!AZ51+'EXP FD B'!AY52*EurCall!AZ52+'EXP FD C'!AY52*EurCall!AZ53)/(1+rate*dt)</f>
        <v>0</v>
      </c>
      <c r="AZ52" s="28">
        <f>('EXP FD A'!AZ52*EurCall!BA51+'EXP FD B'!AZ52*EurCall!BA52+'EXP FD C'!AZ52*EurCall!BA53)/(1+rate*dt)</f>
        <v>0</v>
      </c>
      <c r="BA52" s="6">
        <f t="shared" si="6"/>
        <v>0</v>
      </c>
    </row>
    <row r="53" spans="1:53" x14ac:dyDescent="0.2">
      <c r="A53" s="15">
        <f t="shared" si="4"/>
        <v>12</v>
      </c>
      <c r="B53" s="16">
        <f t="shared" si="5"/>
        <v>24</v>
      </c>
      <c r="C53" s="26">
        <f>('EXP FD A'!C53*EurCall!D52+'EXP FD B'!C53*EurCall!D53+'EXP FD C'!C53*EurCall!D54)/(1+rate*dt)</f>
        <v>7.041915382791353E-4</v>
      </c>
      <c r="D53" s="28">
        <f>('EXP FD A'!D53*EurCall!E52+'EXP FD B'!D53*EurCall!E53+'EXP FD C'!D53*EurCall!E54)/(1+rate*dt)</f>
        <v>6.2855992186047695E-4</v>
      </c>
      <c r="E53" s="28">
        <f>('EXP FD A'!E53*EurCall!F52+'EXP FD B'!E53*EurCall!F53+'EXP FD C'!E53*EurCall!F54)/(1+rate*dt)</f>
        <v>5.5910479047465204E-4</v>
      </c>
      <c r="F53" s="28">
        <f>('EXP FD A'!F53*EurCall!G52+'EXP FD B'!F53*EurCall!G53+'EXP FD C'!F53*EurCall!G54)/(1+rate*dt)</f>
        <v>4.955126228094978E-4</v>
      </c>
      <c r="G53" s="28">
        <f>('EXP FD A'!G53*EurCall!H52+'EXP FD B'!G53*EurCall!H53+'EXP FD C'!G53*EurCall!H54)/(1+rate*dt)</f>
        <v>4.3747183336703531E-4</v>
      </c>
      <c r="H53" s="28">
        <f>('EXP FD A'!H53*EurCall!I52+'EXP FD B'!H53*EurCall!I53+'EXP FD C'!H53*EurCall!I54)/(1+rate*dt)</f>
        <v>3.8467346933632082E-4</v>
      </c>
      <c r="I53" s="28">
        <f>('EXP FD A'!I53*EurCall!J52+'EXP FD B'!I53*EurCall!J53+'EXP FD C'!I53*EurCall!J54)/(1+rate*dt)</f>
        <v>3.3681192340755914E-4</v>
      </c>
      <c r="J53" s="28">
        <f>('EXP FD A'!J53*EurCall!K52+'EXP FD B'!J53*EurCall!K53+'EXP FD C'!J53*EurCall!K54)/(1+rate*dt)</f>
        <v>2.9358565907759791E-4</v>
      </c>
      <c r="K53" s="28">
        <f>('EXP FD A'!K53*EurCall!L52+'EXP FD B'!K53*EurCall!L53+'EXP FD C'!K53*EurCall!L54)/(1+rate*dt)</f>
        <v>2.5469794453131001E-4</v>
      </c>
      <c r="L53" s="28">
        <f>('EXP FD A'!L53*EurCall!M52+'EXP FD B'!L53*EurCall!M53+'EXP FD C'!L53*EurCall!M54)/(1+rate*dt)</f>
        <v>2.1985759070424274E-4</v>
      </c>
      <c r="M53" s="28">
        <f>('EXP FD A'!M53*EurCall!N52+'EXP FD B'!M53*EurCall!N53+'EXP FD C'!M53*EurCall!N54)/(1+rate*dt)</f>
        <v>1.8877968864481335E-4</v>
      </c>
      <c r="N53" s="28">
        <f>('EXP FD A'!N53*EurCall!O52+'EXP FD B'!N53*EurCall!O53+'EXP FD C'!N53*EurCall!O54)/(1+rate*dt)</f>
        <v>1.6118634080611172E-4</v>
      </c>
      <c r="O53" s="28">
        <f>('EXP FD A'!O53*EurCall!P52+'EXP FD B'!O53*EurCall!P53+'EXP FD C'!O53*EurCall!P54)/(1+rate*dt)</f>
        <v>1.3680738041631083E-4</v>
      </c>
      <c r="P53" s="28">
        <f>('EXP FD A'!P53*EurCall!Q52+'EXP FD B'!P53*EurCall!Q53+'EXP FD C'!P53*EurCall!Q54)/(1+rate*dt)</f>
        <v>1.1538107261264792E-4</v>
      </c>
      <c r="Q53" s="28">
        <f>('EXP FD A'!Q53*EurCall!R52+'EXP FD B'!Q53*EurCall!R53+'EXP FD C'!Q53*EurCall!R54)/(1+rate*dt)</f>
        <v>9.6654790588470517E-5</v>
      </c>
      <c r="R53" s="28">
        <f>('EXP FD A'!R53*EurCall!S52+'EXP FD B'!R53*EurCall!S53+'EXP FD C'!R53*EurCall!S54)/(1+rate*dt)</f>
        <v>8.0385659609303616E-5</v>
      </c>
      <c r="S53" s="28">
        <f>('EXP FD A'!S53*EurCall!T52+'EXP FD B'!S53*EurCall!T53+'EXP FD C'!S53*EurCall!T54)/(1+rate*dt)</f>
        <v>6.6341161417509249E-5</v>
      </c>
      <c r="T53" s="28">
        <f>('EXP FD A'!T53*EurCall!U52+'EXP FD B'!T53*EurCall!U53+'EXP FD C'!T53*EurCall!U54)/(1+rate*dt)</f>
        <v>5.4299691283012742E-5</v>
      </c>
      <c r="U53" s="28">
        <f>('EXP FD A'!U53*EurCall!V52+'EXP FD B'!U53*EurCall!V53+'EXP FD C'!U53*EurCall!V54)/(1+rate*dt)</f>
        <v>4.4051059788764314E-5</v>
      </c>
      <c r="V53" s="28">
        <f>('EXP FD A'!V53*EurCall!W52+'EXP FD B'!V53*EurCall!W53+'EXP FD C'!V53*EurCall!W54)/(1+rate*dt)</f>
        <v>3.5396931384858579E-5</v>
      </c>
      <c r="W53" s="28">
        <f>('EXP FD A'!W53*EurCall!X52+'EXP FD B'!W53*EurCall!X53+'EXP FD C'!W53*EurCall!X54)/(1+rate*dt)</f>
        <v>2.8151191826864399E-5</v>
      </c>
      <c r="X53" s="28">
        <f>('EXP FD A'!X53*EurCall!Y52+'EXP FD B'!X53*EurCall!Y53+'EXP FD C'!X53*EurCall!Y54)/(1+rate*dt)</f>
        <v>2.2140236855448982E-5</v>
      </c>
      <c r="Y53" s="28">
        <f>('EXP FD A'!Y53*EurCall!Z52+'EXP FD B'!Y53*EurCall!Z53+'EXP FD C'!Y53*EurCall!Z54)/(1+rate*dt)</f>
        <v>1.7203174900035702E-5</v>
      </c>
      <c r="Z53" s="28">
        <f>('EXP FD A'!Z53*EurCall!AA52+'EXP FD B'!Z53*EurCall!AA53+'EXP FD C'!Z53*EurCall!AA54)/(1+rate*dt)</f>
        <v>1.3191937223233241E-5</v>
      </c>
      <c r="AA53" s="28">
        <f>('EXP FD A'!AA53*EurCall!AB52+'EXP FD B'!AA53*EurCall!AB53+'EXP FD C'!AA53*EurCall!AB54)/(1+rate*dt)</f>
        <v>9.9712897883841137E-6</v>
      </c>
      <c r="AB53" s="28">
        <f>('EXP FD A'!AB53*EurCall!AC52+'EXP FD B'!AB53*EurCall!AC53+'EXP FD C'!AB53*EurCall!AC54)/(1+rate*dt)</f>
        <v>7.4187422508962121E-6</v>
      </c>
      <c r="AC53" s="28">
        <f>('EXP FD A'!AC53*EurCall!AD52+'EXP FD B'!AC53*EurCall!AD53+'EXP FD C'!AC53*EurCall!AD54)/(1+rate*dt)</f>
        <v>5.4243508624081097E-6</v>
      </c>
      <c r="AD53" s="28">
        <f>('EXP FD A'!AD53*EurCall!AE52+'EXP FD B'!AD53*EurCall!AE53+'EXP FD C'!AD53*EurCall!AE54)/(1+rate*dt)</f>
        <v>3.8904137470125277E-6</v>
      </c>
      <c r="AE53" s="28">
        <f>('EXP FD A'!AE53*EurCall!AF52+'EXP FD B'!AE53*EurCall!AF53+'EXP FD C'!AE53*EurCall!AF54)/(1+rate*dt)</f>
        <v>2.7310589644575585E-6</v>
      </c>
      <c r="AF53" s="28">
        <f>('EXP FD A'!AF53*EurCall!AG52+'EXP FD B'!AF53*EurCall!AG53+'EXP FD C'!AF53*EurCall!AG54)/(1+rate*dt)</f>
        <v>1.8717280094524768E-6</v>
      </c>
      <c r="AG53" s="28">
        <f>('EXP FD A'!AG53*EurCall!AH52+'EXP FD B'!AG53*EurCall!AH53+'EXP FD C'!AG53*EurCall!AH54)/(1+rate*dt)</f>
        <v>1.2485598879666588E-6</v>
      </c>
      <c r="AH53" s="28">
        <f>('EXP FD A'!AH53*EurCall!AI52+'EXP FD B'!AH53*EurCall!AI53+'EXP FD C'!AH53*EurCall!AI54)/(1+rate*dt)</f>
        <v>8.0768362220681569E-7</v>
      </c>
      <c r="AI53" s="28">
        <f>('EXP FD A'!AI53*EurCall!AJ52+'EXP FD B'!AI53*EurCall!AJ53+'EXP FD C'!AI53*EurCall!AJ54)/(1+rate*dt)</f>
        <v>5.0442990576280478E-7</v>
      </c>
      <c r="AJ53" s="28">
        <f>('EXP FD A'!AJ53*EurCall!AK52+'EXP FD B'!AJ53*EurCall!AK53+'EXP FD C'!AJ53*EurCall!AK54)/(1+rate*dt)</f>
        <v>3.0247557357355362E-7</v>
      </c>
      <c r="AK53" s="28">
        <f>('EXP FD A'!AK53*EurCall!AL52+'EXP FD B'!AK53*EurCall!AL53+'EXP FD C'!AK53*EurCall!AL54)/(1+rate*dt)</f>
        <v>1.7293745258135493E-7</v>
      </c>
      <c r="AL53" s="28">
        <f>('EXP FD A'!AL53*EurCall!AM52+'EXP FD B'!AL53*EurCall!AM53+'EXP FD C'!AL53*EurCall!AM54)/(1+rate*dt)</f>
        <v>9.3434869764047558E-8</v>
      </c>
      <c r="AM53" s="28">
        <f>('EXP FD A'!AM53*EurCall!AN52+'EXP FD B'!AM53*EurCall!AN53+'EXP FD C'!AM53*EurCall!AN54)/(1+rate*dt)</f>
        <v>4.7142430726564544E-8</v>
      </c>
      <c r="AN53" s="28">
        <f>('EXP FD A'!AN53*EurCall!AO52+'EXP FD B'!AN53*EurCall!AO53+'EXP FD C'!AN53*EurCall!AO54)/(1+rate*dt)</f>
        <v>2.1856424565802934E-8</v>
      </c>
      <c r="AO53" s="28">
        <f>('EXP FD A'!AO53*EurCall!AP52+'EXP FD B'!AO53*EurCall!AP53+'EXP FD C'!AO53*EurCall!AP54)/(1+rate*dt)</f>
        <v>9.0991072393176005E-9</v>
      </c>
      <c r="AP53" s="28">
        <f>('EXP FD A'!AP53*EurCall!AQ52+'EXP FD B'!AP53*EurCall!AQ53+'EXP FD C'!AP53*EurCall!AQ54)/(1+rate*dt)</f>
        <v>3.2848903636001305E-9</v>
      </c>
      <c r="AQ53" s="28">
        <f>('EXP FD A'!AQ53*EurCall!AR52+'EXP FD B'!AQ53*EurCall!AR53+'EXP FD C'!AQ53*EurCall!AR54)/(1+rate*dt)</f>
        <v>9.708324430979175E-10</v>
      </c>
      <c r="AR53" s="28">
        <f>('EXP FD A'!AR53*EurCall!AS52+'EXP FD B'!AR53*EurCall!AS53+'EXP FD C'!AR53*EurCall!AS54)/(1+rate*dt)</f>
        <v>2.1053369415561909E-10</v>
      </c>
      <c r="AS53" s="28">
        <f>('EXP FD A'!AS53*EurCall!AT52+'EXP FD B'!AS53*EurCall!AT53+'EXP FD C'!AS53*EurCall!AT54)/(1+rate*dt)</f>
        <v>2.5379310362989778E-11</v>
      </c>
      <c r="AT53" s="28">
        <f>('EXP FD A'!AT53*EurCall!AU52+'EXP FD B'!AT53*EurCall!AU53+'EXP FD C'!AT53*EurCall!AU54)/(1+rate*dt)</f>
        <v>0</v>
      </c>
      <c r="AU53" s="28">
        <f>('EXP FD A'!AU53*EurCall!AV52+'EXP FD B'!AU53*EurCall!AV53+'EXP FD C'!AU53*EurCall!AV54)/(1+rate*dt)</f>
        <v>0</v>
      </c>
      <c r="AV53" s="28">
        <f>('EXP FD A'!AV53*EurCall!AW52+'EXP FD B'!AV53*EurCall!AW53+'EXP FD C'!AV53*EurCall!AW54)/(1+rate*dt)</f>
        <v>0</v>
      </c>
      <c r="AW53" s="28">
        <f>('EXP FD A'!AW53*EurCall!AX52+'EXP FD B'!AW53*EurCall!AX53+'EXP FD C'!AW53*EurCall!AX54)/(1+rate*dt)</f>
        <v>0</v>
      </c>
      <c r="AX53" s="28">
        <f>('EXP FD A'!AX53*EurCall!AY52+'EXP FD B'!AX53*EurCall!AY53+'EXP FD C'!AX53*EurCall!AY54)/(1+rate*dt)</f>
        <v>0</v>
      </c>
      <c r="AY53" s="28">
        <f>('EXP FD A'!AY53*EurCall!AZ52+'EXP FD B'!AY53*EurCall!AZ53+'EXP FD C'!AY53*EurCall!AZ54)/(1+rate*dt)</f>
        <v>0</v>
      </c>
      <c r="AZ53" s="28">
        <f>('EXP FD A'!AZ53*EurCall!BA52+'EXP FD B'!AZ53*EurCall!BA53+'EXP FD C'!AZ53*EurCall!BA54)/(1+rate*dt)</f>
        <v>0</v>
      </c>
      <c r="BA53" s="6">
        <f t="shared" si="6"/>
        <v>0</v>
      </c>
    </row>
    <row r="54" spans="1:53" x14ac:dyDescent="0.2">
      <c r="A54" s="15">
        <f t="shared" si="4"/>
        <v>11</v>
      </c>
      <c r="B54" s="16">
        <f t="shared" si="5"/>
        <v>22</v>
      </c>
      <c r="C54" s="26">
        <f>('EXP FD A'!C54*EurCall!D53+'EXP FD B'!C54*EurCall!D54+'EXP FD C'!C54*EurCall!D55)/(1+rate*dt)</f>
        <v>9.1187125478617737E-5</v>
      </c>
      <c r="D54" s="28">
        <f>('EXP FD A'!D54*EurCall!E53+'EXP FD B'!D54*EurCall!E54+'EXP FD C'!D54*EurCall!E55)/(1+rate*dt)</f>
        <v>7.9475697211272068E-5</v>
      </c>
      <c r="E54" s="28">
        <f>('EXP FD A'!E54*EurCall!F53+'EXP FD B'!E54*EurCall!F54+'EXP FD C'!E54*EurCall!F55)/(1+rate*dt)</f>
        <v>6.8983336414163142E-5</v>
      </c>
      <c r="F54" s="28">
        <f>('EXP FD A'!F54*EurCall!G53+'EXP FD B'!F54*EurCall!G54+'EXP FD C'!F54*EurCall!G55)/(1+rate*dt)</f>
        <v>5.9617518618082075E-5</v>
      </c>
      <c r="G54" s="28">
        <f>('EXP FD A'!G54*EurCall!H53+'EXP FD B'!G54*EurCall!H54+'EXP FD C'!G54*EurCall!H55)/(1+rate*dt)</f>
        <v>5.128942067434142E-5</v>
      </c>
      <c r="H54" s="28">
        <f>('EXP FD A'!H54*EurCall!I53+'EXP FD B'!H54*EurCall!I54+'EXP FD C'!H54*EurCall!I55)/(1+rate*dt)</f>
        <v>4.3914012158083547E-5</v>
      </c>
      <c r="I54" s="28">
        <f>('EXP FD A'!I54*EurCall!J53+'EXP FD B'!I54*EurCall!J54+'EXP FD C'!I54*EurCall!J55)/(1+rate*dt)</f>
        <v>3.7410134012397482E-5</v>
      </c>
      <c r="J54" s="28">
        <f>('EXP FD A'!J54*EurCall!K53+'EXP FD B'!J54*EurCall!K54+'EXP FD C'!J54*EurCall!K55)/(1+rate*dt)</f>
        <v>3.1700563528563268E-5</v>
      </c>
      <c r="K54" s="28">
        <f>('EXP FD A'!K54*EurCall!L53+'EXP FD B'!K54*EurCall!L54+'EXP FD C'!K54*EurCall!L55)/(1+rate*dt)</f>
        <v>2.6712064807607663E-5</v>
      </c>
      <c r="L54" s="28">
        <f>('EXP FD A'!L54*EurCall!M53+'EXP FD B'!L54*EurCall!M54+'EXP FD C'!L54*EurCall!M55)/(1+rate*dt)</f>
        <v>2.2375423912486309E-5</v>
      </c>
      <c r="M54" s="28">
        <f>('EXP FD A'!M54*EurCall!N53+'EXP FD B'!M54*EurCall!N54+'EXP FD C'!M54*EurCall!N55)/(1+rate*dt)</f>
        <v>1.8625467999554121E-5</v>
      </c>
      <c r="N54" s="28">
        <f>('EXP FD A'!N54*EurCall!O53+'EXP FD B'!N54*EurCall!O54+'EXP FD C'!N54*EurCall!O55)/(1+rate*dt)</f>
        <v>1.5401067813373996E-5</v>
      </c>
      <c r="O54" s="28">
        <f>('EXP FD A'!O54*EurCall!P53+'EXP FD B'!O54*EurCall!P54+'EXP FD C'!O54*EurCall!P55)/(1+rate*dt)</f>
        <v>1.2645123041013269E-5</v>
      </c>
      <c r="P54" s="28">
        <f>('EXP FD A'!P54*EurCall!Q53+'EXP FD B'!P54*EurCall!Q54+'EXP FD C'!P54*EurCall!Q55)/(1+rate*dt)</f>
        <v>1.030453015124396E-5</v>
      </c>
      <c r="Q54" s="28">
        <f>('EXP FD A'!Q54*EurCall!R53+'EXP FD B'!Q54*EurCall!R54+'EXP FD C'!Q54*EurCall!R55)/(1+rate*dt)</f>
        <v>8.330132490693194E-6</v>
      </c>
      <c r="R54" s="28">
        <f>('EXP FD A'!R54*EurCall!S53+'EXP FD B'!R54*EurCall!S54+'EXP FD C'!R54*EurCall!S55)/(1+rate*dt)</f>
        <v>6.6766525728557788E-6</v>
      </c>
      <c r="S54" s="28">
        <f>('EXP FD A'!S54*EurCall!T53+'EXP FD B'!S54*EurCall!T54+'EXP FD C'!S54*EurCall!T55)/(1+rate*dt)</f>
        <v>5.3026066764689292E-6</v>
      </c>
      <c r="T54" s="28">
        <f>('EXP FD A'!T54*EurCall!U53+'EXP FD B'!T54*EurCall!U54+'EXP FD C'!T54*EurCall!U55)/(1+rate*dt)</f>
        <v>4.1702020660897558E-6</v>
      </c>
      <c r="U54" s="28">
        <f>('EXP FD A'!U54*EurCall!V53+'EXP FD B'!U54*EurCall!V54+'EXP FD C'!U54*EurCall!V55)/(1+rate*dt)</f>
        <v>3.2452173583134385E-6</v>
      </c>
      <c r="V54" s="28">
        <f>('EXP FD A'!V54*EurCall!W53+'EXP FD B'!V54*EurCall!W54+'EXP FD C'!V54*EurCall!W55)/(1+rate*dt)</f>
        <v>2.4968667798282412E-6</v>
      </c>
      <c r="W54" s="28">
        <f>('EXP FD A'!W54*EurCall!X53+'EXP FD B'!W54*EurCall!X54+'EXP FD C'!W54*EurCall!X55)/(1+rate*dt)</f>
        <v>1.8976492956556912E-6</v>
      </c>
      <c r="X54" s="28">
        <f>('EXP FD A'!X54*EurCall!Y53+'EXP FD B'!X54*EurCall!Y54+'EXP FD C'!X54*EurCall!Y55)/(1+rate*dt)</f>
        <v>1.4231838239656731E-6</v>
      </c>
      <c r="Y54" s="28">
        <f>('EXP FD A'!Y54*EurCall!Z53+'EXP FD B'!Y54*EurCall!Z54+'EXP FD C'!Y54*EurCall!Z55)/(1+rate*dt)</f>
        <v>1.0520319934871498E-6</v>
      </c>
      <c r="Z54" s="28">
        <f>('EXP FD A'!Z54*EurCall!AA53+'EXP FD B'!Z54*EurCall!AA54+'EXP FD C'!Z54*EurCall!AA55)/(1+rate*dt)</f>
        <v>7.6551013561791915E-7</v>
      </c>
      <c r="AA54" s="28">
        <f>('EXP FD A'!AA54*EurCall!AB53+'EXP FD B'!AA54*EurCall!AB54+'EXP FD C'!AA54*EurCall!AB55)/(1+rate*dt)</f>
        <v>5.4749242987441753E-7</v>
      </c>
      <c r="AB54" s="28">
        <f>('EXP FD A'!AB54*EurCall!AC53+'EXP FD B'!AB54*EurCall!AC54+'EXP FD C'!AB54*EurCall!AC55)/(1+rate*dt)</f>
        <v>3.8420733146774539E-7</v>
      </c>
      <c r="AC54" s="28">
        <f>('EXP FD A'!AC54*EurCall!AD53+'EXP FD B'!AC54*EurCall!AD54+'EXP FD C'!AC54*EurCall!AD55)/(1+rate*dt)</f>
        <v>2.6402959589548654E-7</v>
      </c>
      <c r="AD54" s="28">
        <f>('EXP FD A'!AD54*EurCall!AE53+'EXP FD B'!AD54*EurCall!AE54+'EXP FD C'!AD54*EurCall!AE55)/(1+rate*dt)</f>
        <v>1.7727036914901659E-7</v>
      </c>
      <c r="AE54" s="28">
        <f>('EXP FD A'!AE54*EurCall!AF53+'EXP FD B'!AE54*EurCall!AF54+'EXP FD C'!AE54*EurCall!AF55)/(1+rate*dt)</f>
        <v>1.1596792456355312E-7</v>
      </c>
      <c r="AF54" s="28">
        <f>('EXP FD A'!AF54*EurCall!AG53+'EXP FD B'!AF54*EurCall!AG54+'EXP FD C'!AF54*EurCall!AG55)/(1+rate*dt)</f>
        <v>7.3681689299518521E-8</v>
      </c>
      <c r="AG54" s="28">
        <f>('EXP FD A'!AG54*EurCall!AH53+'EXP FD B'!AG54*EurCall!AH54+'EXP FD C'!AG54*EurCall!AH55)/(1+rate*dt)</f>
        <v>4.5292205798865779E-8</v>
      </c>
      <c r="AH54" s="28">
        <f>('EXP FD A'!AH54*EurCall!AI53+'EXP FD B'!AH54*EurCall!AI54+'EXP FD C'!AH54*EurCall!AI55)/(1+rate*dt)</f>
        <v>2.6809607660692214E-8</v>
      </c>
      <c r="AI54" s="28">
        <f>('EXP FD A'!AI54*EurCall!AJ53+'EXP FD B'!AI54*EurCall!AJ54+'EXP FD C'!AI54*EurCall!AJ55)/(1+rate*dt)</f>
        <v>1.5193047643215126E-8</v>
      </c>
      <c r="AJ54" s="28">
        <f>('EXP FD A'!AJ54*EurCall!AK53+'EXP FD B'!AJ54*EurCall!AK54+'EXP FD C'!AJ54*EurCall!AK55)/(1+rate*dt)</f>
        <v>8.183292113692501E-9</v>
      </c>
      <c r="AK54" s="28">
        <f>('EXP FD A'!AK54*EurCall!AL53+'EXP FD B'!AK54*EurCall!AL54+'EXP FD C'!AK54*EurCall!AL55)/(1+rate*dt)</f>
        <v>4.1503880463516616E-9</v>
      </c>
      <c r="AL54" s="28">
        <f>('EXP FD A'!AL54*EurCall!AM53+'EXP FD B'!AL54*EurCall!AM54+'EXP FD C'!AL54*EurCall!AM55)/(1+rate*dt)</f>
        <v>1.9579160299190357E-9</v>
      </c>
      <c r="AM54" s="28">
        <f>('EXP FD A'!AM54*EurCall!AN53+'EXP FD B'!AM54*EurCall!AN54+'EXP FD C'!AM54*EurCall!AN55)/(1+rate*dt)</f>
        <v>8.4487081375074294E-10</v>
      </c>
      <c r="AN54" s="28">
        <f>('EXP FD A'!AN54*EurCall!AO53+'EXP FD B'!AN54*EurCall!AO54+'EXP FD C'!AN54*EurCall!AO55)/(1+rate*dt)</f>
        <v>3.2567068274221468E-10</v>
      </c>
      <c r="AO54" s="28">
        <f>('EXP FD A'!AO54*EurCall!AP53+'EXP FD B'!AO54*EurCall!AP54+'EXP FD C'!AO54*EurCall!AP55)/(1+rate*dt)</f>
        <v>1.0820639931484701E-10</v>
      </c>
      <c r="AP54" s="28">
        <f>('EXP FD A'!AP54*EurCall!AQ53+'EXP FD B'!AP54*EurCall!AQ54+'EXP FD C'!AP54*EurCall!AQ55)/(1+rate*dt)</f>
        <v>2.9225563897003771E-11</v>
      </c>
      <c r="AQ54" s="28">
        <f>('EXP FD A'!AQ54*EurCall!AR53+'EXP FD B'!AQ54*EurCall!AR54+'EXP FD C'!AQ54*EurCall!AR55)/(1+rate*dt)</f>
        <v>5.7435899755817484E-12</v>
      </c>
      <c r="AR54" s="28">
        <f>('EXP FD A'!AR54*EurCall!AS53+'EXP FD B'!AR54*EurCall!AS54+'EXP FD C'!AR54*EurCall!AS55)/(1+rate*dt)</f>
        <v>6.2112756475593702E-13</v>
      </c>
      <c r="AS54" s="28">
        <f>('EXP FD A'!AS54*EurCall!AT53+'EXP FD B'!AS54*EurCall!AT54+'EXP FD C'!AS54*EurCall!AT55)/(1+rate*dt)</f>
        <v>0</v>
      </c>
      <c r="AT54" s="28">
        <f>('EXP FD A'!AT54*EurCall!AU53+'EXP FD B'!AT54*EurCall!AU54+'EXP FD C'!AT54*EurCall!AU55)/(1+rate*dt)</f>
        <v>0</v>
      </c>
      <c r="AU54" s="28">
        <f>('EXP FD A'!AU54*EurCall!AV53+'EXP FD B'!AU54*EurCall!AV54+'EXP FD C'!AU54*EurCall!AV55)/(1+rate*dt)</f>
        <v>0</v>
      </c>
      <c r="AV54" s="28">
        <f>('EXP FD A'!AV54*EurCall!AW53+'EXP FD B'!AV54*EurCall!AW54+'EXP FD C'!AV54*EurCall!AW55)/(1+rate*dt)</f>
        <v>0</v>
      </c>
      <c r="AW54" s="28">
        <f>('EXP FD A'!AW54*EurCall!AX53+'EXP FD B'!AW54*EurCall!AX54+'EXP FD C'!AW54*EurCall!AX55)/(1+rate*dt)</f>
        <v>0</v>
      </c>
      <c r="AX54" s="28">
        <f>('EXP FD A'!AX54*EurCall!AY53+'EXP FD B'!AX54*EurCall!AY54+'EXP FD C'!AX54*EurCall!AY55)/(1+rate*dt)</f>
        <v>0</v>
      </c>
      <c r="AY54" s="28">
        <f>('EXP FD A'!AY54*EurCall!AZ53+'EXP FD B'!AY54*EurCall!AZ54+'EXP FD C'!AY54*EurCall!AZ55)/(1+rate*dt)</f>
        <v>0</v>
      </c>
      <c r="AZ54" s="28">
        <f>('EXP FD A'!AZ54*EurCall!BA53+'EXP FD B'!AZ54*EurCall!BA54+'EXP FD C'!AZ54*EurCall!BA55)/(1+rate*dt)</f>
        <v>0</v>
      </c>
      <c r="BA54" s="6">
        <f t="shared" si="6"/>
        <v>0</v>
      </c>
    </row>
    <row r="55" spans="1:53" x14ac:dyDescent="0.2">
      <c r="A55" s="15">
        <f t="shared" si="4"/>
        <v>10</v>
      </c>
      <c r="B55" s="16">
        <f t="shared" si="5"/>
        <v>20</v>
      </c>
      <c r="C55" s="26">
        <f>('EXP FD A'!C55*EurCall!D54+'EXP FD B'!C55*EurCall!D55+'EXP FD C'!C55*EurCall!D56)/(1+rate*dt)</f>
        <v>8.785703953754541E-6</v>
      </c>
      <c r="D55" s="28">
        <f>('EXP FD A'!D55*EurCall!E54+'EXP FD B'!D55*EurCall!E55+'EXP FD C'!D55*EurCall!E56)/(1+rate*dt)</f>
        <v>7.4652991059559461E-6</v>
      </c>
      <c r="E55" s="28">
        <f>('EXP FD A'!E55*EurCall!F54+'EXP FD B'!E55*EurCall!F55+'EXP FD C'!E55*EurCall!F56)/(1+rate*dt)</f>
        <v>6.3129913290650976E-6</v>
      </c>
      <c r="F55" s="28">
        <f>('EXP FD A'!F55*EurCall!G54+'EXP FD B'!F55*EurCall!G55+'EXP FD C'!F55*EurCall!G56)/(1+rate*dt)</f>
        <v>5.311741724326137E-6</v>
      </c>
      <c r="G55" s="28">
        <f>('EXP FD A'!G55*EurCall!H54+'EXP FD B'!G55*EurCall!H55+'EXP FD C'!G55*EurCall!H56)/(1+rate*dt)</f>
        <v>4.4457119603552937E-6</v>
      </c>
      <c r="H55" s="28">
        <f>('EXP FD A'!H55*EurCall!I54+'EXP FD B'!H55*EurCall!I55+'EXP FD C'!H55*EurCall!I56)/(1+rate*dt)</f>
        <v>3.700230459201071E-6</v>
      </c>
      <c r="I55" s="28">
        <f>('EXP FD A'!I55*EurCall!J54+'EXP FD B'!I55*EurCall!J55+'EXP FD C'!I55*EurCall!J56)/(1+rate*dt)</f>
        <v>3.0617557824037149E-6</v>
      </c>
      <c r="J55" s="28">
        <f>('EXP FD A'!J55*EurCall!K54+'EXP FD B'!J55*EurCall!K55+'EXP FD C'!J55*EurCall!K56)/(1+rate*dt)</f>
        <v>2.5178373832011013E-6</v>
      </c>
      <c r="K55" s="28">
        <f>('EXP FD A'!K55*EurCall!L54+'EXP FD B'!K55*EurCall!L55+'EXP FD C'!K55*EurCall!L56)/(1+rate*dt)</f>
        <v>2.0570739150026344E-6</v>
      </c>
      <c r="L55" s="28">
        <f>('EXP FD A'!L55*EurCall!M54+'EXP FD B'!L55*EurCall!M55+'EXP FD C'!L55*EurCall!M56)/(1+rate*dt)</f>
        <v>1.6690693099155943E-6</v>
      </c>
      <c r="M55" s="28">
        <f>('EXP FD A'!M55*EurCall!N54+'EXP FD B'!M55*EurCall!N55+'EXP FD C'!M55*EurCall!N56)/(1+rate*dt)</f>
        <v>1.3443868641348822E-6</v>
      </c>
      <c r="N55" s="28">
        <f>('EXP FD A'!N55*EurCall!O54+'EXP FD B'!N55*EurCall!O55+'EXP FD C'!N55*EurCall!O56)/(1+rate*dt)</f>
        <v>1.0745015890414894E-6</v>
      </c>
      <c r="O55" s="28">
        <f>('EXP FD A'!O55*EurCall!P54+'EXP FD B'!O55*EurCall!P55+'EXP FD C'!O55*EurCall!P56)/(1+rate*dt)</f>
        <v>8.517511075124304E-7</v>
      </c>
      <c r="P55" s="28">
        <f>('EXP FD A'!P55*EurCall!Q54+'EXP FD B'!P55*EurCall!Q55+'EXP FD C'!P55*EurCall!Q56)/(1+rate*dt)</f>
        <v>6.6928539381444796E-7</v>
      </c>
      <c r="Q55" s="28">
        <f>('EXP FD A'!Q55*EurCall!R54+'EXP FD B'!Q55*EurCall!R55+'EXP FD C'!Q55*EurCall!R56)/(1+rate*dt)</f>
        <v>5.2101567210289445E-7</v>
      </c>
      <c r="R55" s="28">
        <f>('EXP FD A'!R55*EurCall!S54+'EXP FD B'!R55*EurCall!S55+'EXP FD C'!R55*EurCall!S56)/(1+rate*dt)</f>
        <v>4.0156280252724223E-7</v>
      </c>
      <c r="S55" s="28">
        <f>('EXP FD A'!S55*EurCall!T54+'EXP FD B'!S55*EurCall!T55+'EXP FD C'!S55*EurCall!T56)/(1+rate*dt)</f>
        <v>3.062054947983438E-7</v>
      </c>
      <c r="T55" s="28">
        <f>('EXP FD A'!T55*EurCall!U54+'EXP FD B'!T55*EurCall!U55+'EXP FD C'!T55*EurCall!U56)/(1+rate*dt)</f>
        <v>2.3082869634292223E-7</v>
      </c>
      <c r="U55" s="28">
        <f>('EXP FD A'!U55*EurCall!V54+'EXP FD B'!U55*EurCall!V55+'EXP FD C'!U55*EurCall!V56)/(1+rate*dt)</f>
        <v>1.7187250541217867E-7</v>
      </c>
      <c r="V55" s="28">
        <f>('EXP FD A'!V55*EurCall!W54+'EXP FD B'!V55*EurCall!W55+'EXP FD C'!V55*EurCall!W56)/(1+rate*dt)</f>
        <v>1.2628195830245588E-7</v>
      </c>
      <c r="W55" s="28">
        <f>('EXP FD A'!W55*EurCall!X54+'EXP FD B'!W55*EurCall!X55+'EXP FD C'!W55*EurCall!X56)/(1+rate*dt)</f>
        <v>9.1458033804420729E-8</v>
      </c>
      <c r="X55" s="28">
        <f>('EXP FD A'!X55*EurCall!Y54+'EXP FD B'!X55*EurCall!Y55+'EXP FD C'!X55*EurCall!Y56)/(1+rate*dt)</f>
        <v>6.5210206797311179E-8</v>
      </c>
      <c r="Y55" s="28">
        <f>('EXP FD A'!Y55*EurCall!Z54+'EXP FD B'!Y55*EurCall!Z55+'EXP FD C'!Y55*EurCall!Z56)/(1+rate*dt)</f>
        <v>4.571086629575434E-8</v>
      </c>
      <c r="Z55" s="28">
        <f>('EXP FD A'!Z55*EurCall!AA54+'EXP FD B'!Z55*EurCall!AA55+'EXP FD C'!Z55*EurCall!AA56)/(1+rate*dt)</f>
        <v>3.1451891083754126E-8</v>
      </c>
      <c r="AA55" s="28">
        <f>('EXP FD A'!AA55*EurCall!AB54+'EXP FD B'!AA55*EurCall!AB55+'EXP FD C'!AA55*EurCall!AB56)/(1+rate*dt)</f>
        <v>2.1203648296898749E-8</v>
      </c>
      <c r="AB55" s="28">
        <f>('EXP FD A'!AB55*EurCall!AC54+'EXP FD B'!AB55*EurCall!AC55+'EXP FD C'!AB55*EurCall!AC56)/(1+rate*dt)</f>
        <v>1.3976647043679982E-8</v>
      </c>
      <c r="AC55" s="28">
        <f>('EXP FD A'!AC55*EurCall!AD54+'EXP FD B'!AC55*EurCall!AD55+'EXP FD C'!AC55*EurCall!AD56)/(1+rate*dt)</f>
        <v>8.9860406576954572E-9</v>
      </c>
      <c r="AD55" s="28">
        <f>('EXP FD A'!AD55*EurCall!AE54+'EXP FD B'!AD55*EurCall!AE55+'EXP FD C'!AD55*EurCall!AE56)/(1+rate*dt)</f>
        <v>5.6191278974098973E-9</v>
      </c>
      <c r="AE55" s="28">
        <f>('EXP FD A'!AE55*EurCall!AF54+'EXP FD B'!AE55*EurCall!AF55+'EXP FD C'!AE55*EurCall!AF56)/(1+rate*dt)</f>
        <v>3.4059560166425762E-9</v>
      </c>
      <c r="AF55" s="28">
        <f>('EXP FD A'!AF55*EurCall!AG54+'EXP FD B'!AF55*EurCall!AG55+'EXP FD C'!AF55*EurCall!AG56)/(1+rate*dt)</f>
        <v>1.9930779941529143E-9</v>
      </c>
      <c r="AG55" s="28">
        <f>('EXP FD A'!AG55*EurCall!AH54+'EXP FD B'!AG55*EurCall!AH55+'EXP FD C'!AG55*EurCall!AH56)/(1+rate*dt)</f>
        <v>1.120463439868461E-9</v>
      </c>
      <c r="AH55" s="28">
        <f>('EXP FD A'!AH55*EurCall!AI54+'EXP FD B'!AH55*EurCall!AI55+'EXP FD C'!AH55*EurCall!AI56)/(1+rate*dt)</f>
        <v>6.0150912138758455E-10</v>
      </c>
      <c r="AI55" s="28">
        <f>('EXP FD A'!AI55*EurCall!AJ54+'EXP FD B'!AI55*EurCall!AJ55+'EXP FD C'!AI55*EurCall!AJ56)/(1+rate*dt)</f>
        <v>3.0604222558363211E-10</v>
      </c>
      <c r="AJ55" s="28">
        <f>('EXP FD A'!AJ55*EurCall!AK54+'EXP FD B'!AJ55*EurCall!AK55+'EXP FD C'!AJ55*EurCall!AK56)/(1+rate*dt)</f>
        <v>1.4615912203881696E-10</v>
      </c>
      <c r="AK55" s="28">
        <f>('EXP FD A'!AK55*EurCall!AL54+'EXP FD B'!AK55*EurCall!AL55+'EXP FD C'!AK55*EurCall!AL56)/(1+rate*dt)</f>
        <v>6.4696403815366333E-11</v>
      </c>
      <c r="AL55" s="28">
        <f>('EXP FD A'!AL55*EurCall!AM54+'EXP FD B'!AL55*EurCall!AM55+'EXP FD C'!AL55*EurCall!AM56)/(1+rate*dt)</f>
        <v>2.6091293958622233E-11</v>
      </c>
      <c r="AM55" s="28">
        <f>('EXP FD A'!AM55*EurCall!AN54+'EXP FD B'!AM55*EurCall!AN55+'EXP FD C'!AM55*EurCall!AN56)/(1+rate*dt)</f>
        <v>9.357045879096732E-12</v>
      </c>
      <c r="AN55" s="28">
        <f>('EXP FD A'!AN55*EurCall!AO54+'EXP FD B'!AN55*EurCall!AO55+'EXP FD C'!AN55*EurCall!AO56)/(1+rate*dt)</f>
        <v>2.8775066212013621E-12</v>
      </c>
      <c r="AO55" s="28">
        <f>('EXP FD A'!AO55*EurCall!AP54+'EXP FD B'!AO55*EurCall!AP55+'EXP FD C'!AO55*EurCall!AP56)/(1+rate*dt)</f>
        <v>7.1502637597131993E-13</v>
      </c>
      <c r="AP55" s="28">
        <f>('EXP FD A'!AP55*EurCall!AQ54+'EXP FD B'!AP55*EurCall!AQ55+'EXP FD C'!AP55*EurCall!AQ56)/(1+rate*dt)</f>
        <v>1.2837539438885873E-13</v>
      </c>
      <c r="AQ55" s="28">
        <f>('EXP FD A'!AQ55*EurCall!AR54+'EXP FD B'!AQ55*EurCall!AR55+'EXP FD C'!AQ55*EurCall!AR56)/(1+rate*dt)</f>
        <v>1.2577204326091422E-14</v>
      </c>
      <c r="AR55" s="28">
        <f>('EXP FD A'!AR55*EurCall!AS54+'EXP FD B'!AR55*EurCall!AS55+'EXP FD C'!AR55*EurCall!AS56)/(1+rate*dt)</f>
        <v>0</v>
      </c>
      <c r="AS55" s="28">
        <f>('EXP FD A'!AS55*EurCall!AT54+'EXP FD B'!AS55*EurCall!AT55+'EXP FD C'!AS55*EurCall!AT56)/(1+rate*dt)</f>
        <v>0</v>
      </c>
      <c r="AT55" s="28">
        <f>('EXP FD A'!AT55*EurCall!AU54+'EXP FD B'!AT55*EurCall!AU55+'EXP FD C'!AT55*EurCall!AU56)/(1+rate*dt)</f>
        <v>0</v>
      </c>
      <c r="AU55" s="28">
        <f>('EXP FD A'!AU55*EurCall!AV54+'EXP FD B'!AU55*EurCall!AV55+'EXP FD C'!AU55*EurCall!AV56)/(1+rate*dt)</f>
        <v>0</v>
      </c>
      <c r="AV55" s="28">
        <f>('EXP FD A'!AV55*EurCall!AW54+'EXP FD B'!AV55*EurCall!AW55+'EXP FD C'!AV55*EurCall!AW56)/(1+rate*dt)</f>
        <v>0</v>
      </c>
      <c r="AW55" s="28">
        <f>('EXP FD A'!AW55*EurCall!AX54+'EXP FD B'!AW55*EurCall!AX55+'EXP FD C'!AW55*EurCall!AX56)/(1+rate*dt)</f>
        <v>0</v>
      </c>
      <c r="AX55" s="28">
        <f>('EXP FD A'!AX55*EurCall!AY54+'EXP FD B'!AX55*EurCall!AY55+'EXP FD C'!AX55*EurCall!AY56)/(1+rate*dt)</f>
        <v>0</v>
      </c>
      <c r="AY55" s="28">
        <f>('EXP FD A'!AY55*EurCall!AZ54+'EXP FD B'!AY55*EurCall!AZ55+'EXP FD C'!AY55*EurCall!AZ56)/(1+rate*dt)</f>
        <v>0</v>
      </c>
      <c r="AZ55" s="28">
        <f>('EXP FD A'!AZ55*EurCall!BA54+'EXP FD B'!AZ55*EurCall!BA55+'EXP FD C'!AZ55*EurCall!BA56)/(1+rate*dt)</f>
        <v>0</v>
      </c>
      <c r="BA55" s="6">
        <f t="shared" si="6"/>
        <v>0</v>
      </c>
    </row>
    <row r="56" spans="1:53" x14ac:dyDescent="0.2">
      <c r="A56" s="15">
        <f t="shared" si="4"/>
        <v>9</v>
      </c>
      <c r="B56" s="16">
        <f t="shared" si="5"/>
        <v>18</v>
      </c>
      <c r="C56" s="26">
        <f>('EXP FD A'!C56*EurCall!D55+'EXP FD B'!C56*EurCall!D56+'EXP FD C'!C56*EurCall!D57)/(1+rate*dt)</f>
        <v>6.1649355131359971E-7</v>
      </c>
      <c r="D56" s="28">
        <f>('EXP FD A'!D56*EurCall!E55+'EXP FD B'!D56*EurCall!E56+'EXP FD C'!D56*EurCall!E57)/(1+rate*dt)</f>
        <v>5.100368965195375E-7</v>
      </c>
      <c r="E56" s="28">
        <f>('EXP FD A'!E56*EurCall!F55+'EXP FD B'!E56*EurCall!F56+'EXP FD C'!E56*EurCall!F57)/(1+rate*dt)</f>
        <v>4.1965228465554749E-7</v>
      </c>
      <c r="F56" s="28">
        <f>('EXP FD A'!F56*EurCall!G55+'EXP FD B'!F56*EurCall!G56+'EXP FD C'!F56*EurCall!G57)/(1+rate*dt)</f>
        <v>3.4329981074930849E-7</v>
      </c>
      <c r="G56" s="28">
        <f>('EXP FD A'!G56*EurCall!H55+'EXP FD B'!G56*EurCall!H56+'EXP FD C'!G56*EurCall!H57)/(1+rate*dt)</f>
        <v>2.7914231979027792E-7</v>
      </c>
      <c r="H56" s="28">
        <f>('EXP FD A'!H56*EurCall!I55+'EXP FD B'!H56*EurCall!I56+'EXP FD C'!H56*EurCall!I57)/(1+rate*dt)</f>
        <v>2.2553209716919686E-7</v>
      </c>
      <c r="I56" s="28">
        <f>('EXP FD A'!I56*EurCall!J55+'EXP FD B'!I56*EurCall!J56+'EXP FD C'!I56*EurCall!J57)/(1+rate*dt)</f>
        <v>1.8099776533753039E-7</v>
      </c>
      <c r="J56" s="28">
        <f>('EXP FD A'!J56*EurCall!K55+'EXP FD B'!J56*EurCall!K56+'EXP FD C'!J56*EurCall!K57)/(1+rate*dt)</f>
        <v>1.4423143627199449E-7</v>
      </c>
      <c r="K56" s="28">
        <f>('EXP FD A'!K56*EurCall!L55+'EXP FD B'!K56*EurCall!L56+'EXP FD C'!K56*EurCall!L57)/(1+rate*dt)</f>
        <v>1.1407616778114225E-7</v>
      </c>
      <c r="L56" s="28">
        <f>('EXP FD A'!L56*EurCall!M55+'EXP FD B'!L56*EurCall!M56+'EXP FD C'!L56*EurCall!M57)/(1+rate*dt)</f>
        <v>8.9513769699567819E-8</v>
      </c>
      <c r="M56" s="28">
        <f>('EXP FD A'!M56*EurCall!N55+'EXP FD B'!M56*EurCall!N56+'EXP FD C'!M56*EurCall!N57)/(1+rate*dt)</f>
        <v>6.9653003576317941E-8</v>
      </c>
      <c r="N56" s="28">
        <f>('EXP FD A'!N56*EurCall!O55+'EXP FD B'!N56*EurCall!O56+'EXP FD C'!N56*EurCall!O57)/(1+rate*dt)</f>
        <v>5.3718216579034814E-8</v>
      </c>
      <c r="O56" s="28">
        <f>('EXP FD A'!O56*EurCall!P55+'EXP FD B'!O56*EurCall!P56+'EXP FD C'!O56*EurCall!P57)/(1+rate*dt)</f>
        <v>4.1038447012137473E-8</v>
      </c>
      <c r="P56" s="28">
        <f>('EXP FD A'!P56*EurCall!Q55+'EXP FD B'!P56*EurCall!Q56+'EXP FD C'!P56*EurCall!Q57)/(1+rate*dt)</f>
        <v>3.1037035101056129E-8</v>
      </c>
      <c r="Q56" s="28">
        <f>('EXP FD A'!Q56*EurCall!R55+'EXP FD B'!Q56*EurCall!R56+'EXP FD C'!Q56*EurCall!R57)/(1+rate*dt)</f>
        <v>2.3221768547991946E-8</v>
      </c>
      <c r="R56" s="28">
        <f>('EXP FD A'!R56*EurCall!S55+'EXP FD B'!R56*EurCall!S56+'EXP FD C'!R56*EurCall!S57)/(1+rate*dt)</f>
        <v>1.7175587848989364E-8</v>
      </c>
      <c r="S56" s="28">
        <f>('EXP FD A'!S56*EurCall!T55+'EXP FD B'!S56*EurCall!T56+'EXP FD C'!S56*EurCall!T57)/(1+rate*dt)</f>
        <v>1.2547871517101415E-8</v>
      </c>
      <c r="T56" s="28">
        <f>('EXP FD A'!T56*EurCall!U55+'EXP FD B'!T56*EurCall!U56+'EXP FD C'!T56*EurCall!U57)/(1+rate*dt)</f>
        <v>9.0463162309293041E-9</v>
      </c>
      <c r="U56" s="28">
        <f>('EXP FD A'!U56*EurCall!V55+'EXP FD B'!U56*EurCall!V56+'EXP FD C'!U56*EurCall!V57)/(1+rate*dt)</f>
        <v>6.4294215797849421E-9</v>
      </c>
      <c r="V56" s="28">
        <f>('EXP FD A'!V56*EurCall!W55+'EXP FD B'!V56*EurCall!W56+'EXP FD C'!V56*EurCall!W57)/(1+rate*dt)</f>
        <v>4.4995835731531346E-9</v>
      </c>
      <c r="W56" s="28">
        <f>('EXP FD A'!W56*EurCall!X55+'EXP FD B'!W56*EurCall!X56+'EXP FD C'!W56*EurCall!X57)/(1+rate*dt)</f>
        <v>3.0967954987025297E-9</v>
      </c>
      <c r="X56" s="28">
        <f>('EXP FD A'!X56*EurCall!Y55+'EXP FD B'!X56*EurCall!Y56+'EXP FD C'!X56*EurCall!Y57)/(1+rate*dt)</f>
        <v>2.0929491335359841E-9</v>
      </c>
      <c r="Y56" s="28">
        <f>('EXP FD A'!Y56*EurCall!Z55+'EXP FD B'!Y56*EurCall!Z56+'EXP FD C'!Y56*EurCall!Z57)/(1+rate*dt)</f>
        <v>1.3867238284606087E-9</v>
      </c>
      <c r="Z56" s="28">
        <f>('EXP FD A'!Z56*EurCall!AA55+'EXP FD B'!Z56*EurCall!AA56+'EXP FD C'!Z56*EurCall!AA57)/(1+rate*dt)</f>
        <v>8.9904569125649391E-10</v>
      </c>
      <c r="AA56" s="28">
        <f>('EXP FD A'!AA56*EurCall!AB55+'EXP FD B'!AA56*EurCall!AB56+'EXP FD C'!AA56*EurCall!AB57)/(1+rate*dt)</f>
        <v>5.6909409258521266E-10</v>
      </c>
      <c r="AB56" s="28">
        <f>('EXP FD A'!AB56*EurCall!AC55+'EXP FD B'!AB56*EurCall!AC56+'EXP FD C'!AB56*EurCall!AC57)/(1+rate*dt)</f>
        <v>3.5082810931487E-10</v>
      </c>
      <c r="AC56" s="28">
        <f>('EXP FD A'!AC56*EurCall!AD55+'EXP FD B'!AC56*EurCall!AD56+'EXP FD C'!AC56*EurCall!AD57)/(1+rate*dt)</f>
        <v>2.1000140561640287E-10</v>
      </c>
      <c r="AD56" s="28">
        <f>('EXP FD A'!AD56*EurCall!AE55+'EXP FD B'!AD56*EurCall!AE56+'EXP FD C'!AD56*EurCall!AE57)/(1+rate*dt)</f>
        <v>1.2163052897487171E-10</v>
      </c>
      <c r="AE56" s="28">
        <f>('EXP FD A'!AE56*EurCall!AF55+'EXP FD B'!AE56*EurCall!AF56+'EXP FD C'!AE56*EurCall!AF57)/(1+rate*dt)</f>
        <v>6.7878755237696812E-11</v>
      </c>
      <c r="AF56" s="28">
        <f>('EXP FD A'!AF56*EurCall!AG55+'EXP FD B'!AF56*EurCall!AG56+'EXP FD C'!AF56*EurCall!AG57)/(1+rate*dt)</f>
        <v>3.6315531208130057E-11</v>
      </c>
      <c r="AG56" s="28">
        <f>('EXP FD A'!AG56*EurCall!AH55+'EXP FD B'!AG56*EurCall!AH56+'EXP FD C'!AG56*EurCall!AH57)/(1+rate*dt)</f>
        <v>1.8510296297068439E-11</v>
      </c>
      <c r="AH56" s="28">
        <f>('EXP FD A'!AH56*EurCall!AI55+'EXP FD B'!AH56*EurCall!AI56+'EXP FD C'!AH56*EurCall!AI57)/(1+rate*dt)</f>
        <v>8.9190571825869985E-12</v>
      </c>
      <c r="AI56" s="28">
        <f>('EXP FD A'!AI56*EurCall!AJ55+'EXP FD B'!AI56*EurCall!AJ56+'EXP FD C'!AI56*EurCall!AJ57)/(1+rate*dt)</f>
        <v>4.0225573802934016E-12</v>
      </c>
      <c r="AJ56" s="28">
        <f>('EXP FD A'!AJ56*EurCall!AK55+'EXP FD B'!AJ56*EurCall!AK56+'EXP FD C'!AJ56*EurCall!AK57)/(1+rate*dt)</f>
        <v>1.6762144493096656E-12</v>
      </c>
      <c r="AK56" s="28">
        <f>('EXP FD A'!AK56*EurCall!AL55+'EXP FD B'!AK56*EurCall!AL56+'EXP FD C'!AK56*EurCall!AL57)/(1+rate*dt)</f>
        <v>6.3414650866064339E-13</v>
      </c>
      <c r="AL56" s="28">
        <f>('EXP FD A'!AL56*EurCall!AM55+'EXP FD B'!AL56*EurCall!AM56+'EXP FD C'!AL56*EurCall!AM57)/(1+rate*dt)</f>
        <v>2.1249769211535988E-13</v>
      </c>
      <c r="AM56" s="28">
        <f>('EXP FD A'!AM56*EurCall!AN55+'EXP FD B'!AM56*EurCall!AN56+'EXP FD C'!AM56*EurCall!AN57)/(1+rate*dt)</f>
        <v>6.0784857456005714E-14</v>
      </c>
      <c r="AN56" s="28">
        <f>('EXP FD A'!AN56*EurCall!AO55+'EXP FD B'!AN56*EurCall!AO56+'EXP FD C'!AN56*EurCall!AO57)/(1+rate*dt)</f>
        <v>1.3977190254820941E-14</v>
      </c>
      <c r="AO56" s="28">
        <f>('EXP FD A'!AO56*EurCall!AP55+'EXP FD B'!AO56*EurCall!AP56+'EXP FD C'!AO56*EurCall!AP57)/(1+rate*dt)</f>
        <v>2.3083278128073822E-15</v>
      </c>
      <c r="AP56" s="28">
        <f>('EXP FD A'!AP56*EurCall!AQ55+'EXP FD B'!AP56*EurCall!AQ56+'EXP FD C'!AP56*EurCall!AQ57)/(1+rate*dt)</f>
        <v>2.0657025254342445E-16</v>
      </c>
      <c r="AQ56" s="28">
        <f>('EXP FD A'!AQ56*EurCall!AR55+'EXP FD B'!AQ56*EurCall!AR56+'EXP FD C'!AQ56*EurCall!AR57)/(1+rate*dt)</f>
        <v>0</v>
      </c>
      <c r="AR56" s="28">
        <f>('EXP FD A'!AR56*EurCall!AS55+'EXP FD B'!AR56*EurCall!AS56+'EXP FD C'!AR56*EurCall!AS57)/(1+rate*dt)</f>
        <v>0</v>
      </c>
      <c r="AS56" s="28">
        <f>('EXP FD A'!AS56*EurCall!AT55+'EXP FD B'!AS56*EurCall!AT56+'EXP FD C'!AS56*EurCall!AT57)/(1+rate*dt)</f>
        <v>0</v>
      </c>
      <c r="AT56" s="28">
        <f>('EXP FD A'!AT56*EurCall!AU55+'EXP FD B'!AT56*EurCall!AU56+'EXP FD C'!AT56*EurCall!AU57)/(1+rate*dt)</f>
        <v>0</v>
      </c>
      <c r="AU56" s="28">
        <f>('EXP FD A'!AU56*EurCall!AV55+'EXP FD B'!AU56*EurCall!AV56+'EXP FD C'!AU56*EurCall!AV57)/(1+rate*dt)</f>
        <v>0</v>
      </c>
      <c r="AV56" s="28">
        <f>('EXP FD A'!AV56*EurCall!AW55+'EXP FD B'!AV56*EurCall!AW56+'EXP FD C'!AV56*EurCall!AW57)/(1+rate*dt)</f>
        <v>0</v>
      </c>
      <c r="AW56" s="28">
        <f>('EXP FD A'!AW56*EurCall!AX55+'EXP FD B'!AW56*EurCall!AX56+'EXP FD C'!AW56*EurCall!AX57)/(1+rate*dt)</f>
        <v>0</v>
      </c>
      <c r="AX56" s="28">
        <f>('EXP FD A'!AX56*EurCall!AY55+'EXP FD B'!AX56*EurCall!AY56+'EXP FD C'!AX56*EurCall!AY57)/(1+rate*dt)</f>
        <v>0</v>
      </c>
      <c r="AY56" s="28">
        <f>('EXP FD A'!AY56*EurCall!AZ55+'EXP FD B'!AY56*EurCall!AZ56+'EXP FD C'!AY56*EurCall!AZ57)/(1+rate*dt)</f>
        <v>0</v>
      </c>
      <c r="AZ56" s="28">
        <f>('EXP FD A'!AZ56*EurCall!BA55+'EXP FD B'!AZ56*EurCall!BA56+'EXP FD C'!AZ56*EurCall!BA57)/(1+rate*dt)</f>
        <v>0</v>
      </c>
      <c r="BA56" s="6">
        <f t="shared" si="6"/>
        <v>0</v>
      </c>
    </row>
    <row r="57" spans="1:53" x14ac:dyDescent="0.2">
      <c r="A57" s="15">
        <f t="shared" si="4"/>
        <v>8</v>
      </c>
      <c r="B57" s="16">
        <f t="shared" si="5"/>
        <v>16</v>
      </c>
      <c r="C57" s="26">
        <f>('EXP FD A'!C57*EurCall!D56+'EXP FD B'!C57*EurCall!D57+'EXP FD C'!C57*EurCall!D58)/(1+rate*dt)</f>
        <v>3.0740862581388757E-8</v>
      </c>
      <c r="D57" s="28">
        <f>('EXP FD A'!D57*EurCall!E56+'EXP FD B'!D57*EurCall!E57+'EXP FD C'!D57*EurCall!E58)/(1+rate*dt)</f>
        <v>2.473471696616579E-8</v>
      </c>
      <c r="E57" s="28">
        <f>('EXP FD A'!E57*EurCall!F56+'EXP FD B'!E57*EurCall!F57+'EXP FD C'!E57*EurCall!F58)/(1+rate*dt)</f>
        <v>1.9778726244852929E-8</v>
      </c>
      <c r="F57" s="28">
        <f>('EXP FD A'!F57*EurCall!G56+'EXP FD B'!F57*EurCall!G57+'EXP FD C'!F57*EurCall!G58)/(1+rate*dt)</f>
        <v>1.5712836725666841E-8</v>
      </c>
      <c r="G57" s="28">
        <f>('EXP FD A'!G57*EurCall!H56+'EXP FD B'!G57*EurCall!H57+'EXP FD C'!G57*EurCall!H58)/(1+rate*dt)</f>
        <v>1.2397381028939163E-8</v>
      </c>
      <c r="H57" s="28">
        <f>('EXP FD A'!H57*EurCall!I56+'EXP FD B'!H57*EurCall!I57+'EXP FD C'!H57*EurCall!I58)/(1+rate*dt)</f>
        <v>9.7110731126717024E-9</v>
      </c>
      <c r="I57" s="28">
        <f>('EXP FD A'!I57*EurCall!J56+'EXP FD B'!I57*EurCall!J57+'EXP FD C'!I57*EurCall!J58)/(1+rate*dt)</f>
        <v>7.5491272287901249E-9</v>
      </c>
      <c r="J57" s="28">
        <f>('EXP FD A'!J57*EurCall!K56+'EXP FD B'!J57*EurCall!K57+'EXP FD C'!J57*EurCall!K58)/(1+rate*dt)</f>
        <v>5.82150046555761E-9</v>
      </c>
      <c r="K57" s="28">
        <f>('EXP FD A'!K57*EurCall!L56+'EXP FD B'!K57*EurCall!L57+'EXP FD C'!K57*EurCall!L58)/(1+rate*dt)</f>
        <v>4.4512578939949094E-9</v>
      </c>
      <c r="L57" s="28">
        <f>('EXP FD A'!L57*EurCall!M56+'EXP FD B'!L57*EurCall!M57+'EXP FD C'!L57*EurCall!M58)/(1+rate*dt)</f>
        <v>3.3730587083467759E-9</v>
      </c>
      <c r="M57" s="28">
        <f>('EXP FD A'!M57*EurCall!N56+'EXP FD B'!M57*EurCall!N57+'EXP FD C'!M57*EurCall!N58)/(1+rate*dt)</f>
        <v>2.5317611387869079E-9</v>
      </c>
      <c r="N57" s="28">
        <f>('EXP FD A'!N57*EurCall!O56+'EXP FD B'!N57*EurCall!O57+'EXP FD C'!N57*EurCall!O58)/(1+rate*dt)</f>
        <v>1.8811433249582259E-9</v>
      </c>
      <c r="O57" s="28">
        <f>('EXP FD A'!O57*EurCall!P56+'EXP FD B'!O57*EurCall!P57+'EXP FD C'!O57*EurCall!P58)/(1+rate*dt)</f>
        <v>1.3827367779580243E-9</v>
      </c>
      <c r="P57" s="28">
        <f>('EXP FD A'!P57*EurCall!Q56+'EXP FD B'!P57*EurCall!Q57+'EXP FD C'!P57*EurCall!Q58)/(1+rate*dt)</f>
        <v>1.0047685323232808E-9</v>
      </c>
      <c r="Q57" s="28">
        <f>('EXP FD A'!Q57*EurCall!R56+'EXP FD B'!Q57*EurCall!R57+'EXP FD C'!Q57*EurCall!R58)/(1+rate*dt)</f>
        <v>7.2120760464096558E-10</v>
      </c>
      <c r="R57" s="28">
        <f>('EXP FD A'!R57*EurCall!S56+'EXP FD B'!R57*EurCall!S57+'EXP FD C'!R57*EurCall!S58)/(1+rate*dt)</f>
        <v>5.1091093754509968E-10</v>
      </c>
      <c r="S57" s="28">
        <f>('EXP FD A'!S57*EurCall!T56+'EXP FD B'!S57*EurCall!T57+'EXP FD C'!S57*EurCall!T58)/(1+rate*dt)</f>
        <v>3.5686362264094677E-10</v>
      </c>
      <c r="T57" s="28">
        <f>('EXP FD A'!T57*EurCall!U56+'EXP FD B'!T57*EurCall!U57+'EXP FD C'!T57*EurCall!U58)/(1+rate*dt)</f>
        <v>2.4550786839309427E-10</v>
      </c>
      <c r="U57" s="28">
        <f>('EXP FD A'!U57*EurCall!V56+'EXP FD B'!U57*EurCall!V57+'EXP FD C'!U57*EurCall!V58)/(1+rate*dt)</f>
        <v>1.6615491367180004E-10</v>
      </c>
      <c r="V57" s="28">
        <f>('EXP FD A'!V57*EurCall!W56+'EXP FD B'!V57*EurCall!W57+'EXP FD C'!V57*EurCall!W58)/(1+rate*dt)</f>
        <v>1.1047388814523488E-10</v>
      </c>
      <c r="W57" s="28">
        <f>('EXP FD A'!W57*EurCall!X56+'EXP FD B'!W57*EurCall!X57+'EXP FD C'!W57*EurCall!X58)/(1+rate*dt)</f>
        <v>7.205148980375562E-11</v>
      </c>
      <c r="X57" s="28">
        <f>('EXP FD A'!X57*EurCall!Y56+'EXP FD B'!X57*EurCall!Y57+'EXP FD C'!X57*EurCall!Y58)/(1+rate*dt)</f>
        <v>4.601628934025404E-11</v>
      </c>
      <c r="Y57" s="28">
        <f>('EXP FD A'!Y57*EurCall!Z56+'EXP FD B'!Y57*EurCall!Z57+'EXP FD C'!Y57*EurCall!Z58)/(1+rate*dt)</f>
        <v>2.872148146548631E-11</v>
      </c>
      <c r="Z57" s="28">
        <f>('EXP FD A'!Z57*EurCall!AA56+'EXP FD B'!Z57*EurCall!AA57+'EXP FD C'!Z57*EurCall!AA58)/(1+rate*dt)</f>
        <v>1.7479983823884705E-11</v>
      </c>
      <c r="AA57" s="28">
        <f>('EXP FD A'!AA57*EurCall!AB56+'EXP FD B'!AA57*EurCall!AB57+'EXP FD C'!AA57*EurCall!AB58)/(1+rate*dt)</f>
        <v>1.0345932960436539E-11</v>
      </c>
      <c r="AB57" s="28">
        <f>('EXP FD A'!AB57*EurCall!AC56+'EXP FD B'!AB57*EurCall!AC57+'EXP FD C'!AB57*EurCall!AC58)/(1+rate*dt)</f>
        <v>5.9368403336479166E-12</v>
      </c>
      <c r="AC57" s="28">
        <f>('EXP FD A'!AC57*EurCall!AD56+'EXP FD B'!AC57*EurCall!AD57+'EXP FD C'!AC57*EurCall!AD58)/(1+rate*dt)</f>
        <v>3.2909448047878543E-12</v>
      </c>
      <c r="AD57" s="28">
        <f>('EXP FD A'!AD57*EurCall!AE56+'EXP FD B'!AD57*EurCall!AE57+'EXP FD C'!AD57*EurCall!AE58)/(1+rate*dt)</f>
        <v>1.7546250792018402E-12</v>
      </c>
      <c r="AE57" s="28">
        <f>('EXP FD A'!AE57*EurCall!AF56+'EXP FD B'!AE57*EurCall!AF57+'EXP FD C'!AE57*EurCall!AF58)/(1+rate*dt)</f>
        <v>8.9510860536589176E-13</v>
      </c>
      <c r="AF57" s="28">
        <f>('EXP FD A'!AF57*EurCall!AG56+'EXP FD B'!AF57*EurCall!AG57+'EXP FD C'!AF57*EurCall!AG58)/(1+rate*dt)</f>
        <v>4.3412360002689991E-13</v>
      </c>
      <c r="AG57" s="28">
        <f>('EXP FD A'!AG57*EurCall!AH56+'EXP FD B'!AG57*EurCall!AH57+'EXP FD C'!AG57*EurCall!AH58)/(1+rate*dt)</f>
        <v>1.9857826651443038E-13</v>
      </c>
      <c r="AH57" s="28">
        <f>('EXP FD A'!AH57*EurCall!AI56+'EXP FD B'!AH57*EurCall!AI57+'EXP FD C'!AH57*EurCall!AI58)/(1+rate*dt)</f>
        <v>8.480520945448173E-14</v>
      </c>
      <c r="AI57" s="28">
        <f>('EXP FD A'!AI57*EurCall!AJ56+'EXP FD B'!AI57*EurCall!AJ57+'EXP FD C'!AI57*EurCall!AJ58)/(1+rate*dt)</f>
        <v>3.3368329457075537E-14</v>
      </c>
      <c r="AJ57" s="28">
        <f>('EXP FD A'!AJ57*EurCall!AK56+'EXP FD B'!AJ57*EurCall!AK57+'EXP FD C'!AJ57*EurCall!AK58)/(1+rate*dt)</f>
        <v>1.1882787030735656E-14</v>
      </c>
      <c r="AK57" s="28">
        <f>('EXP FD A'!AK57*EurCall!AL56+'EXP FD B'!AK57*EurCall!AL57+'EXP FD C'!AK57*EurCall!AL58)/(1+rate*dt)</f>
        <v>3.7349348795381023E-15</v>
      </c>
      <c r="AL57" s="28">
        <f>('EXP FD A'!AL57*EurCall!AM56+'EXP FD B'!AL57*EurCall!AM57+'EXP FD C'!AL57*EurCall!AM58)/(1+rate*dt)</f>
        <v>9.9817370165787711E-16</v>
      </c>
      <c r="AM57" s="28">
        <f>('EXP FD A'!AM57*EurCall!AN56+'EXP FD B'!AM57*EurCall!AN57+'EXP FD C'!AM57*EurCall!AN58)/(1+rate*dt)</f>
        <v>2.134811499651186E-16</v>
      </c>
      <c r="AN57" s="28">
        <f>('EXP FD A'!AN57*EurCall!AO56+'EXP FD B'!AN57*EurCall!AO57+'EXP FD C'!AN57*EurCall!AO58)/(1+rate*dt)</f>
        <v>3.2623166284406006E-17</v>
      </c>
      <c r="AO57" s="28">
        <f>('EXP FD A'!AO57*EurCall!AP56+'EXP FD B'!AO57*EurCall!AP57+'EXP FD C'!AO57*EurCall!AP58)/(1+rate*dt)</f>
        <v>2.6852790191135625E-18</v>
      </c>
      <c r="AP57" s="28">
        <f>('EXP FD A'!AP57*EurCall!AQ56+'EXP FD B'!AP57*EurCall!AQ57+'EXP FD C'!AP57*EurCall!AQ58)/(1+rate*dt)</f>
        <v>0</v>
      </c>
      <c r="AQ57" s="28">
        <f>('EXP FD A'!AQ57*EurCall!AR56+'EXP FD B'!AQ57*EurCall!AR57+'EXP FD C'!AQ57*EurCall!AR58)/(1+rate*dt)</f>
        <v>0</v>
      </c>
      <c r="AR57" s="28">
        <f>('EXP FD A'!AR57*EurCall!AS56+'EXP FD B'!AR57*EurCall!AS57+'EXP FD C'!AR57*EurCall!AS58)/(1+rate*dt)</f>
        <v>0</v>
      </c>
      <c r="AS57" s="28">
        <f>('EXP FD A'!AS57*EurCall!AT56+'EXP FD B'!AS57*EurCall!AT57+'EXP FD C'!AS57*EurCall!AT58)/(1+rate*dt)</f>
        <v>0</v>
      </c>
      <c r="AT57" s="28">
        <f>('EXP FD A'!AT57*EurCall!AU56+'EXP FD B'!AT57*EurCall!AU57+'EXP FD C'!AT57*EurCall!AU58)/(1+rate*dt)</f>
        <v>0</v>
      </c>
      <c r="AU57" s="28">
        <f>('EXP FD A'!AU57*EurCall!AV56+'EXP FD B'!AU57*EurCall!AV57+'EXP FD C'!AU57*EurCall!AV58)/(1+rate*dt)</f>
        <v>0</v>
      </c>
      <c r="AV57" s="28">
        <f>('EXP FD A'!AV57*EurCall!AW56+'EXP FD B'!AV57*EurCall!AW57+'EXP FD C'!AV57*EurCall!AW58)/(1+rate*dt)</f>
        <v>0</v>
      </c>
      <c r="AW57" s="28">
        <f>('EXP FD A'!AW57*EurCall!AX56+'EXP FD B'!AW57*EurCall!AX57+'EXP FD C'!AW57*EurCall!AX58)/(1+rate*dt)</f>
        <v>0</v>
      </c>
      <c r="AX57" s="28">
        <f>('EXP FD A'!AX57*EurCall!AY56+'EXP FD B'!AX57*EurCall!AY57+'EXP FD C'!AX57*EurCall!AY58)/(1+rate*dt)</f>
        <v>0</v>
      </c>
      <c r="AY57" s="28">
        <f>('EXP FD A'!AY57*EurCall!AZ56+'EXP FD B'!AY57*EurCall!AZ57+'EXP FD C'!AY57*EurCall!AZ58)/(1+rate*dt)</f>
        <v>0</v>
      </c>
      <c r="AZ57" s="28">
        <f>('EXP FD A'!AZ57*EurCall!BA56+'EXP FD B'!AZ57*EurCall!BA57+'EXP FD C'!AZ57*EurCall!BA58)/(1+rate*dt)</f>
        <v>0</v>
      </c>
      <c r="BA57" s="6">
        <f t="shared" si="6"/>
        <v>0</v>
      </c>
    </row>
    <row r="58" spans="1:53" x14ac:dyDescent="0.2">
      <c r="A58" s="15">
        <f t="shared" si="4"/>
        <v>7</v>
      </c>
      <c r="B58" s="16">
        <f t="shared" si="5"/>
        <v>14</v>
      </c>
      <c r="C58" s="26">
        <f>('EXP FD A'!C58*EurCall!D57+'EXP FD B'!C58*EurCall!D58+'EXP FD C'!C58*EurCall!D59)/(1+rate*dt)</f>
        <v>1.0569859378564206E-9</v>
      </c>
      <c r="D58" s="28">
        <f>('EXP FD A'!D58*EurCall!E57+'EXP FD B'!D58*EurCall!E58+'EXP FD C'!D58*EurCall!E59)/(1+rate*dt)</f>
        <v>8.2632999459522688E-10</v>
      </c>
      <c r="E58" s="28">
        <f>('EXP FD A'!E58*EurCall!F57+'EXP FD B'!E58*EurCall!F58+'EXP FD C'!E58*EurCall!F59)/(1+rate*dt)</f>
        <v>6.4151972280057192E-10</v>
      </c>
      <c r="F58" s="28">
        <f>('EXP FD A'!F58*EurCall!G57+'EXP FD B'!F58*EurCall!G58+'EXP FD C'!F58*EurCall!G59)/(1+rate*dt)</f>
        <v>4.9440761384074822E-10</v>
      </c>
      <c r="G58" s="28">
        <f>('EXP FD A'!G58*EurCall!H57+'EXP FD B'!G58*EurCall!H58+'EXP FD C'!G58*EurCall!H59)/(1+rate*dt)</f>
        <v>3.7810600247570708E-10</v>
      </c>
      <c r="H58" s="28">
        <f>('EXP FD A'!H58*EurCall!I57+'EXP FD B'!H58*EurCall!I58+'EXP FD C'!H58*EurCall!I59)/(1+rate*dt)</f>
        <v>2.8682490505906062E-10</v>
      </c>
      <c r="I58" s="28">
        <f>('EXP FD A'!I58*EurCall!J57+'EXP FD B'!I58*EurCall!J58+'EXP FD C'!I58*EurCall!J59)/(1+rate*dt)</f>
        <v>2.1572581002722607E-10</v>
      </c>
      <c r="J58" s="28">
        <f>('EXP FD A'!J58*EurCall!K57+'EXP FD B'!J58*EurCall!K58+'EXP FD C'!J58*EurCall!K59)/(1+rate*dt)</f>
        <v>1.6079047430963583E-10</v>
      </c>
      <c r="K58" s="28">
        <f>('EXP FD A'!K58*EurCall!L57+'EXP FD B'!K58*EurCall!L58+'EXP FD C'!K58*EurCall!L59)/(1+rate*dt)</f>
        <v>1.1870377122209109E-10</v>
      </c>
      <c r="L58" s="28">
        <f>('EXP FD A'!L58*EurCall!M57+'EXP FD B'!L58*EurCall!M58+'EXP FD C'!L58*EurCall!M59)/(1+rate*dt)</f>
        <v>8.6749633502259492E-11</v>
      </c>
      <c r="M58" s="28">
        <f>('EXP FD A'!M58*EurCall!N57+'EXP FD B'!M58*EurCall!N58+'EXP FD C'!M58*EurCall!N59)/(1+rate*dt)</f>
        <v>6.2719139372776573E-11</v>
      </c>
      <c r="N58" s="28">
        <f>('EXP FD A'!N58*EurCall!O57+'EXP FD B'!N58*EurCall!O58+'EXP FD C'!N58*EurCall!O59)/(1+rate*dt)</f>
        <v>4.4829799769792142E-11</v>
      </c>
      <c r="O58" s="28">
        <f>('EXP FD A'!O58*EurCall!P57+'EXP FD B'!O58*EurCall!P58+'EXP FD C'!O58*EurCall!P59)/(1+rate*dt)</f>
        <v>3.165512098316273E-11</v>
      </c>
      <c r="P58" s="28">
        <f>('EXP FD A'!P58*EurCall!Q57+'EXP FD B'!P58*EurCall!Q58+'EXP FD C'!P58*EurCall!Q59)/(1+rate*dt)</f>
        <v>2.2063538681558079E-11</v>
      </c>
      <c r="Q58" s="28">
        <f>('EXP FD A'!Q58*EurCall!R57+'EXP FD B'!Q58*EurCall!R58+'EXP FD C'!Q58*EurCall!R59)/(1+rate*dt)</f>
        <v>1.5165846336892589E-11</v>
      </c>
      <c r="R58" s="28">
        <f>('EXP FD A'!R58*EurCall!S57+'EXP FD B'!R58*EurCall!S58+'EXP FD C'!R58*EurCall!S59)/(1+rate*dt)</f>
        <v>1.0270273046889938E-11</v>
      </c>
      <c r="S58" s="28">
        <f>('EXP FD A'!S58*EurCall!T57+'EXP FD B'!S58*EurCall!T58+'EXP FD C'!S58*EurCall!T59)/(1+rate*dt)</f>
        <v>6.8444022476175703E-12</v>
      </c>
      <c r="T58" s="28">
        <f>('EXP FD A'!T58*EurCall!U57+'EXP FD B'!T58*EurCall!U58+'EXP FD C'!T58*EurCall!U59)/(1+rate*dt)</f>
        <v>4.4831633148285558E-12</v>
      </c>
      <c r="U58" s="28">
        <f>('EXP FD A'!U58*EurCall!V57+'EXP FD B'!U58*EurCall!V58+'EXP FD C'!U58*EurCall!V59)/(1+rate*dt)</f>
        <v>2.8821720244228307E-12</v>
      </c>
      <c r="V58" s="28">
        <f>('EXP FD A'!V58*EurCall!W57+'EXP FD B'!V58*EurCall!W58+'EXP FD C'!V58*EurCall!W59)/(1+rate*dt)</f>
        <v>1.8157426806362995E-12</v>
      </c>
      <c r="W58" s="28">
        <f>('EXP FD A'!W58*EurCall!X57+'EXP FD B'!W58*EurCall!X58+'EXP FD C'!W58*EurCall!X59)/(1+rate*dt)</f>
        <v>1.1189437880769264E-12</v>
      </c>
      <c r="X58" s="28">
        <f>('EXP FD A'!X58*EurCall!Y57+'EXP FD B'!X58*EurCall!Y58+'EXP FD C'!X58*EurCall!Y59)/(1+rate*dt)</f>
        <v>6.731197725768955E-13</v>
      </c>
      <c r="Y58" s="28">
        <f>('EXP FD A'!Y58*EurCall!Z57+'EXP FD B'!Y58*EurCall!Z58+'EXP FD C'!Y58*EurCall!Z59)/(1+rate*dt)</f>
        <v>3.9435275899049103E-13</v>
      </c>
      <c r="Z58" s="28">
        <f>('EXP FD A'!Z58*EurCall!AA57+'EXP FD B'!Z58*EurCall!AA58+'EXP FD C'!Z58*EurCall!AA59)/(1+rate*dt)</f>
        <v>2.2439009777053729E-13</v>
      </c>
      <c r="AA58" s="28">
        <f>('EXP FD A'!AA58*EurCall!AB57+'EXP FD B'!AA58*EurCall!AB58+'EXP FD C'!AA58*EurCall!AB59)/(1+rate*dt)</f>
        <v>1.2361450942619404E-13</v>
      </c>
      <c r="AB58" s="28">
        <f>('EXP FD A'!AB58*EurCall!AC57+'EXP FD B'!AB58*EurCall!AC58+'EXP FD C'!AB58*EurCall!AC59)/(1+rate*dt)</f>
        <v>6.5683721009495938E-14</v>
      </c>
      <c r="AC58" s="28">
        <f>('EXP FD A'!AC58*EurCall!AD57+'EXP FD B'!AC58*EurCall!AD58+'EXP FD C'!AC58*EurCall!AD59)/(1+rate*dt)</f>
        <v>3.3514671910831731E-14</v>
      </c>
      <c r="AD58" s="28">
        <f>('EXP FD A'!AD58*EurCall!AE57+'EXP FD B'!AD58*EurCall!AE58+'EXP FD C'!AD58*EurCall!AE59)/(1+rate*dt)</f>
        <v>1.6333188927603043E-14</v>
      </c>
      <c r="AE58" s="28">
        <f>('EXP FD A'!AE58*EurCall!AF57+'EXP FD B'!AE58*EurCall!AF58+'EXP FD C'!AE58*EurCall!AF59)/(1+rate*dt)</f>
        <v>7.5529600965637017E-15</v>
      </c>
      <c r="AF58" s="28">
        <f>('EXP FD A'!AF58*EurCall!AG57+'EXP FD B'!AF58*EurCall!AG58+'EXP FD C'!AF58*EurCall!AG59)/(1+rate*dt)</f>
        <v>3.2872400204720596E-15</v>
      </c>
      <c r="AG58" s="28">
        <f>('EXP FD A'!AG58*EurCall!AH57+'EXP FD B'!AG58*EurCall!AH58+'EXP FD C'!AG58*EurCall!AH59)/(1+rate*dt)</f>
        <v>1.3326550278236686E-15</v>
      </c>
      <c r="AH58" s="28">
        <f>('EXP FD A'!AH58*EurCall!AI57+'EXP FD B'!AH58*EurCall!AI58+'EXP FD C'!AH58*EurCall!AI59)/(1+rate*dt)</f>
        <v>4.9650489508845703E-16</v>
      </c>
      <c r="AI58" s="28">
        <f>('EXP FD A'!AI58*EurCall!AJ57+'EXP FD B'!AI58*EurCall!AJ58+'EXP FD C'!AI58*EurCall!AJ59)/(1+rate*dt)</f>
        <v>1.6694826712955676E-16</v>
      </c>
      <c r="AJ58" s="28">
        <f>('EXP FD A'!AJ58*EurCall!AK57+'EXP FD B'!AJ58*EurCall!AK58+'EXP FD C'!AJ58*EurCall!AK59)/(1+rate*dt)</f>
        <v>4.9392839199092067E-17</v>
      </c>
      <c r="AK58" s="28">
        <f>('EXP FD A'!AK58*EurCall!AL57+'EXP FD B'!AK58*EurCall!AL58+'EXP FD C'!AK58*EurCall!AL59)/(1+rate*dt)</f>
        <v>1.2381815626969589E-17</v>
      </c>
      <c r="AL58" s="28">
        <f>('EXP FD A'!AL58*EurCall!AM57+'EXP FD B'!AL58*EurCall!AM58+'EXP FD C'!AL58*EurCall!AM59)/(1+rate*dt)</f>
        <v>2.4741180130677608E-18</v>
      </c>
      <c r="AM58" s="28">
        <f>('EXP FD A'!AM58*EurCall!AN57+'EXP FD B'!AM58*EurCall!AN58+'EXP FD C'!AM58*EurCall!AN59)/(1+rate*dt)</f>
        <v>3.5165784714190631E-19</v>
      </c>
      <c r="AN58" s="28">
        <f>('EXP FD A'!AN58*EurCall!AO57+'EXP FD B'!AN58*EurCall!AO58+'EXP FD C'!AN58*EurCall!AO59)/(1+rate*dt)</f>
        <v>2.6784318999707799E-20</v>
      </c>
      <c r="AO58" s="28">
        <f>('EXP FD A'!AO58*EurCall!AP57+'EXP FD B'!AO58*EurCall!AP58+'EXP FD C'!AO58*EurCall!AP59)/(1+rate*dt)</f>
        <v>0</v>
      </c>
      <c r="AP58" s="28">
        <f>('EXP FD A'!AP58*EurCall!AQ57+'EXP FD B'!AP58*EurCall!AQ58+'EXP FD C'!AP58*EurCall!AQ59)/(1+rate*dt)</f>
        <v>0</v>
      </c>
      <c r="AQ58" s="28">
        <f>('EXP FD A'!AQ58*EurCall!AR57+'EXP FD B'!AQ58*EurCall!AR58+'EXP FD C'!AQ58*EurCall!AR59)/(1+rate*dt)</f>
        <v>0</v>
      </c>
      <c r="AR58" s="28">
        <f>('EXP FD A'!AR58*EurCall!AS57+'EXP FD B'!AR58*EurCall!AS58+'EXP FD C'!AR58*EurCall!AS59)/(1+rate*dt)</f>
        <v>0</v>
      </c>
      <c r="AS58" s="28">
        <f>('EXP FD A'!AS58*EurCall!AT57+'EXP FD B'!AS58*EurCall!AT58+'EXP FD C'!AS58*EurCall!AT59)/(1+rate*dt)</f>
        <v>0</v>
      </c>
      <c r="AT58" s="28">
        <f>('EXP FD A'!AT58*EurCall!AU57+'EXP FD B'!AT58*EurCall!AU58+'EXP FD C'!AT58*EurCall!AU59)/(1+rate*dt)</f>
        <v>0</v>
      </c>
      <c r="AU58" s="28">
        <f>('EXP FD A'!AU58*EurCall!AV57+'EXP FD B'!AU58*EurCall!AV58+'EXP FD C'!AU58*EurCall!AV59)/(1+rate*dt)</f>
        <v>0</v>
      </c>
      <c r="AV58" s="28">
        <f>('EXP FD A'!AV58*EurCall!AW57+'EXP FD B'!AV58*EurCall!AW58+'EXP FD C'!AV58*EurCall!AW59)/(1+rate*dt)</f>
        <v>0</v>
      </c>
      <c r="AW58" s="28">
        <f>('EXP FD A'!AW58*EurCall!AX57+'EXP FD B'!AW58*EurCall!AX58+'EXP FD C'!AW58*EurCall!AX59)/(1+rate*dt)</f>
        <v>0</v>
      </c>
      <c r="AX58" s="28">
        <f>('EXP FD A'!AX58*EurCall!AY57+'EXP FD B'!AX58*EurCall!AY58+'EXP FD C'!AX58*EurCall!AY59)/(1+rate*dt)</f>
        <v>0</v>
      </c>
      <c r="AY58" s="28">
        <f>('EXP FD A'!AY58*EurCall!AZ57+'EXP FD B'!AY58*EurCall!AZ58+'EXP FD C'!AY58*EurCall!AZ59)/(1+rate*dt)</f>
        <v>0</v>
      </c>
      <c r="AZ58" s="28">
        <f>('EXP FD A'!AZ58*EurCall!BA57+'EXP FD B'!AZ58*EurCall!BA58+'EXP FD C'!AZ58*EurCall!BA59)/(1+rate*dt)</f>
        <v>0</v>
      </c>
      <c r="BA58" s="6">
        <f t="shared" si="6"/>
        <v>0</v>
      </c>
    </row>
    <row r="59" spans="1:53" x14ac:dyDescent="0.2">
      <c r="A59" s="15">
        <f t="shared" si="4"/>
        <v>6</v>
      </c>
      <c r="B59" s="16">
        <f t="shared" si="5"/>
        <v>12</v>
      </c>
      <c r="C59" s="26">
        <f>('EXP FD A'!C59*EurCall!D58+'EXP FD B'!C59*EurCall!D59+'EXP FD C'!C59*EurCall!D60)/(1+rate*dt)</f>
        <v>2.4102526164203682E-11</v>
      </c>
      <c r="D59" s="28">
        <f>('EXP FD A'!D59*EurCall!E58+'EXP FD B'!D59*EurCall!E59+'EXP FD C'!D59*EurCall!E60)/(1+rate*dt)</f>
        <v>1.8291814508999065E-11</v>
      </c>
      <c r="E59" s="28">
        <f>('EXP FD A'!E59*EurCall!F58+'EXP FD B'!E59*EurCall!F59+'EXP FD C'!E59*EurCall!F60)/(1+rate*dt)</f>
        <v>1.3774604557720738E-11</v>
      </c>
      <c r="F59" s="28">
        <f>('EXP FD A'!F59*EurCall!G58+'EXP FD B'!F59*EurCall!G59+'EXP FD C'!F59*EurCall!G60)/(1+rate*dt)</f>
        <v>1.0288606619805387E-11</v>
      </c>
      <c r="G59" s="28">
        <f>('EXP FD A'!G59*EurCall!H58+'EXP FD B'!G59*EurCall!H59+'EXP FD C'!G59*EurCall!H60)/(1+rate*dt)</f>
        <v>7.6190785027442184E-12</v>
      </c>
      <c r="H59" s="28">
        <f>('EXP FD A'!H59*EurCall!I58+'EXP FD B'!H59*EurCall!I59+'EXP FD C'!H59*EurCall!I60)/(1+rate*dt)</f>
        <v>5.5913306002727136E-12</v>
      </c>
      <c r="I59" s="28">
        <f>('EXP FD A'!I59*EurCall!J58+'EXP FD B'!I59*EurCall!J59+'EXP FD C'!I59*EurCall!J60)/(1+rate*dt)</f>
        <v>4.0642126171038425E-12</v>
      </c>
      <c r="J59" s="28">
        <f>('EXP FD A'!J59*EurCall!K58+'EXP FD B'!J59*EurCall!K59+'EXP FD C'!J59*EurCall!K60)/(1+rate*dt)</f>
        <v>2.9244842206035254E-12</v>
      </c>
      <c r="K59" s="28">
        <f>('EXP FD A'!K59*EurCall!L58+'EXP FD B'!K59*EurCall!L59+'EXP FD C'!K59*EurCall!L60)/(1+rate*dt)</f>
        <v>2.0819776222297477E-12</v>
      </c>
      <c r="L59" s="28">
        <f>('EXP FD A'!L59*EurCall!M58+'EXP FD B'!L59*EurCall!M59+'EXP FD C'!L59*EurCall!M60)/(1+rate*dt)</f>
        <v>1.4654658990054876E-12</v>
      </c>
      <c r="M59" s="28">
        <f>('EXP FD A'!M59*EurCall!N58+'EXP FD B'!M59*EurCall!N59+'EXP FD C'!M59*EurCall!N60)/(1+rate*dt)</f>
        <v>1.0191567236411559E-12</v>
      </c>
      <c r="N59" s="28">
        <f>('EXP FD A'!N59*EurCall!O58+'EXP FD B'!N59*EurCall!O59+'EXP FD C'!N59*EurCall!O60)/(1+rate*dt)</f>
        <v>6.9973703716291482E-13</v>
      </c>
      <c r="O59" s="28">
        <f>('EXP FD A'!O59*EurCall!P58+'EXP FD B'!O59*EurCall!P59+'EXP FD C'!O59*EurCall!P60)/(1+rate*dt)</f>
        <v>4.7390002666014426E-13</v>
      </c>
      <c r="P59" s="28">
        <f>('EXP FD A'!P59*EurCall!Q58+'EXP FD B'!P59*EurCall!Q59+'EXP FD C'!P59*EurCall!Q60)/(1+rate*dt)</f>
        <v>3.1629152079200417E-13</v>
      </c>
      <c r="Q59" s="28">
        <f>('EXP FD A'!Q59*EurCall!R58+'EXP FD B'!Q59*EurCall!R59+'EXP FD C'!Q59*EurCall!R60)/(1+rate*dt)</f>
        <v>2.0781854639292078E-13</v>
      </c>
      <c r="R59" s="28">
        <f>('EXP FD A'!R59*EurCall!S58+'EXP FD B'!R59*EurCall!S59+'EXP FD C'!R59*EurCall!S60)/(1+rate*dt)</f>
        <v>1.3426826245946388E-13</v>
      </c>
      <c r="S59" s="28">
        <f>('EXP FD A'!S59*EurCall!T58+'EXP FD B'!S59*EurCall!T59+'EXP FD C'!S59*EurCall!T60)/(1+rate*dt)</f>
        <v>8.5190767228458127E-14</v>
      </c>
      <c r="T59" s="28">
        <f>('EXP FD A'!T59*EurCall!U58+'EXP FD B'!T59*EurCall!U59+'EXP FD C'!T59*EurCall!U60)/(1+rate*dt)</f>
        <v>5.3004327368279094E-14</v>
      </c>
      <c r="U59" s="28">
        <f>('EXP FD A'!U59*EurCall!V58+'EXP FD B'!U59*EurCall!V59+'EXP FD C'!U59*EurCall!V60)/(1+rate*dt)</f>
        <v>3.228637651424212E-14</v>
      </c>
      <c r="V59" s="28">
        <f>('EXP FD A'!V59*EurCall!W58+'EXP FD B'!V59*EurCall!W59+'EXP FD C'!V59*EurCall!W60)/(1+rate*dt)</f>
        <v>1.9218148520120763E-14</v>
      </c>
      <c r="W59" s="28">
        <f>('EXP FD A'!W59*EurCall!X58+'EXP FD B'!W59*EurCall!X59+'EXP FD C'!W59*EurCall!X60)/(1+rate*dt)</f>
        <v>1.1155028285748484E-14</v>
      </c>
      <c r="X59" s="28">
        <f>('EXP FD A'!X59*EurCall!Y58+'EXP FD B'!X59*EurCall!Y59+'EXP FD C'!X59*EurCall!Y60)/(1+rate*dt)</f>
        <v>6.2986039385064271E-15</v>
      </c>
      <c r="Y59" s="28">
        <f>('EXP FD A'!Y59*EurCall!Z58+'EXP FD B'!Y59*EurCall!Z59+'EXP FD C'!Y59*EurCall!Z60)/(1+rate*dt)</f>
        <v>3.4499774567323529E-15</v>
      </c>
      <c r="Z59" s="28">
        <f>('EXP FD A'!Z59*EurCall!AA58+'EXP FD B'!Z59*EurCall!AA59+'EXP FD C'!Z59*EurCall!AA60)/(1+rate*dt)</f>
        <v>1.8271304889150651E-15</v>
      </c>
      <c r="AA59" s="28">
        <f>('EXP FD A'!AA59*EurCall!AB58+'EXP FD B'!AA59*EurCall!AB59+'EXP FD C'!AA59*EurCall!AB60)/(1+rate*dt)</f>
        <v>9.3204713046223754E-16</v>
      </c>
      <c r="AB59" s="28">
        <f>('EXP FD A'!AB59*EurCall!AC58+'EXP FD B'!AB59*EurCall!AC59+'EXP FD C'!AB59*EurCall!AC60)/(1+rate*dt)</f>
        <v>4.5586969533021679E-16</v>
      </c>
      <c r="AC59" s="28">
        <f>('EXP FD A'!AC59*EurCall!AD58+'EXP FD B'!AC59*EurCall!AD59+'EXP FD C'!AC59*EurCall!AD60)/(1+rate*dt)</f>
        <v>2.1261573071670892E-16</v>
      </c>
      <c r="AD59" s="28">
        <f>('EXP FD A'!AD59*EurCall!AE58+'EXP FD B'!AD59*EurCall!AE59+'EXP FD C'!AD59*EurCall!AE60)/(1+rate*dt)</f>
        <v>9.3927767988459801E-17</v>
      </c>
      <c r="AE59" s="28">
        <f>('EXP FD A'!AE59*EurCall!AF58+'EXP FD B'!AE59*EurCall!AF59+'EXP FD C'!AE59*EurCall!AF60)/(1+rate*dt)</f>
        <v>3.8978686088357572E-17</v>
      </c>
      <c r="AF59" s="28">
        <f>('EXP FD A'!AF59*EurCall!AG58+'EXP FD B'!AF59*EurCall!AG59+'EXP FD C'!AF59*EurCall!AG60)/(1+rate*dt)</f>
        <v>1.5035660197019877E-17</v>
      </c>
      <c r="AG59" s="28">
        <f>('EXP FD A'!AG59*EurCall!AH58+'EXP FD B'!AG59*EurCall!AH59+'EXP FD C'!AG59*EurCall!AH60)/(1+rate*dt)</f>
        <v>5.3178922925419832E-18</v>
      </c>
      <c r="AH59" s="28">
        <f>('EXP FD A'!AH59*EurCall!AI58+'EXP FD B'!AH59*EurCall!AI59+'EXP FD C'!AH59*EurCall!AI60)/(1+rate*dt)</f>
        <v>1.6932074681780729E-18</v>
      </c>
      <c r="AI59" s="28">
        <f>('EXP FD A'!AI59*EurCall!AJ58+'EXP FD B'!AI59*EurCall!AJ59+'EXP FD C'!AI59*EurCall!AJ60)/(1+rate*dt)</f>
        <v>4.7302909772390367E-19</v>
      </c>
      <c r="AJ59" s="28">
        <f>('EXP FD A'!AJ59*EurCall!AK58+'EXP FD B'!AJ59*EurCall!AK59+'EXP FD C'!AJ59*EurCall!AK60)/(1+rate*dt)</f>
        <v>1.1162187378820262E-19</v>
      </c>
      <c r="AK59" s="28">
        <f>('EXP FD A'!AK59*EurCall!AL58+'EXP FD B'!AK59*EurCall!AL59+'EXP FD C'!AK59*EurCall!AL60)/(1+rate*dt)</f>
        <v>2.0922283476890051E-20</v>
      </c>
      <c r="AL59" s="28">
        <f>('EXP FD A'!AL59*EurCall!AM58+'EXP FD B'!AL59*EurCall!AM59+'EXP FD C'!AL59*EurCall!AM60)/(1+rate*dt)</f>
        <v>2.778566439486395E-21</v>
      </c>
      <c r="AM59" s="28">
        <f>('EXP FD A'!AM59*EurCall!AN58+'EXP FD B'!AM59*EurCall!AN59+'EXP FD C'!AM59*EurCall!AN60)/(1+rate*dt)</f>
        <v>1.9685490190275721E-22</v>
      </c>
      <c r="AN59" s="28">
        <f>('EXP FD A'!AN59*EurCall!AO58+'EXP FD B'!AN59*EurCall!AO59+'EXP FD C'!AN59*EurCall!AO60)/(1+rate*dt)</f>
        <v>0</v>
      </c>
      <c r="AO59" s="28">
        <f>('EXP FD A'!AO59*EurCall!AP58+'EXP FD B'!AO59*EurCall!AP59+'EXP FD C'!AO59*EurCall!AP60)/(1+rate*dt)</f>
        <v>0</v>
      </c>
      <c r="AP59" s="28">
        <f>('EXP FD A'!AP59*EurCall!AQ58+'EXP FD B'!AP59*EurCall!AQ59+'EXP FD C'!AP59*EurCall!AQ60)/(1+rate*dt)</f>
        <v>0</v>
      </c>
      <c r="AQ59" s="28">
        <f>('EXP FD A'!AQ59*EurCall!AR58+'EXP FD B'!AQ59*EurCall!AR59+'EXP FD C'!AQ59*EurCall!AR60)/(1+rate*dt)</f>
        <v>0</v>
      </c>
      <c r="AR59" s="28">
        <f>('EXP FD A'!AR59*EurCall!AS58+'EXP FD B'!AR59*EurCall!AS59+'EXP FD C'!AR59*EurCall!AS60)/(1+rate*dt)</f>
        <v>0</v>
      </c>
      <c r="AS59" s="28">
        <f>('EXP FD A'!AS59*EurCall!AT58+'EXP FD B'!AS59*EurCall!AT59+'EXP FD C'!AS59*EurCall!AT60)/(1+rate*dt)</f>
        <v>0</v>
      </c>
      <c r="AT59" s="28">
        <f>('EXP FD A'!AT59*EurCall!AU58+'EXP FD B'!AT59*EurCall!AU59+'EXP FD C'!AT59*EurCall!AU60)/(1+rate*dt)</f>
        <v>0</v>
      </c>
      <c r="AU59" s="28">
        <f>('EXP FD A'!AU59*EurCall!AV58+'EXP FD B'!AU59*EurCall!AV59+'EXP FD C'!AU59*EurCall!AV60)/(1+rate*dt)</f>
        <v>0</v>
      </c>
      <c r="AV59" s="28">
        <f>('EXP FD A'!AV59*EurCall!AW58+'EXP FD B'!AV59*EurCall!AW59+'EXP FD C'!AV59*EurCall!AW60)/(1+rate*dt)</f>
        <v>0</v>
      </c>
      <c r="AW59" s="28">
        <f>('EXP FD A'!AW59*EurCall!AX58+'EXP FD B'!AW59*EurCall!AX59+'EXP FD C'!AW59*EurCall!AX60)/(1+rate*dt)</f>
        <v>0</v>
      </c>
      <c r="AX59" s="28">
        <f>('EXP FD A'!AX59*EurCall!AY58+'EXP FD B'!AX59*EurCall!AY59+'EXP FD C'!AX59*EurCall!AY60)/(1+rate*dt)</f>
        <v>0</v>
      </c>
      <c r="AY59" s="28">
        <f>('EXP FD A'!AY59*EurCall!AZ58+'EXP FD B'!AY59*EurCall!AZ59+'EXP FD C'!AY59*EurCall!AZ60)/(1+rate*dt)</f>
        <v>0</v>
      </c>
      <c r="AZ59" s="28">
        <f>('EXP FD A'!AZ59*EurCall!BA58+'EXP FD B'!AZ59*EurCall!BA59+'EXP FD C'!AZ59*EurCall!BA60)/(1+rate*dt)</f>
        <v>0</v>
      </c>
      <c r="BA59" s="6">
        <f t="shared" si="6"/>
        <v>0</v>
      </c>
    </row>
    <row r="60" spans="1:53" x14ac:dyDescent="0.2">
      <c r="A60" s="15">
        <f t="shared" si="4"/>
        <v>5</v>
      </c>
      <c r="B60" s="16">
        <f t="shared" si="5"/>
        <v>10</v>
      </c>
      <c r="C60" s="26">
        <f>('EXP FD A'!C60*EurCall!D59+'EXP FD B'!C60*EurCall!D60+'EXP FD C'!C60*EurCall!D61)/(1+rate*dt)</f>
        <v>3.4558449122529563E-13</v>
      </c>
      <c r="D60" s="28">
        <f>('EXP FD A'!D60*EurCall!E59+'EXP FD B'!D60*EurCall!E60+'EXP FD C'!D60*EurCall!E61)/(1+rate*dt)</f>
        <v>2.543900946801342E-13</v>
      </c>
      <c r="E60" s="28">
        <f>('EXP FD A'!E60*EurCall!F59+'EXP FD B'!E60*EurCall!F60+'EXP FD C'!E60*EurCall!F61)/(1+rate*dt)</f>
        <v>1.8565745400729433E-13</v>
      </c>
      <c r="F60" s="28">
        <f>('EXP FD A'!F60*EurCall!G59+'EXP FD B'!F60*EurCall!G60+'EXP FD C'!F60*EurCall!G61)/(1+rate*dt)</f>
        <v>1.3427542396242869E-13</v>
      </c>
      <c r="G60" s="28">
        <f>('EXP FD A'!G60*EurCall!H59+'EXP FD B'!G60*EurCall!H60+'EXP FD C'!G60*EurCall!H61)/(1+rate*dt)</f>
        <v>9.6192856060987034E-14</v>
      </c>
      <c r="H60" s="28">
        <f>('EXP FD A'!H60*EurCall!I59+'EXP FD B'!H60*EurCall!I60+'EXP FD C'!H60*EurCall!I61)/(1+rate*dt)</f>
        <v>6.8221965457203199E-14</v>
      </c>
      <c r="I60" s="28">
        <f>('EXP FD A'!I60*EurCall!J59+'EXP FD B'!I60*EurCall!J60+'EXP FD C'!I60*EurCall!J61)/(1+rate*dt)</f>
        <v>4.7873430506173032E-14</v>
      </c>
      <c r="J60" s="28">
        <f>('EXP FD A'!J60*EurCall!K59+'EXP FD B'!J60*EurCall!K60+'EXP FD C'!J60*EurCall!K61)/(1+rate*dt)</f>
        <v>3.321896908373583E-14</v>
      </c>
      <c r="K60" s="28">
        <f>('EXP FD A'!K60*EurCall!L59+'EXP FD B'!K60*EurCall!L60+'EXP FD C'!K60*EurCall!L61)/(1+rate*dt)</f>
        <v>2.2777569155577318E-14</v>
      </c>
      <c r="L60" s="28">
        <f>('EXP FD A'!L60*EurCall!M59+'EXP FD B'!L60*EurCall!M60+'EXP FD C'!L60*EurCall!M61)/(1+rate*dt)</f>
        <v>1.5421958786264025E-14</v>
      </c>
      <c r="M60" s="28">
        <f>('EXP FD A'!M60*EurCall!N59+'EXP FD B'!M60*EurCall!N60+'EXP FD C'!M60*EurCall!N61)/(1+rate*dt)</f>
        <v>1.0302282242139322E-14</v>
      </c>
      <c r="N60" s="28">
        <f>('EXP FD A'!N60*EurCall!O59+'EXP FD B'!N60*EurCall!O60+'EXP FD C'!N60*EurCall!O61)/(1+rate*dt)</f>
        <v>6.7843037726273765E-15</v>
      </c>
      <c r="O60" s="28">
        <f>('EXP FD A'!O60*EurCall!P59+'EXP FD B'!O60*EurCall!P60+'EXP FD C'!O60*EurCall!P61)/(1+rate*dt)</f>
        <v>4.3997889771219639E-15</v>
      </c>
      <c r="P60" s="28">
        <f>('EXP FD A'!P60*EurCall!Q59+'EXP FD B'!P60*EurCall!Q60+'EXP FD C'!P60*EurCall!Q61)/(1+rate*dt)</f>
        <v>2.8070155214376761E-15</v>
      </c>
      <c r="Q60" s="28">
        <f>('EXP FD A'!Q60*EurCall!R59+'EXP FD B'!Q60*EurCall!R60+'EXP FD C'!Q60*EurCall!R61)/(1+rate*dt)</f>
        <v>1.7596407121311703E-15</v>
      </c>
      <c r="R60" s="28">
        <f>('EXP FD A'!R60*EurCall!S59+'EXP FD B'!R60*EurCall!S60+'EXP FD C'!R60*EurCall!S61)/(1+rate*dt)</f>
        <v>1.082403624362126E-15</v>
      </c>
      <c r="S60" s="28">
        <f>('EXP FD A'!S60*EurCall!T59+'EXP FD B'!S60*EurCall!T60+'EXP FD C'!S60*EurCall!T61)/(1+rate*dt)</f>
        <v>6.5236485522962531E-16</v>
      </c>
      <c r="T60" s="28">
        <f>('EXP FD A'!T60*EurCall!U59+'EXP FD B'!T60*EurCall!U60+'EXP FD C'!T60*EurCall!U61)/(1+rate*dt)</f>
        <v>3.8458846152821106E-16</v>
      </c>
      <c r="U60" s="28">
        <f>('EXP FD A'!U60*EurCall!V59+'EXP FD B'!U60*EurCall!V60+'EXP FD C'!U60*EurCall!V61)/(1+rate*dt)</f>
        <v>2.2134931952649535E-16</v>
      </c>
      <c r="V60" s="28">
        <f>('EXP FD A'!V60*EurCall!W59+'EXP FD B'!V60*EurCall!W60+'EXP FD C'!V60*EurCall!W61)/(1+rate*dt)</f>
        <v>1.2410623546167739E-16</v>
      </c>
      <c r="W60" s="28">
        <f>('EXP FD A'!W60*EurCall!X59+'EXP FD B'!W60*EurCall!X60+'EXP FD C'!W60*EurCall!X61)/(1+rate*dt)</f>
        <v>6.7617978390972019E-17</v>
      </c>
      <c r="X60" s="28">
        <f>('EXP FD A'!X60*EurCall!Y59+'EXP FD B'!X60*EurCall!Y60+'EXP FD C'!X60*EurCall!Y61)/(1+rate*dt)</f>
        <v>3.5697436972303582E-17</v>
      </c>
      <c r="Y60" s="28">
        <f>('EXP FD A'!Y60*EurCall!Z59+'EXP FD B'!Y60*EurCall!Z60+'EXP FD C'!Y60*EurCall!Z61)/(1+rate*dt)</f>
        <v>1.8199825224858933E-17</v>
      </c>
      <c r="Z60" s="28">
        <f>('EXP FD A'!Z60*EurCall!AA59+'EXP FD B'!Z60*EurCall!AA60+'EXP FD C'!Z60*EurCall!AA61)/(1+rate*dt)</f>
        <v>8.9258322059969265E-18</v>
      </c>
      <c r="AA60" s="28">
        <f>('EXP FD A'!AA60*EurCall!AB59+'EXP FD B'!AA60*EurCall!AB60+'EXP FD C'!AA60*EurCall!AB61)/(1+rate*dt)</f>
        <v>4.1914004827382501E-18</v>
      </c>
      <c r="AB60" s="28">
        <f>('EXP FD A'!AB60*EurCall!AC59+'EXP FD B'!AB60*EurCall!AC60+'EXP FD C'!AB60*EurCall!AC61)/(1+rate*dt)</f>
        <v>1.8739973764046155E-18</v>
      </c>
      <c r="AC60" s="28">
        <f>('EXP FD A'!AC60*EurCall!AD59+'EXP FD B'!AC60*EurCall!AD60+'EXP FD C'!AC60*EurCall!AD61)/(1+rate*dt)</f>
        <v>7.9235120307844091E-19</v>
      </c>
      <c r="AD60" s="28">
        <f>('EXP FD A'!AD60*EurCall!AE59+'EXP FD B'!AD60*EurCall!AE60+'EXP FD C'!AD60*EurCall!AE61)/(1+rate*dt)</f>
        <v>3.1414977821321706E-19</v>
      </c>
      <c r="AE60" s="28">
        <f>('EXP FD A'!AE60*EurCall!AF59+'EXP FD B'!AE60*EurCall!AF60+'EXP FD C'!AE60*EurCall!AF61)/(1+rate*dt)</f>
        <v>1.1555438734619978E-19</v>
      </c>
      <c r="AF60" s="28">
        <f>('EXP FD A'!AF60*EurCall!AG59+'EXP FD B'!AF60*EurCall!AG60+'EXP FD C'!AF60*EurCall!AG61)/(1+rate*dt)</f>
        <v>3.889106518485495E-20</v>
      </c>
      <c r="AG60" s="28">
        <f>('EXP FD A'!AG60*EurCall!AH59+'EXP FD B'!AG60*EurCall!AH60+'EXP FD C'!AG60*EurCall!AH61)/(1+rate*dt)</f>
        <v>1.175631154340009E-20</v>
      </c>
      <c r="AH60" s="28">
        <f>('EXP FD A'!AH60*EurCall!AI59+'EXP FD B'!AH60*EurCall!AI60+'EXP FD C'!AH60*EurCall!AI61)/(1+rate*dt)</f>
        <v>3.1103007292784675E-21</v>
      </c>
      <c r="AI60" s="28">
        <f>('EXP FD A'!AI60*EurCall!AJ59+'EXP FD B'!AI60*EurCall!AJ60+'EXP FD C'!AI60*EurCall!AJ61)/(1+rate*dt)</f>
        <v>6.9311100141859518E-22</v>
      </c>
      <c r="AJ60" s="28">
        <f>('EXP FD A'!AJ60*EurCall!AK59+'EXP FD B'!AJ60*EurCall!AK60+'EXP FD C'!AJ60*EurCall!AK61)/(1+rate*dt)</f>
        <v>1.2230635610992134E-22</v>
      </c>
      <c r="AK60" s="28">
        <f>('EXP FD A'!AK60*EurCall!AL59+'EXP FD B'!AK60*EurCall!AL60+'EXP FD C'!AK60*EurCall!AL61)/(1+rate*dt)</f>
        <v>1.5238133717079963E-23</v>
      </c>
      <c r="AL60" s="28">
        <f>('EXP FD A'!AL60*EurCall!AM59+'EXP FD B'!AL60*EurCall!AM60+'EXP FD C'!AL60*EurCall!AM61)/(1+rate*dt)</f>
        <v>1.0088309307050956E-24</v>
      </c>
      <c r="AM60" s="28">
        <f>('EXP FD A'!AM60*EurCall!AN59+'EXP FD B'!AM60*EurCall!AN60+'EXP FD C'!AM60*EurCall!AN61)/(1+rate*dt)</f>
        <v>0</v>
      </c>
      <c r="AN60" s="28">
        <f>('EXP FD A'!AN60*EurCall!AO59+'EXP FD B'!AN60*EurCall!AO60+'EXP FD C'!AN60*EurCall!AO61)/(1+rate*dt)</f>
        <v>0</v>
      </c>
      <c r="AO60" s="28">
        <f>('EXP FD A'!AO60*EurCall!AP59+'EXP FD B'!AO60*EurCall!AP60+'EXP FD C'!AO60*EurCall!AP61)/(1+rate*dt)</f>
        <v>0</v>
      </c>
      <c r="AP60" s="28">
        <f>('EXP FD A'!AP60*EurCall!AQ59+'EXP FD B'!AP60*EurCall!AQ60+'EXP FD C'!AP60*EurCall!AQ61)/(1+rate*dt)</f>
        <v>0</v>
      </c>
      <c r="AQ60" s="28">
        <f>('EXP FD A'!AQ60*EurCall!AR59+'EXP FD B'!AQ60*EurCall!AR60+'EXP FD C'!AQ60*EurCall!AR61)/(1+rate*dt)</f>
        <v>0</v>
      </c>
      <c r="AR60" s="28">
        <f>('EXP FD A'!AR60*EurCall!AS59+'EXP FD B'!AR60*EurCall!AS60+'EXP FD C'!AR60*EurCall!AS61)/(1+rate*dt)</f>
        <v>0</v>
      </c>
      <c r="AS60" s="28">
        <f>('EXP FD A'!AS60*EurCall!AT59+'EXP FD B'!AS60*EurCall!AT60+'EXP FD C'!AS60*EurCall!AT61)/(1+rate*dt)</f>
        <v>0</v>
      </c>
      <c r="AT60" s="28">
        <f>('EXP FD A'!AT60*EurCall!AU59+'EXP FD B'!AT60*EurCall!AU60+'EXP FD C'!AT60*EurCall!AU61)/(1+rate*dt)</f>
        <v>0</v>
      </c>
      <c r="AU60" s="28">
        <f>('EXP FD A'!AU60*EurCall!AV59+'EXP FD B'!AU60*EurCall!AV60+'EXP FD C'!AU60*EurCall!AV61)/(1+rate*dt)</f>
        <v>0</v>
      </c>
      <c r="AV60" s="28">
        <f>('EXP FD A'!AV60*EurCall!AW59+'EXP FD B'!AV60*EurCall!AW60+'EXP FD C'!AV60*EurCall!AW61)/(1+rate*dt)</f>
        <v>0</v>
      </c>
      <c r="AW60" s="28">
        <f>('EXP FD A'!AW60*EurCall!AX59+'EXP FD B'!AW60*EurCall!AX60+'EXP FD C'!AW60*EurCall!AX61)/(1+rate*dt)</f>
        <v>0</v>
      </c>
      <c r="AX60" s="28">
        <f>('EXP FD A'!AX60*EurCall!AY59+'EXP FD B'!AX60*EurCall!AY60+'EXP FD C'!AX60*EurCall!AY61)/(1+rate*dt)</f>
        <v>0</v>
      </c>
      <c r="AY60" s="28">
        <f>('EXP FD A'!AY60*EurCall!AZ59+'EXP FD B'!AY60*EurCall!AZ60+'EXP FD C'!AY60*EurCall!AZ61)/(1+rate*dt)</f>
        <v>0</v>
      </c>
      <c r="AZ60" s="28">
        <f>('EXP FD A'!AZ60*EurCall!BA59+'EXP FD B'!AZ60*EurCall!BA60+'EXP FD C'!AZ60*EurCall!BA61)/(1+rate*dt)</f>
        <v>0</v>
      </c>
      <c r="BA60" s="6">
        <f t="shared" si="6"/>
        <v>0</v>
      </c>
    </row>
    <row r="61" spans="1:53" x14ac:dyDescent="0.2">
      <c r="A61" s="15">
        <f t="shared" si="4"/>
        <v>4</v>
      </c>
      <c r="B61" s="16">
        <f t="shared" si="5"/>
        <v>8</v>
      </c>
      <c r="C61" s="26">
        <f>('EXP FD A'!C61*EurCall!D60+'EXP FD B'!C61*EurCall!D61+'EXP FD C'!C61*EurCall!D62)/(1+rate*dt)</f>
        <v>2.8830994714207092E-15</v>
      </c>
      <c r="D61" s="28">
        <f>('EXP FD A'!D61*EurCall!E60+'EXP FD B'!D61*EurCall!E61+'EXP FD C'!D61*EurCall!E62)/(1+rate*dt)</f>
        <v>2.0568939289934678E-15</v>
      </c>
      <c r="E61" s="28">
        <f>('EXP FD A'!E61*EurCall!F60+'EXP FD B'!E61*EurCall!F61+'EXP FD C'!E61*EurCall!F62)/(1+rate*dt)</f>
        <v>1.4536121698534539E-15</v>
      </c>
      <c r="F61" s="28">
        <f>('EXP FD A'!F61*EurCall!G60+'EXP FD B'!F61*EurCall!G61+'EXP FD C'!F61*EurCall!G62)/(1+rate*dt)</f>
        <v>1.0170729615803963E-15</v>
      </c>
      <c r="G61" s="28">
        <f>('EXP FD A'!G61*EurCall!H60+'EXP FD B'!G61*EurCall!H61+'EXP FD C'!G61*EurCall!H62)/(1+rate*dt)</f>
        <v>7.041859867753248E-16</v>
      </c>
      <c r="H61" s="28">
        <f>('EXP FD A'!H61*EurCall!I60+'EXP FD B'!H61*EurCall!I61+'EXP FD C'!H61*EurCall!I62)/(1+rate*dt)</f>
        <v>4.8216918179491795E-16</v>
      </c>
      <c r="I61" s="28">
        <f>('EXP FD A'!I61*EurCall!J60+'EXP FD B'!I61*EurCall!J61+'EXP FD C'!I61*EurCall!J62)/(1+rate*dt)</f>
        <v>3.2629573488588597E-16</v>
      </c>
      <c r="J61" s="28">
        <f>('EXP FD A'!J61*EurCall!K60+'EXP FD B'!J61*EurCall!K61+'EXP FD C'!J61*EurCall!K62)/(1+rate*dt)</f>
        <v>2.1808291421693153E-16</v>
      </c>
      <c r="K61" s="28">
        <f>('EXP FD A'!K61*EurCall!L60+'EXP FD B'!K61*EurCall!L61+'EXP FD C'!K61*EurCall!L62)/(1+rate*dt)</f>
        <v>1.4384702379756782E-16</v>
      </c>
      <c r="L61" s="28">
        <f>('EXP FD A'!L61*EurCall!M60+'EXP FD B'!L61*EurCall!M61+'EXP FD C'!L61*EurCall!M62)/(1+rate*dt)</f>
        <v>9.3559637044236193E-17</v>
      </c>
      <c r="M61" s="28">
        <f>('EXP FD A'!M61*EurCall!N60+'EXP FD B'!M61*EurCall!N61+'EXP FD C'!M61*EurCall!N62)/(1+rate*dt)</f>
        <v>5.9949912715374468E-17</v>
      </c>
      <c r="N61" s="28">
        <f>('EXP FD A'!N61*EurCall!O60+'EXP FD B'!N61*EurCall!O61+'EXP FD C'!N61*EurCall!O62)/(1+rate*dt)</f>
        <v>3.7806336489742334E-17</v>
      </c>
      <c r="O61" s="28">
        <f>('EXP FD A'!O61*EurCall!P60+'EXP FD B'!O61*EurCall!P61+'EXP FD C'!O61*EurCall!P62)/(1+rate*dt)</f>
        <v>2.3438734774195072E-17</v>
      </c>
      <c r="P61" s="28">
        <f>('EXP FD A'!P61*EurCall!Q60+'EXP FD B'!P61*EurCall!Q61+'EXP FD C'!P61*EurCall!Q62)/(1+rate*dt)</f>
        <v>1.4267956615319941E-17</v>
      </c>
      <c r="Q61" s="28">
        <f>('EXP FD A'!Q61*EurCall!R60+'EXP FD B'!Q61*EurCall!R61+'EXP FD C'!Q61*EurCall!R62)/(1+rate*dt)</f>
        <v>8.516295419660225E-18</v>
      </c>
      <c r="R61" s="28">
        <f>('EXP FD A'!R61*EurCall!S60+'EXP FD B'!R61*EurCall!S61+'EXP FD C'!R61*EurCall!S62)/(1+rate*dt)</f>
        <v>4.9766037988838601E-18</v>
      </c>
      <c r="S61" s="28">
        <f>('EXP FD A'!S61*EurCall!T60+'EXP FD B'!S61*EurCall!T61+'EXP FD C'!S61*EurCall!T62)/(1+rate*dt)</f>
        <v>2.8422195214866238E-18</v>
      </c>
      <c r="T61" s="28">
        <f>('EXP FD A'!T61*EurCall!U60+'EXP FD B'!T61*EurCall!U61+'EXP FD C'!T61*EurCall!U62)/(1+rate*dt)</f>
        <v>1.5833429800075355E-18</v>
      </c>
      <c r="U61" s="28">
        <f>('EXP FD A'!U61*EurCall!V60+'EXP FD B'!U61*EurCall!V61+'EXP FD C'!U61*EurCall!V62)/(1+rate*dt)</f>
        <v>8.5845837255577554E-19</v>
      </c>
      <c r="V61" s="28">
        <f>('EXP FD A'!V61*EurCall!W60+'EXP FD B'!V61*EurCall!W61+'EXP FD C'!V61*EurCall!W62)/(1+rate*dt)</f>
        <v>4.5183995736298221E-19</v>
      </c>
      <c r="W61" s="28">
        <f>('EXP FD A'!W61*EurCall!X60+'EXP FD B'!W61*EurCall!X61+'EXP FD C'!W61*EurCall!X62)/(1+rate*dt)</f>
        <v>2.3019526711797532E-19</v>
      </c>
      <c r="X61" s="28">
        <f>('EXP FD A'!X61*EurCall!Y60+'EXP FD B'!X61*EurCall!Y61+'EXP FD C'!X61*EurCall!Y62)/(1+rate*dt)</f>
        <v>1.1312871088940836E-19</v>
      </c>
      <c r="Y61" s="28">
        <f>('EXP FD A'!Y61*EurCall!Z60+'EXP FD B'!Y61*EurCall!Z61+'EXP FD C'!Y61*EurCall!Z62)/(1+rate*dt)</f>
        <v>5.3416572010157373E-20</v>
      </c>
      <c r="Z61" s="28">
        <f>('EXP FD A'!Z61*EurCall!AA60+'EXP FD B'!Z61*EurCall!AA61+'EXP FD C'!Z61*EurCall!AA62)/(1+rate*dt)</f>
        <v>2.4118255079464524E-20</v>
      </c>
      <c r="AA61" s="28">
        <f>('EXP FD A'!AA61*EurCall!AB60+'EXP FD B'!AA61*EurCall!AB61+'EXP FD C'!AA61*EurCall!AB62)/(1+rate*dt)</f>
        <v>1.0354067157329009E-20</v>
      </c>
      <c r="AB61" s="28">
        <f>('EXP FD A'!AB61*EurCall!AC60+'EXP FD B'!AB61*EurCall!AC61+'EXP FD C'!AB61*EurCall!AC62)/(1+rate*dt)</f>
        <v>4.1972419397326402E-21</v>
      </c>
      <c r="AC61" s="28">
        <f>('EXP FD A'!AC61*EurCall!AD60+'EXP FD B'!AC61*EurCall!AD61+'EXP FD C'!AC61*EurCall!AD62)/(1+rate*dt)</f>
        <v>1.5928825941061273E-21</v>
      </c>
      <c r="AD61" s="28">
        <f>('EXP FD A'!AD61*EurCall!AE60+'EXP FD B'!AD61*EurCall!AE61+'EXP FD C'!AD61*EurCall!AE62)/(1+rate*dt)</f>
        <v>5.5984956993009281E-22</v>
      </c>
      <c r="AE61" s="28">
        <f>('EXP FD A'!AE61*EurCall!AF60+'EXP FD B'!AE61*EurCall!AF61+'EXP FD C'!AE61*EurCall!AF62)/(1+rate*dt)</f>
        <v>1.7969775535219597E-22</v>
      </c>
      <c r="AF61" s="28">
        <f>('EXP FD A'!AF61*EurCall!AG60+'EXP FD B'!AF61*EurCall!AG61+'EXP FD C'!AF61*EurCall!AG62)/(1+rate*dt)</f>
        <v>5.1696991557246989E-23</v>
      </c>
      <c r="AG61" s="28">
        <f>('EXP FD A'!AG61*EurCall!AH60+'EXP FD B'!AG61*EurCall!AH61+'EXP FD C'!AG61*EurCall!AH62)/(1+rate*dt)</f>
        <v>1.2986845217602957E-23</v>
      </c>
      <c r="AH61" s="28">
        <f>('EXP FD A'!AH61*EurCall!AI60+'EXP FD B'!AH61*EurCall!AI61+'EXP FD C'!AH61*EurCall!AI62)/(1+rate*dt)</f>
        <v>2.7410418362181436E-24</v>
      </c>
      <c r="AI61" s="28">
        <f>('EXP FD A'!AI61*EurCall!AJ60+'EXP FD B'!AI61*EurCall!AJ61+'EXP FD C'!AI61*EurCall!AJ62)/(1+rate*dt)</f>
        <v>4.5683600329042817E-25</v>
      </c>
      <c r="AJ61" s="28">
        <f>('EXP FD A'!AJ61*EurCall!AK60+'EXP FD B'!AJ61*EurCall!AK61+'EXP FD C'!AJ61*EurCall!AK62)/(1+rate*dt)</f>
        <v>5.3590831903330113E-26</v>
      </c>
      <c r="AK61" s="28">
        <f>('EXP FD A'!AK61*EurCall!AL60+'EXP FD B'!AK61*EurCall!AL61+'EXP FD C'!AK61*EurCall!AL62)/(1+rate*dt)</f>
        <v>3.3289756225456889E-27</v>
      </c>
      <c r="AL61" s="28">
        <f>('EXP FD A'!AL61*EurCall!AM60+'EXP FD B'!AL61*EurCall!AM61+'EXP FD C'!AL61*EurCall!AM62)/(1+rate*dt)</f>
        <v>0</v>
      </c>
      <c r="AM61" s="28">
        <f>('EXP FD A'!AM61*EurCall!AN60+'EXP FD B'!AM61*EurCall!AN61+'EXP FD C'!AM61*EurCall!AN62)/(1+rate*dt)</f>
        <v>0</v>
      </c>
      <c r="AN61" s="28">
        <f>('EXP FD A'!AN61*EurCall!AO60+'EXP FD B'!AN61*EurCall!AO61+'EXP FD C'!AN61*EurCall!AO62)/(1+rate*dt)</f>
        <v>0</v>
      </c>
      <c r="AO61" s="28">
        <f>('EXP FD A'!AO61*EurCall!AP60+'EXP FD B'!AO61*EurCall!AP61+'EXP FD C'!AO61*EurCall!AP62)/(1+rate*dt)</f>
        <v>0</v>
      </c>
      <c r="AP61" s="28">
        <f>('EXP FD A'!AP61*EurCall!AQ60+'EXP FD B'!AP61*EurCall!AQ61+'EXP FD C'!AP61*EurCall!AQ62)/(1+rate*dt)</f>
        <v>0</v>
      </c>
      <c r="AQ61" s="28">
        <f>('EXP FD A'!AQ61*EurCall!AR60+'EXP FD B'!AQ61*EurCall!AR61+'EXP FD C'!AQ61*EurCall!AR62)/(1+rate*dt)</f>
        <v>0</v>
      </c>
      <c r="AR61" s="28">
        <f>('EXP FD A'!AR61*EurCall!AS60+'EXP FD B'!AR61*EurCall!AS61+'EXP FD C'!AR61*EurCall!AS62)/(1+rate*dt)</f>
        <v>0</v>
      </c>
      <c r="AS61" s="28">
        <f>('EXP FD A'!AS61*EurCall!AT60+'EXP FD B'!AS61*EurCall!AT61+'EXP FD C'!AS61*EurCall!AT62)/(1+rate*dt)</f>
        <v>0</v>
      </c>
      <c r="AT61" s="28">
        <f>('EXP FD A'!AT61*EurCall!AU60+'EXP FD B'!AT61*EurCall!AU61+'EXP FD C'!AT61*EurCall!AU62)/(1+rate*dt)</f>
        <v>0</v>
      </c>
      <c r="AU61" s="28">
        <f>('EXP FD A'!AU61*EurCall!AV60+'EXP FD B'!AU61*EurCall!AV61+'EXP FD C'!AU61*EurCall!AV62)/(1+rate*dt)</f>
        <v>0</v>
      </c>
      <c r="AV61" s="28">
        <f>('EXP FD A'!AV61*EurCall!AW60+'EXP FD B'!AV61*EurCall!AW61+'EXP FD C'!AV61*EurCall!AW62)/(1+rate*dt)</f>
        <v>0</v>
      </c>
      <c r="AW61" s="28">
        <f>('EXP FD A'!AW61*EurCall!AX60+'EXP FD B'!AW61*EurCall!AX61+'EXP FD C'!AW61*EurCall!AX62)/(1+rate*dt)</f>
        <v>0</v>
      </c>
      <c r="AX61" s="28">
        <f>('EXP FD A'!AX61*EurCall!AY60+'EXP FD B'!AX61*EurCall!AY61+'EXP FD C'!AX61*EurCall!AY62)/(1+rate*dt)</f>
        <v>0</v>
      </c>
      <c r="AY61" s="28">
        <f>('EXP FD A'!AY61*EurCall!AZ60+'EXP FD B'!AY61*EurCall!AZ61+'EXP FD C'!AY61*EurCall!AZ62)/(1+rate*dt)</f>
        <v>0</v>
      </c>
      <c r="AZ61" s="28">
        <f>('EXP FD A'!AZ61*EurCall!BA60+'EXP FD B'!AZ61*EurCall!BA61+'EXP FD C'!AZ61*EurCall!BA62)/(1+rate*dt)</f>
        <v>0</v>
      </c>
      <c r="BA61" s="6">
        <f t="shared" si="6"/>
        <v>0</v>
      </c>
    </row>
    <row r="62" spans="1:53" x14ac:dyDescent="0.2">
      <c r="A62" s="15">
        <f t="shared" si="4"/>
        <v>3</v>
      </c>
      <c r="B62" s="16">
        <f t="shared" si="5"/>
        <v>6</v>
      </c>
      <c r="C62" s="26">
        <f>('EXP FD A'!C62*EurCall!D61+'EXP FD B'!C62*EurCall!D62+'EXP FD C'!C62*EurCall!D63)/(1+rate*dt)</f>
        <v>1.2375656717005992E-17</v>
      </c>
      <c r="D62" s="28">
        <f>('EXP FD A'!D62*EurCall!E61+'EXP FD B'!D62*EurCall!E62+'EXP FD C'!D62*EurCall!E63)/(1+rate*dt)</f>
        <v>8.5503554605584351E-18</v>
      </c>
      <c r="E62" s="28">
        <f>('EXP FD A'!E62*EurCall!F61+'EXP FD B'!E62*EurCall!F62+'EXP FD C'!E62*EurCall!F63)/(1+rate*dt)</f>
        <v>5.8462901465202478E-18</v>
      </c>
      <c r="F62" s="28">
        <f>('EXP FD A'!F62*EurCall!G61+'EXP FD B'!F62*EurCall!G62+'EXP FD C'!F62*EurCall!G63)/(1+rate*dt)</f>
        <v>3.9537934355826614E-18</v>
      </c>
      <c r="G62" s="28">
        <f>('EXP FD A'!G62*EurCall!H61+'EXP FD B'!G62*EurCall!H62+'EXP FD C'!G62*EurCall!H63)/(1+rate*dt)</f>
        <v>2.6431507275738035E-18</v>
      </c>
      <c r="H62" s="28">
        <f>('EXP FD A'!H62*EurCall!I61+'EXP FD B'!H62*EurCall!I62+'EXP FD C'!H62*EurCall!I63)/(1+rate*dt)</f>
        <v>1.745494987946402E-18</v>
      </c>
      <c r="I62" s="28">
        <f>('EXP FD A'!I62*EurCall!J61+'EXP FD B'!I62*EurCall!J62+'EXP FD C'!I62*EurCall!J63)/(1+rate*dt)</f>
        <v>1.1378712969007478E-18</v>
      </c>
      <c r="J62" s="28">
        <f>('EXP FD A'!J62*EurCall!K61+'EXP FD B'!J62*EurCall!K62+'EXP FD C'!J62*EurCall!K63)/(1+rate*dt)</f>
        <v>7.3165495447414588E-19</v>
      </c>
      <c r="K62" s="28">
        <f>('EXP FD A'!K62*EurCall!L61+'EXP FD B'!K62*EurCall!L62+'EXP FD C'!K62*EurCall!L63)/(1+rate*dt)</f>
        <v>4.6364644317883887E-19</v>
      </c>
      <c r="L62" s="28">
        <f>('EXP FD A'!L62*EurCall!M61+'EXP FD B'!L62*EurCall!M62+'EXP FD C'!L62*EurCall!M63)/(1+rate*dt)</f>
        <v>2.8928610751979043E-19</v>
      </c>
      <c r="M62" s="28">
        <f>('EXP FD A'!M62*EurCall!N61+'EXP FD B'!M62*EurCall!N62+'EXP FD C'!M62*EurCall!N63)/(1+rate*dt)</f>
        <v>1.7753323631086615E-19</v>
      </c>
      <c r="N62" s="28">
        <f>('EXP FD A'!N62*EurCall!O61+'EXP FD B'!N62*EurCall!O62+'EXP FD C'!N62*EurCall!O63)/(1+rate*dt)</f>
        <v>1.0704036513517284E-19</v>
      </c>
      <c r="O62" s="28">
        <f>('EXP FD A'!O62*EurCall!P61+'EXP FD B'!O62*EurCall!P62+'EXP FD C'!O62*EurCall!P63)/(1+rate*dt)</f>
        <v>6.3325943263575611E-20</v>
      </c>
      <c r="P62" s="28">
        <f>('EXP FD A'!P62*EurCall!Q61+'EXP FD B'!P62*EurCall!Q62+'EXP FD C'!P62*EurCall!Q63)/(1+rate*dt)</f>
        <v>3.6708776631784144E-20</v>
      </c>
      <c r="Q62" s="28">
        <f>('EXP FD A'!Q62*EurCall!R61+'EXP FD B'!Q62*EurCall!R62+'EXP FD C'!Q62*EurCall!R63)/(1+rate*dt)</f>
        <v>2.0817465627577605E-20</v>
      </c>
      <c r="R62" s="28">
        <f>('EXP FD A'!R62*EurCall!S61+'EXP FD B'!R62*EurCall!S62+'EXP FD C'!R62*EurCall!S63)/(1+rate*dt)</f>
        <v>1.1528859738343091E-20</v>
      </c>
      <c r="S62" s="28">
        <f>('EXP FD A'!S62*EurCall!T61+'EXP FD B'!S62*EurCall!T62+'EXP FD C'!S62*EurCall!T63)/(1+rate*dt)</f>
        <v>6.2226667521608203E-21</v>
      </c>
      <c r="T62" s="28">
        <f>('EXP FD A'!T62*EurCall!U61+'EXP FD B'!T62*EurCall!U62+'EXP FD C'!T62*EurCall!U63)/(1+rate*dt)</f>
        <v>3.2659626175314876E-21</v>
      </c>
      <c r="U62" s="28">
        <f>('EXP FD A'!U62*EurCall!V61+'EXP FD B'!U62*EurCall!V62+'EXP FD C'!U62*EurCall!V63)/(1+rate*dt)</f>
        <v>1.6624992524213972E-21</v>
      </c>
      <c r="V62" s="28">
        <f>('EXP FD A'!V62*EurCall!W61+'EXP FD B'!V62*EurCall!W62+'EXP FD C'!V62*EurCall!W63)/(1+rate*dt)</f>
        <v>8.1832742218059255E-22</v>
      </c>
      <c r="W62" s="28">
        <f>('EXP FD A'!W62*EurCall!X61+'EXP FD B'!W62*EurCall!X62+'EXP FD C'!W62*EurCall!X63)/(1+rate*dt)</f>
        <v>3.8814910397228326E-22</v>
      </c>
      <c r="X62" s="28">
        <f>('EXP FD A'!X62*EurCall!Y61+'EXP FD B'!X62*EurCall!Y62+'EXP FD C'!X62*EurCall!Y63)/(1+rate*dt)</f>
        <v>1.7668806879780812E-22</v>
      </c>
      <c r="Y62" s="28">
        <f>('EXP FD A'!Y62*EurCall!Z61+'EXP FD B'!Y62*EurCall!Z62+'EXP FD C'!Y62*EurCall!Z63)/(1+rate*dt)</f>
        <v>7.6817298703054883E-23</v>
      </c>
      <c r="Z62" s="28">
        <f>('EXP FD A'!Z62*EurCall!AA61+'EXP FD B'!Z62*EurCall!AA62+'EXP FD C'!Z62*EurCall!AA63)/(1+rate*dt)</f>
        <v>3.1713552279522701E-23</v>
      </c>
      <c r="AA62" s="28">
        <f>('EXP FD A'!AA62*EurCall!AB61+'EXP FD B'!AA62*EurCall!AB62+'EXP FD C'!AA62*EurCall!AB63)/(1+rate*dt)</f>
        <v>1.2345696827988102E-23</v>
      </c>
      <c r="AB62" s="28">
        <f>('EXP FD A'!AB62*EurCall!AC61+'EXP FD B'!AB62*EurCall!AC62+'EXP FD C'!AB62*EurCall!AC63)/(1+rate*dt)</f>
        <v>4.4926559011912753E-24</v>
      </c>
      <c r="AC62" s="28">
        <f>('EXP FD A'!AC62*EurCall!AD61+'EXP FD B'!AC62*EurCall!AD62+'EXP FD C'!AC62*EurCall!AD63)/(1+rate*dt)</f>
        <v>1.5116667493019955E-24</v>
      </c>
      <c r="AD62" s="28">
        <f>('EXP FD A'!AD62*EurCall!AE61+'EXP FD B'!AD62*EurCall!AE62+'EXP FD C'!AD62*EurCall!AE63)/(1+rate*dt)</f>
        <v>4.636934438434875E-25</v>
      </c>
      <c r="AE62" s="28">
        <f>('EXP FD A'!AE62*EurCall!AF61+'EXP FD B'!AE62*EurCall!AF62+'EXP FD C'!AE62*EurCall!AF63)/(1+rate*dt)</f>
        <v>1.2724135098635986E-25</v>
      </c>
      <c r="AF62" s="28">
        <f>('EXP FD A'!AF62*EurCall!AG61+'EXP FD B'!AF62*EurCall!AG62+'EXP FD C'!AF62*EurCall!AG63)/(1+rate*dt)</f>
        <v>3.0425374717174906E-26</v>
      </c>
      <c r="AG62" s="28">
        <f>('EXP FD A'!AG62*EurCall!AH61+'EXP FD B'!AG62*EurCall!AH62+'EXP FD C'!AG62*EurCall!AH63)/(1+rate*dt)</f>
        <v>6.0985142773232109E-27</v>
      </c>
      <c r="AH62" s="28">
        <f>('EXP FD A'!AH62*EurCall!AI61+'EXP FD B'!AH62*EurCall!AI62+'EXP FD C'!AH62*EurCall!AI63)/(1+rate*dt)</f>
        <v>9.6283178899642075E-28</v>
      </c>
      <c r="AI62" s="28">
        <f>('EXP FD A'!AI62*EurCall!AJ61+'EXP FD B'!AI62*EurCall!AJ62+'EXP FD C'!AI62*EurCall!AJ63)/(1+rate*dt)</f>
        <v>1.0669652274703988E-28</v>
      </c>
      <c r="AJ62" s="28">
        <f>('EXP FD A'!AJ62*EurCall!AK61+'EXP FD B'!AJ62*EurCall!AK62+'EXP FD C'!AJ62*EurCall!AK63)/(1+rate*dt)</f>
        <v>6.2415172164123473E-30</v>
      </c>
      <c r="AK62" s="28">
        <f>('EXP FD A'!AK62*EurCall!AL61+'EXP FD B'!AK62*EurCall!AL62+'EXP FD C'!AK62*EurCall!AL63)/(1+rate*dt)</f>
        <v>0</v>
      </c>
      <c r="AL62" s="28">
        <f>('EXP FD A'!AL62*EurCall!AM61+'EXP FD B'!AL62*EurCall!AM62+'EXP FD C'!AL62*EurCall!AM63)/(1+rate*dt)</f>
        <v>0</v>
      </c>
      <c r="AM62" s="28">
        <f>('EXP FD A'!AM62*EurCall!AN61+'EXP FD B'!AM62*EurCall!AN62+'EXP FD C'!AM62*EurCall!AN63)/(1+rate*dt)</f>
        <v>0</v>
      </c>
      <c r="AN62" s="28">
        <f>('EXP FD A'!AN62*EurCall!AO61+'EXP FD B'!AN62*EurCall!AO62+'EXP FD C'!AN62*EurCall!AO63)/(1+rate*dt)</f>
        <v>0</v>
      </c>
      <c r="AO62" s="28">
        <f>('EXP FD A'!AO62*EurCall!AP61+'EXP FD B'!AO62*EurCall!AP62+'EXP FD C'!AO62*EurCall!AP63)/(1+rate*dt)</f>
        <v>0</v>
      </c>
      <c r="AP62" s="28">
        <f>('EXP FD A'!AP62*EurCall!AQ61+'EXP FD B'!AP62*EurCall!AQ62+'EXP FD C'!AP62*EurCall!AQ63)/(1+rate*dt)</f>
        <v>0</v>
      </c>
      <c r="AQ62" s="28">
        <f>('EXP FD A'!AQ62*EurCall!AR61+'EXP FD B'!AQ62*EurCall!AR62+'EXP FD C'!AQ62*EurCall!AR63)/(1+rate*dt)</f>
        <v>0</v>
      </c>
      <c r="AR62" s="28">
        <f>('EXP FD A'!AR62*EurCall!AS61+'EXP FD B'!AR62*EurCall!AS62+'EXP FD C'!AR62*EurCall!AS63)/(1+rate*dt)</f>
        <v>0</v>
      </c>
      <c r="AS62" s="28">
        <f>('EXP FD A'!AS62*EurCall!AT61+'EXP FD B'!AS62*EurCall!AT62+'EXP FD C'!AS62*EurCall!AT63)/(1+rate*dt)</f>
        <v>0</v>
      </c>
      <c r="AT62" s="28">
        <f>('EXP FD A'!AT62*EurCall!AU61+'EXP FD B'!AT62*EurCall!AU62+'EXP FD C'!AT62*EurCall!AU63)/(1+rate*dt)</f>
        <v>0</v>
      </c>
      <c r="AU62" s="28">
        <f>('EXP FD A'!AU62*EurCall!AV61+'EXP FD B'!AU62*EurCall!AV62+'EXP FD C'!AU62*EurCall!AV63)/(1+rate*dt)</f>
        <v>0</v>
      </c>
      <c r="AV62" s="28">
        <f>('EXP FD A'!AV62*EurCall!AW61+'EXP FD B'!AV62*EurCall!AW62+'EXP FD C'!AV62*EurCall!AW63)/(1+rate*dt)</f>
        <v>0</v>
      </c>
      <c r="AW62" s="28">
        <f>('EXP FD A'!AW62*EurCall!AX61+'EXP FD B'!AW62*EurCall!AX62+'EXP FD C'!AW62*EurCall!AX63)/(1+rate*dt)</f>
        <v>0</v>
      </c>
      <c r="AX62" s="28">
        <f>('EXP FD A'!AX62*EurCall!AY61+'EXP FD B'!AX62*EurCall!AY62+'EXP FD C'!AX62*EurCall!AY63)/(1+rate*dt)</f>
        <v>0</v>
      </c>
      <c r="AY62" s="28">
        <f>('EXP FD A'!AY62*EurCall!AZ61+'EXP FD B'!AY62*EurCall!AZ62+'EXP FD C'!AY62*EurCall!AZ63)/(1+rate*dt)</f>
        <v>0</v>
      </c>
      <c r="AZ62" s="28">
        <f>('EXP FD A'!AZ62*EurCall!BA61+'EXP FD B'!AZ62*EurCall!BA62+'EXP FD C'!AZ62*EurCall!BA63)/(1+rate*dt)</f>
        <v>0</v>
      </c>
      <c r="BA62" s="6">
        <f t="shared" si="6"/>
        <v>0</v>
      </c>
    </row>
    <row r="63" spans="1:53" x14ac:dyDescent="0.2">
      <c r="A63" s="15">
        <f t="shared" si="4"/>
        <v>2</v>
      </c>
      <c r="B63" s="16">
        <f t="shared" si="5"/>
        <v>4</v>
      </c>
      <c r="C63" s="26">
        <f>('EXP FD A'!C63*EurCall!D62+'EXP FD B'!C63*EurCall!D63+'EXP FD C'!C63*EurCall!D64)/(1+rate*dt)</f>
        <v>2.1853238815446238E-20</v>
      </c>
      <c r="D63" s="28">
        <f>('EXP FD A'!D63*EurCall!E62+'EXP FD B'!D63*EurCall!E63+'EXP FD C'!D63*EurCall!E64)/(1+rate*dt)</f>
        <v>1.4609900674429829E-20</v>
      </c>
      <c r="E63" s="28">
        <f>('EXP FD A'!E63*EurCall!F62+'EXP FD B'!E63*EurCall!F63+'EXP FD C'!E63*EurCall!F64)/(1+rate*dt)</f>
        <v>9.6567324424664103E-21</v>
      </c>
      <c r="F63" s="28">
        <f>('EXP FD A'!F63*EurCall!G62+'EXP FD B'!F63*EurCall!G63+'EXP FD C'!F63*EurCall!G64)/(1+rate*dt)</f>
        <v>6.3065795751678512E-21</v>
      </c>
      <c r="G63" s="28">
        <f>('EXP FD A'!G63*EurCall!H62+'EXP FD B'!G63*EurCall!H63+'EXP FD C'!G63*EurCall!H64)/(1+rate*dt)</f>
        <v>4.0667224162980107E-21</v>
      </c>
      <c r="H63" s="28">
        <f>('EXP FD A'!H63*EurCall!I62+'EXP FD B'!H63*EurCall!I63+'EXP FD C'!H63*EurCall!I64)/(1+rate*dt)</f>
        <v>2.5873941543252659E-21</v>
      </c>
      <c r="I63" s="28">
        <f>('EXP FD A'!I63*EurCall!J62+'EXP FD B'!I63*EurCall!J63+'EXP FD C'!I63*EurCall!J64)/(1+rate*dt)</f>
        <v>1.6229291930589277E-21</v>
      </c>
      <c r="J63" s="28">
        <f>('EXP FD A'!J63*EurCall!K62+'EXP FD B'!J63*EurCall!K63+'EXP FD C'!J63*EurCall!K64)/(1+rate*dt)</f>
        <v>1.0027077143288387E-21</v>
      </c>
      <c r="K63" s="28">
        <f>('EXP FD A'!K63*EurCall!L62+'EXP FD B'!K63*EurCall!L63+'EXP FD C'!K63*EurCall!L64)/(1+rate*dt)</f>
        <v>6.0963364341836377E-22</v>
      </c>
      <c r="L63" s="28">
        <f>('EXP FD A'!L63*EurCall!M62+'EXP FD B'!L63*EurCall!M63+'EXP FD C'!L63*EurCall!M64)/(1+rate*dt)</f>
        <v>3.6435381783835034E-22</v>
      </c>
      <c r="M63" s="28">
        <f>('EXP FD A'!M63*EurCall!N62+'EXP FD B'!M63*EurCall!N63+'EXP FD C'!M63*EurCall!N64)/(1+rate*dt)</f>
        <v>2.1381083608194473E-22</v>
      </c>
      <c r="N63" s="28">
        <f>('EXP FD A'!N63*EurCall!O62+'EXP FD B'!N63*EurCall!O63+'EXP FD C'!N63*EurCall!O64)/(1+rate*dt)</f>
        <v>1.230340455605871E-22</v>
      </c>
      <c r="O63" s="28">
        <f>('EXP FD A'!O63*EurCall!P62+'EXP FD B'!O63*EurCall!P63+'EXP FD C'!O63*EurCall!P64)/(1+rate*dt)</f>
        <v>6.9324050490231726E-23</v>
      </c>
      <c r="P63" s="28">
        <f>('EXP FD A'!P63*EurCall!Q62+'EXP FD B'!P63*EurCall!Q63+'EXP FD C'!P63*EurCall!Q64)/(1+rate*dt)</f>
        <v>3.8186147352548072E-23</v>
      </c>
      <c r="Q63" s="28">
        <f>('EXP FD A'!Q63*EurCall!R62+'EXP FD B'!Q63*EurCall!R63+'EXP FD C'!Q63*EurCall!R64)/(1+rate*dt)</f>
        <v>2.0526048977871639E-23</v>
      </c>
      <c r="R63" s="28">
        <f>('EXP FD A'!R63*EurCall!S62+'EXP FD B'!R63*EurCall!S63+'EXP FD C'!R63*EurCall!S64)/(1+rate*dt)</f>
        <v>1.0744734312951124E-23</v>
      </c>
      <c r="S63" s="28">
        <f>('EXP FD A'!S63*EurCall!T62+'EXP FD B'!S63*EurCall!T63+'EXP FD C'!S63*EurCall!T64)/(1+rate*dt)</f>
        <v>5.464747563503924E-24</v>
      </c>
      <c r="T63" s="28">
        <f>('EXP FD A'!T63*EurCall!U62+'EXP FD B'!T63*EurCall!U63+'EXP FD C'!T63*EurCall!U64)/(1+rate*dt)</f>
        <v>2.6932614055917868E-24</v>
      </c>
      <c r="U63" s="28">
        <f>('EXP FD A'!U63*EurCall!V62+'EXP FD B'!U63*EurCall!V63+'EXP FD C'!U63*EurCall!V64)/(1+rate*dt)</f>
        <v>1.2823232489684152E-24</v>
      </c>
      <c r="V63" s="28">
        <f>('EXP FD A'!V63*EurCall!W62+'EXP FD B'!V63*EurCall!W63+'EXP FD C'!V63*EurCall!W64)/(1+rate*dt)</f>
        <v>5.8774938209972266E-25</v>
      </c>
      <c r="W63" s="28">
        <f>('EXP FD A'!W63*EurCall!X62+'EXP FD B'!W63*EurCall!X63+'EXP FD C'!W63*EurCall!X64)/(1+rate*dt)</f>
        <v>2.5826522593162915E-25</v>
      </c>
      <c r="X63" s="28">
        <f>('EXP FD A'!X63*EurCall!Y62+'EXP FD B'!X63*EurCall!Y63+'EXP FD C'!X63*EurCall!Y64)/(1+rate*dt)</f>
        <v>1.0826649574968682E-25</v>
      </c>
      <c r="Y63" s="28">
        <f>('EXP FD A'!Y63*EurCall!Z62+'EXP FD B'!Y63*EurCall!Z63+'EXP FD C'!Y63*EurCall!Z64)/(1+rate*dt)</f>
        <v>4.3046074800074883E-26</v>
      </c>
      <c r="Z63" s="28">
        <f>('EXP FD A'!Z63*EurCall!AA62+'EXP FD B'!Z63*EurCall!AA63+'EXP FD C'!Z63*EurCall!AA64)/(1+rate*dt)</f>
        <v>1.6117494279656512E-26</v>
      </c>
      <c r="AA63" s="28">
        <f>('EXP FD A'!AA63*EurCall!AB62+'EXP FD B'!AA63*EurCall!AB63+'EXP FD C'!AA63*EurCall!AB64)/(1+rate*dt)</f>
        <v>5.6334709771410607E-27</v>
      </c>
      <c r="AB63" s="28">
        <f>('EXP FD A'!AB63*EurCall!AC62+'EXP FD B'!AB63*EurCall!AC63+'EXP FD C'!AB63*EurCall!AC64)/(1+rate*dt)</f>
        <v>1.8179036602325042E-27</v>
      </c>
      <c r="AC63" s="28">
        <f>('EXP FD A'!AC63*EurCall!AD62+'EXP FD B'!AC63*EurCall!AD63+'EXP FD C'!AC63*EurCall!AD64)/(1+rate*dt)</f>
        <v>5.3393207961794288E-28</v>
      </c>
      <c r="AD63" s="28">
        <f>('EXP FD A'!AD63*EurCall!AE62+'EXP FD B'!AD63*EurCall!AE63+'EXP FD C'!AD63*EurCall!AE64)/(1+rate*dt)</f>
        <v>1.4004341182379128E-28</v>
      </c>
      <c r="AE63" s="28">
        <f>('EXP FD A'!AE63*EurCall!AF62+'EXP FD B'!AE63*EurCall!AF63+'EXP FD C'!AE63*EurCall!AF64)/(1+rate*dt)</f>
        <v>3.194637866189128E-29</v>
      </c>
      <c r="AF63" s="28">
        <f>('EXP FD A'!AF63*EurCall!AG62+'EXP FD B'!AF63*EurCall!AG63+'EXP FD C'!AF63*EurCall!AG64)/(1+rate*dt)</f>
        <v>6.0961611577324336E-30</v>
      </c>
      <c r="AG63" s="28">
        <f>('EXP FD A'!AG63*EurCall!AH62+'EXP FD B'!AG63*EurCall!AH63+'EXP FD C'!AG63*EurCall!AH64)/(1+rate*dt)</f>
        <v>9.1419151940541076E-31</v>
      </c>
      <c r="AH63" s="28">
        <f>('EXP FD A'!AH63*EurCall!AI62+'EXP FD B'!AH63*EurCall!AI63+'EXP FD C'!AH63*EurCall!AI64)/(1+rate*dt)</f>
        <v>9.5983781489628412E-32</v>
      </c>
      <c r="AI63" s="28">
        <f>('EXP FD A'!AI63*EurCall!AJ62+'EXP FD B'!AI63*EurCall!AJ63+'EXP FD C'!AI63*EurCall!AJ64)/(1+rate*dt)</f>
        <v>5.3050243827313592E-33</v>
      </c>
      <c r="AJ63" s="28">
        <f>('EXP FD A'!AJ63*EurCall!AK62+'EXP FD B'!AJ63*EurCall!AK63+'EXP FD C'!AJ63*EurCall!AK64)/(1+rate*dt)</f>
        <v>0</v>
      </c>
      <c r="AK63" s="28">
        <f>('EXP FD A'!AK63*EurCall!AL62+'EXP FD B'!AK63*EurCall!AL63+'EXP FD C'!AK63*EurCall!AL64)/(1+rate*dt)</f>
        <v>0</v>
      </c>
      <c r="AL63" s="28">
        <f>('EXP FD A'!AL63*EurCall!AM62+'EXP FD B'!AL63*EurCall!AM63+'EXP FD C'!AL63*EurCall!AM64)/(1+rate*dt)</f>
        <v>0</v>
      </c>
      <c r="AM63" s="28">
        <f>('EXP FD A'!AM63*EurCall!AN62+'EXP FD B'!AM63*EurCall!AN63+'EXP FD C'!AM63*EurCall!AN64)/(1+rate*dt)</f>
        <v>0</v>
      </c>
      <c r="AN63" s="28">
        <f>('EXP FD A'!AN63*EurCall!AO62+'EXP FD B'!AN63*EurCall!AO63+'EXP FD C'!AN63*EurCall!AO64)/(1+rate*dt)</f>
        <v>0</v>
      </c>
      <c r="AO63" s="28">
        <f>('EXP FD A'!AO63*EurCall!AP62+'EXP FD B'!AO63*EurCall!AP63+'EXP FD C'!AO63*EurCall!AP64)/(1+rate*dt)</f>
        <v>0</v>
      </c>
      <c r="AP63" s="28">
        <f>('EXP FD A'!AP63*EurCall!AQ62+'EXP FD B'!AP63*EurCall!AQ63+'EXP FD C'!AP63*EurCall!AQ64)/(1+rate*dt)</f>
        <v>0</v>
      </c>
      <c r="AQ63" s="28">
        <f>('EXP FD A'!AQ63*EurCall!AR62+'EXP FD B'!AQ63*EurCall!AR63+'EXP FD C'!AQ63*EurCall!AR64)/(1+rate*dt)</f>
        <v>0</v>
      </c>
      <c r="AR63" s="28">
        <f>('EXP FD A'!AR63*EurCall!AS62+'EXP FD B'!AR63*EurCall!AS63+'EXP FD C'!AR63*EurCall!AS64)/(1+rate*dt)</f>
        <v>0</v>
      </c>
      <c r="AS63" s="28">
        <f>('EXP FD A'!AS63*EurCall!AT62+'EXP FD B'!AS63*EurCall!AT63+'EXP FD C'!AS63*EurCall!AT64)/(1+rate*dt)</f>
        <v>0</v>
      </c>
      <c r="AT63" s="28">
        <f>('EXP FD A'!AT63*EurCall!AU62+'EXP FD B'!AT63*EurCall!AU63+'EXP FD C'!AT63*EurCall!AU64)/(1+rate*dt)</f>
        <v>0</v>
      </c>
      <c r="AU63" s="28">
        <f>('EXP FD A'!AU63*EurCall!AV62+'EXP FD B'!AU63*EurCall!AV63+'EXP FD C'!AU63*EurCall!AV64)/(1+rate*dt)</f>
        <v>0</v>
      </c>
      <c r="AV63" s="28">
        <f>('EXP FD A'!AV63*EurCall!AW62+'EXP FD B'!AV63*EurCall!AW63+'EXP FD C'!AV63*EurCall!AW64)/(1+rate*dt)</f>
        <v>0</v>
      </c>
      <c r="AW63" s="28">
        <f>('EXP FD A'!AW63*EurCall!AX62+'EXP FD B'!AW63*EurCall!AX63+'EXP FD C'!AW63*EurCall!AX64)/(1+rate*dt)</f>
        <v>0</v>
      </c>
      <c r="AX63" s="28">
        <f>('EXP FD A'!AX63*EurCall!AY62+'EXP FD B'!AX63*EurCall!AY63+'EXP FD C'!AX63*EurCall!AY64)/(1+rate*dt)</f>
        <v>0</v>
      </c>
      <c r="AY63" s="28">
        <f>('EXP FD A'!AY63*EurCall!AZ62+'EXP FD B'!AY63*EurCall!AZ63+'EXP FD C'!AY63*EurCall!AZ64)/(1+rate*dt)</f>
        <v>0</v>
      </c>
      <c r="AZ63" s="28">
        <f>('EXP FD A'!AZ63*EurCall!BA62+'EXP FD B'!AZ63*EurCall!BA63+'EXP FD C'!AZ63*EurCall!BA64)/(1+rate*dt)</f>
        <v>0</v>
      </c>
      <c r="BA63" s="6">
        <f t="shared" si="6"/>
        <v>0</v>
      </c>
    </row>
    <row r="64" spans="1:53" x14ac:dyDescent="0.2">
      <c r="A64" s="15">
        <f t="shared" si="4"/>
        <v>1</v>
      </c>
      <c r="B64" s="16">
        <f t="shared" si="5"/>
        <v>2</v>
      </c>
      <c r="C64" s="26">
        <f>('EXP FD A'!C64*EurCall!D63+'EXP FD B'!C64*EurCall!D64+'EXP FD C'!C64*EurCall!D65)/(1+rate*dt)</f>
        <v>9.2877773688624217E-24</v>
      </c>
      <c r="D64" s="28">
        <f>('EXP FD A'!D64*EurCall!E63+'EXP FD B'!D64*EurCall!E64+'EXP FD C'!D64*EurCall!E65)/(1+rate*dt)</f>
        <v>6.0034154721730226E-24</v>
      </c>
      <c r="E64" s="28">
        <f>('EXP FD A'!E64*EurCall!F63+'EXP FD B'!E64*EurCall!F64+'EXP FD C'!E64*EurCall!F65)/(1+rate*dt)</f>
        <v>3.83248383692646E-24</v>
      </c>
      <c r="F64" s="28">
        <f>('EXP FD A'!F64*EurCall!G63+'EXP FD B'!F64*EurCall!G64+'EXP FD C'!F64*EurCall!G65)/(1+rate*dt)</f>
        <v>2.41466092107397E-24</v>
      </c>
      <c r="G64" s="28">
        <f>('EXP FD A'!G64*EurCall!H63+'EXP FD B'!G64*EurCall!H64+'EXP FD C'!G64*EurCall!H65)/(1+rate*dt)</f>
        <v>1.500369258156234E-24</v>
      </c>
      <c r="H64" s="28">
        <f>('EXP FD A'!H64*EurCall!I63+'EXP FD B'!H64*EurCall!I64+'EXP FD C'!H64*EurCall!I65)/(1+rate*dt)</f>
        <v>9.1864805111640354E-25</v>
      </c>
      <c r="I64" s="28">
        <f>('EXP FD A'!I64*EurCall!J63+'EXP FD B'!I64*EurCall!J64+'EXP FD C'!I64*EurCall!J65)/(1+rate*dt)</f>
        <v>5.5375641764775978E-25</v>
      </c>
      <c r="J64" s="28">
        <f>('EXP FD A'!J64*EurCall!K63+'EXP FD B'!J64*EurCall!K64+'EXP FD C'!J64*EurCall!K65)/(1+rate*dt)</f>
        <v>3.2830619222154204E-25</v>
      </c>
      <c r="K64" s="28">
        <f>('EXP FD A'!K64*EurCall!L63+'EXP FD B'!K64*EurCall!L64+'EXP FD C'!K64*EurCall!L65)/(1+rate*dt)</f>
        <v>1.912315303741709E-25</v>
      </c>
      <c r="L64" s="28">
        <f>('EXP FD A'!L64*EurCall!M63+'EXP FD B'!L64*EurCall!M64+'EXP FD C'!L64*EurCall!M65)/(1+rate*dt)</f>
        <v>1.093052050190684E-25</v>
      </c>
      <c r="M64" s="28">
        <f>('EXP FD A'!M64*EurCall!N63+'EXP FD B'!M64*EurCall!N64+'EXP FD C'!M64*EurCall!N65)/(1+rate*dt)</f>
        <v>6.1227723250181871E-26</v>
      </c>
      <c r="N64" s="28">
        <f>('EXP FD A'!N64*EurCall!O63+'EXP FD B'!N64*EurCall!O64+'EXP FD C'!N64*EurCall!O65)/(1+rate*dt)</f>
        <v>3.3561549004814216E-26</v>
      </c>
      <c r="O64" s="28">
        <f>('EXP FD A'!O64*EurCall!P63+'EXP FD B'!O64*EurCall!P64+'EXP FD C'!O64*EurCall!P65)/(1+rate*dt)</f>
        <v>1.7972504723851863E-26</v>
      </c>
      <c r="P64" s="28">
        <f>('EXP FD A'!P64*EurCall!Q63+'EXP FD B'!P64*EurCall!Q64+'EXP FD C'!P64*EurCall!Q65)/(1+rate*dt)</f>
        <v>9.3852743044865314E-27</v>
      </c>
      <c r="Q64" s="28">
        <f>('EXP FD A'!Q64*EurCall!R63+'EXP FD B'!Q64*EurCall!R64+'EXP FD C'!Q64*EurCall!R65)/(1+rate*dt)</f>
        <v>4.7692902642863524E-27</v>
      </c>
      <c r="R64" s="28">
        <f>('EXP FD A'!R64*EurCall!S63+'EXP FD B'!R64*EurCall!S64+'EXP FD C'!R64*EurCall!S65)/(1+rate*dt)</f>
        <v>2.3529046702536652E-27</v>
      </c>
      <c r="S64" s="28">
        <f>('EXP FD A'!S64*EurCall!T63+'EXP FD B'!S64*EurCall!T64+'EXP FD C'!S64*EurCall!T65)/(1+rate*dt)</f>
        <v>1.1239036751688623E-27</v>
      </c>
      <c r="T64" s="28">
        <f>('EXP FD A'!T64*EurCall!U63+'EXP FD B'!T64*EurCall!U64+'EXP FD C'!T64*EurCall!U65)/(1+rate*dt)</f>
        <v>5.1818332742543907E-28</v>
      </c>
      <c r="U64" s="28">
        <f>('EXP FD A'!U64*EurCall!V63+'EXP FD B'!U64*EurCall!V64+'EXP FD C'!U64*EurCall!V65)/(1+rate*dt)</f>
        <v>2.2977841694069318E-28</v>
      </c>
      <c r="V64" s="28">
        <f>('EXP FD A'!V64*EurCall!W63+'EXP FD B'!V64*EurCall!W64+'EXP FD C'!V64*EurCall!W65)/(1+rate*dt)</f>
        <v>9.7585329020710914E-29</v>
      </c>
      <c r="W64" s="28">
        <f>('EXP FD A'!W64*EurCall!X63+'EXP FD B'!W64*EurCall!X64+'EXP FD C'!W64*EurCall!X65)/(1+rate*dt)</f>
        <v>3.9496330984939373E-29</v>
      </c>
      <c r="X64" s="28">
        <f>('EXP FD A'!X64*EurCall!Y63+'EXP FD B'!X64*EurCall!Y64+'EXP FD C'!X64*EurCall!Y65)/(1+rate*dt)</f>
        <v>1.5144402018616533E-29</v>
      </c>
      <c r="Y64" s="28">
        <f>('EXP FD A'!Y64*EurCall!Z63+'EXP FD B'!Y64*EurCall!Z64+'EXP FD C'!Y64*EurCall!Z65)/(1+rate*dt)</f>
        <v>5.4619771995804483E-30</v>
      </c>
      <c r="Z64" s="28">
        <f>('EXP FD A'!Z64*EurCall!AA63+'EXP FD B'!Z64*EurCall!AA64+'EXP FD C'!Z64*EurCall!AA65)/(1+rate*dt)</f>
        <v>1.8365487049997127E-30</v>
      </c>
      <c r="AA64" s="28">
        <f>('EXP FD A'!AA64*EurCall!AB63+'EXP FD B'!AA64*EurCall!AB64+'EXP FD C'!AA64*EurCall!AB65)/(1+rate*dt)</f>
        <v>5.6933729749722304E-31</v>
      </c>
      <c r="AB64" s="28">
        <f>('EXP FD A'!AB64*EurCall!AC63+'EXP FD B'!AB64*EurCall!AC64+'EXP FD C'!AB64*EurCall!AC65)/(1+rate*dt)</f>
        <v>1.6040160145036461E-31</v>
      </c>
      <c r="AC64" s="28">
        <f>('EXP FD A'!AC64*EurCall!AD63+'EXP FD B'!AC64*EurCall!AD64+'EXP FD C'!AC64*EurCall!AD65)/(1+rate*dt)</f>
        <v>4.0291020024409752E-32</v>
      </c>
      <c r="AD64" s="28">
        <f>('EXP FD A'!AD64*EurCall!AE63+'EXP FD B'!AD64*EurCall!AE64+'EXP FD C'!AD64*EurCall!AE65)/(1+rate*dt)</f>
        <v>8.786781627709018E-33</v>
      </c>
      <c r="AE64" s="28">
        <f>('EXP FD A'!AE64*EurCall!AF63+'EXP FD B'!AE64*EurCall!AF64+'EXP FD C'!AE64*EurCall!AF65)/(1+rate*dt)</f>
        <v>1.5999257381601297E-33</v>
      </c>
      <c r="AF64" s="28">
        <f>('EXP FD A'!AF64*EurCall!AG63+'EXP FD B'!AF64*EurCall!AG64+'EXP FD C'!AF64*EurCall!AG65)/(1+rate*dt)</f>
        <v>2.2846085830056032E-34</v>
      </c>
      <c r="AG64" s="28">
        <f>('EXP FD A'!AG64*EurCall!AH63+'EXP FD B'!AG64*EurCall!AH64+'EXP FD C'!AG64*EurCall!AH65)/(1+rate*dt)</f>
        <v>2.2788304799177578E-35</v>
      </c>
      <c r="AH64" s="28">
        <f>('EXP FD A'!AH64*EurCall!AI63+'EXP FD B'!AH64*EurCall!AI64+'EXP FD C'!AH64*EurCall!AI65)/(1+rate*dt)</f>
        <v>1.1935708075741771E-36</v>
      </c>
      <c r="AI64" s="28">
        <f>('EXP FD A'!AI64*EurCall!AJ63+'EXP FD B'!AI64*EurCall!AJ64+'EXP FD C'!AI64*EurCall!AJ65)/(1+rate*dt)</f>
        <v>0</v>
      </c>
      <c r="AJ64" s="28">
        <f>('EXP FD A'!AJ64*EurCall!AK63+'EXP FD B'!AJ64*EurCall!AK64+'EXP FD C'!AJ64*EurCall!AK65)/(1+rate*dt)</f>
        <v>0</v>
      </c>
      <c r="AK64" s="28">
        <f>('EXP FD A'!AK64*EurCall!AL63+'EXP FD B'!AK64*EurCall!AL64+'EXP FD C'!AK64*EurCall!AL65)/(1+rate*dt)</f>
        <v>0</v>
      </c>
      <c r="AL64" s="28">
        <f>('EXP FD A'!AL64*EurCall!AM63+'EXP FD B'!AL64*EurCall!AM64+'EXP FD C'!AL64*EurCall!AM65)/(1+rate*dt)</f>
        <v>0</v>
      </c>
      <c r="AM64" s="28">
        <f>('EXP FD A'!AM64*EurCall!AN63+'EXP FD B'!AM64*EurCall!AN64+'EXP FD C'!AM64*EurCall!AN65)/(1+rate*dt)</f>
        <v>0</v>
      </c>
      <c r="AN64" s="28">
        <f>('EXP FD A'!AN64*EurCall!AO63+'EXP FD B'!AN64*EurCall!AO64+'EXP FD C'!AN64*EurCall!AO65)/(1+rate*dt)</f>
        <v>0</v>
      </c>
      <c r="AO64" s="28">
        <f>('EXP FD A'!AO64*EurCall!AP63+'EXP FD B'!AO64*EurCall!AP64+'EXP FD C'!AO64*EurCall!AP65)/(1+rate*dt)</f>
        <v>0</v>
      </c>
      <c r="AP64" s="28">
        <f>('EXP FD A'!AP64*EurCall!AQ63+'EXP FD B'!AP64*EurCall!AQ64+'EXP FD C'!AP64*EurCall!AQ65)/(1+rate*dt)</f>
        <v>0</v>
      </c>
      <c r="AQ64" s="28">
        <f>('EXP FD A'!AQ64*EurCall!AR63+'EXP FD B'!AQ64*EurCall!AR64+'EXP FD C'!AQ64*EurCall!AR65)/(1+rate*dt)</f>
        <v>0</v>
      </c>
      <c r="AR64" s="28">
        <f>('EXP FD A'!AR64*EurCall!AS63+'EXP FD B'!AR64*EurCall!AS64+'EXP FD C'!AR64*EurCall!AS65)/(1+rate*dt)</f>
        <v>0</v>
      </c>
      <c r="AS64" s="28">
        <f>('EXP FD A'!AS64*EurCall!AT63+'EXP FD B'!AS64*EurCall!AT64+'EXP FD C'!AS64*EurCall!AT65)/(1+rate*dt)</f>
        <v>0</v>
      </c>
      <c r="AT64" s="28">
        <f>('EXP FD A'!AT64*EurCall!AU63+'EXP FD B'!AT64*EurCall!AU64+'EXP FD C'!AT64*EurCall!AU65)/(1+rate*dt)</f>
        <v>0</v>
      </c>
      <c r="AU64" s="28">
        <f>('EXP FD A'!AU64*EurCall!AV63+'EXP FD B'!AU64*EurCall!AV64+'EXP FD C'!AU64*EurCall!AV65)/(1+rate*dt)</f>
        <v>0</v>
      </c>
      <c r="AV64" s="28">
        <f>('EXP FD A'!AV64*EurCall!AW63+'EXP FD B'!AV64*EurCall!AW64+'EXP FD C'!AV64*EurCall!AW65)/(1+rate*dt)</f>
        <v>0</v>
      </c>
      <c r="AW64" s="28">
        <f>('EXP FD A'!AW64*EurCall!AX63+'EXP FD B'!AW64*EurCall!AX64+'EXP FD C'!AW64*EurCall!AX65)/(1+rate*dt)</f>
        <v>0</v>
      </c>
      <c r="AX64" s="28">
        <f>('EXP FD A'!AX64*EurCall!AY63+'EXP FD B'!AX64*EurCall!AY64+'EXP FD C'!AX64*EurCall!AY65)/(1+rate*dt)</f>
        <v>0</v>
      </c>
      <c r="AY64" s="28">
        <f>('EXP FD A'!AY64*EurCall!AZ63+'EXP FD B'!AY64*EurCall!AZ64+'EXP FD C'!AY64*EurCall!AZ65)/(1+rate*dt)</f>
        <v>0</v>
      </c>
      <c r="AZ64" s="28">
        <f>('EXP FD A'!AZ64*EurCall!BA63+'EXP FD B'!AZ64*EurCall!BA64+'EXP FD C'!AZ64*EurCall!BA65)/(1+rate*dt)</f>
        <v>0</v>
      </c>
      <c r="BA64" s="6">
        <f t="shared" si="6"/>
        <v>0</v>
      </c>
    </row>
    <row r="65" spans="1:53" x14ac:dyDescent="0.2">
      <c r="A65" s="15">
        <f t="shared" si="4"/>
        <v>0</v>
      </c>
      <c r="B65" s="16">
        <f t="shared" si="5"/>
        <v>0</v>
      </c>
      <c r="C65" s="6">
        <f>0</f>
        <v>0</v>
      </c>
      <c r="D65" s="6">
        <f>0</f>
        <v>0</v>
      </c>
      <c r="E65" s="6">
        <f>0</f>
        <v>0</v>
      </c>
      <c r="F65" s="6">
        <f>0</f>
        <v>0</v>
      </c>
      <c r="G65" s="6">
        <f>0</f>
        <v>0</v>
      </c>
      <c r="H65" s="6">
        <f>0</f>
        <v>0</v>
      </c>
      <c r="I65" s="6">
        <f>0</f>
        <v>0</v>
      </c>
      <c r="J65" s="6">
        <f>0</f>
        <v>0</v>
      </c>
      <c r="K65" s="6">
        <f>0</f>
        <v>0</v>
      </c>
      <c r="L65" s="6">
        <f>0</f>
        <v>0</v>
      </c>
      <c r="M65" s="6">
        <f>0</f>
        <v>0</v>
      </c>
      <c r="N65" s="6">
        <f>0</f>
        <v>0</v>
      </c>
      <c r="O65" s="6">
        <f>0</f>
        <v>0</v>
      </c>
      <c r="P65" s="6">
        <f>0</f>
        <v>0</v>
      </c>
      <c r="Q65" s="6">
        <f>0</f>
        <v>0</v>
      </c>
      <c r="R65" s="6">
        <f>0</f>
        <v>0</v>
      </c>
      <c r="S65" s="6">
        <f>0</f>
        <v>0</v>
      </c>
      <c r="T65" s="6">
        <f>0</f>
        <v>0</v>
      </c>
      <c r="U65" s="6">
        <f>0</f>
        <v>0</v>
      </c>
      <c r="V65" s="6">
        <f>0</f>
        <v>0</v>
      </c>
      <c r="W65" s="6">
        <f>0</f>
        <v>0</v>
      </c>
      <c r="X65" s="6">
        <f>0</f>
        <v>0</v>
      </c>
      <c r="Y65" s="6">
        <f>0</f>
        <v>0</v>
      </c>
      <c r="Z65" s="6">
        <f>0</f>
        <v>0</v>
      </c>
      <c r="AA65" s="6">
        <f>0</f>
        <v>0</v>
      </c>
      <c r="AB65" s="6">
        <f>0</f>
        <v>0</v>
      </c>
      <c r="AC65" s="6">
        <f>0</f>
        <v>0</v>
      </c>
      <c r="AD65" s="6">
        <f>0</f>
        <v>0</v>
      </c>
      <c r="AE65" s="6">
        <f>0</f>
        <v>0</v>
      </c>
      <c r="AF65" s="6">
        <f>0</f>
        <v>0</v>
      </c>
      <c r="AG65" s="6">
        <f>0</f>
        <v>0</v>
      </c>
      <c r="AH65" s="6">
        <f>0</f>
        <v>0</v>
      </c>
      <c r="AI65" s="6">
        <f>0</f>
        <v>0</v>
      </c>
      <c r="AJ65" s="6">
        <f>0</f>
        <v>0</v>
      </c>
      <c r="AK65" s="6">
        <f>0</f>
        <v>0</v>
      </c>
      <c r="AL65" s="6">
        <f>0</f>
        <v>0</v>
      </c>
      <c r="AM65" s="6">
        <f>0</f>
        <v>0</v>
      </c>
      <c r="AN65" s="6">
        <f>0</f>
        <v>0</v>
      </c>
      <c r="AO65" s="6">
        <f>0</f>
        <v>0</v>
      </c>
      <c r="AP65" s="6">
        <f>0</f>
        <v>0</v>
      </c>
      <c r="AQ65" s="6">
        <f>0</f>
        <v>0</v>
      </c>
      <c r="AR65" s="6">
        <f>0</f>
        <v>0</v>
      </c>
      <c r="AS65" s="6">
        <f>0</f>
        <v>0</v>
      </c>
      <c r="AT65" s="6">
        <f>0</f>
        <v>0</v>
      </c>
      <c r="AU65" s="6">
        <f>0</f>
        <v>0</v>
      </c>
      <c r="AV65" s="6">
        <f>0</f>
        <v>0</v>
      </c>
      <c r="AW65" s="6">
        <f>0</f>
        <v>0</v>
      </c>
      <c r="AX65" s="6">
        <f>0</f>
        <v>0</v>
      </c>
      <c r="AY65" s="6">
        <f>0</f>
        <v>0</v>
      </c>
      <c r="AZ65" s="6">
        <f>0</f>
        <v>0</v>
      </c>
      <c r="BA65" s="6">
        <f>0</f>
        <v>0</v>
      </c>
    </row>
    <row r="66" spans="1:53" x14ac:dyDescent="0.2">
      <c r="A66" s="17" t="s">
        <v>3</v>
      </c>
      <c r="B66" s="18">
        <v>0</v>
      </c>
      <c r="C66" s="17">
        <v>0</v>
      </c>
      <c r="D66" s="21">
        <f t="shared" ref="D66:AI66" si="7">D67*dt</f>
        <v>0.01</v>
      </c>
      <c r="E66" s="21">
        <f t="shared" si="7"/>
        <v>0.02</v>
      </c>
      <c r="F66" s="21">
        <f t="shared" si="7"/>
        <v>0.03</v>
      </c>
      <c r="G66" s="21">
        <f t="shared" si="7"/>
        <v>0.04</v>
      </c>
      <c r="H66" s="21">
        <f t="shared" si="7"/>
        <v>0.05</v>
      </c>
      <c r="I66" s="21">
        <f t="shared" si="7"/>
        <v>0.06</v>
      </c>
      <c r="J66" s="21">
        <f t="shared" si="7"/>
        <v>7.0000000000000007E-2</v>
      </c>
      <c r="K66" s="21">
        <f t="shared" si="7"/>
        <v>0.08</v>
      </c>
      <c r="L66" s="21">
        <f t="shared" si="7"/>
        <v>0.09</v>
      </c>
      <c r="M66" s="21">
        <f t="shared" si="7"/>
        <v>0.1</v>
      </c>
      <c r="N66" s="21">
        <f t="shared" si="7"/>
        <v>0.11</v>
      </c>
      <c r="O66" s="21">
        <f t="shared" si="7"/>
        <v>0.12</v>
      </c>
      <c r="P66" s="21">
        <f t="shared" si="7"/>
        <v>0.13</v>
      </c>
      <c r="Q66" s="21">
        <f t="shared" si="7"/>
        <v>0.14000000000000001</v>
      </c>
      <c r="R66" s="21">
        <f t="shared" si="7"/>
        <v>0.15</v>
      </c>
      <c r="S66" s="21">
        <f t="shared" si="7"/>
        <v>0.16</v>
      </c>
      <c r="T66" s="21">
        <f t="shared" si="7"/>
        <v>0.17</v>
      </c>
      <c r="U66" s="21">
        <f t="shared" si="7"/>
        <v>0.18</v>
      </c>
      <c r="V66" s="21">
        <f t="shared" si="7"/>
        <v>0.19</v>
      </c>
      <c r="W66" s="21">
        <f t="shared" si="7"/>
        <v>0.2</v>
      </c>
      <c r="X66" s="21">
        <f t="shared" si="7"/>
        <v>0.21</v>
      </c>
      <c r="Y66" s="21">
        <f t="shared" si="7"/>
        <v>0.22</v>
      </c>
      <c r="Z66" s="21">
        <f t="shared" si="7"/>
        <v>0.23</v>
      </c>
      <c r="AA66" s="21">
        <f t="shared" si="7"/>
        <v>0.24</v>
      </c>
      <c r="AB66" s="21">
        <f t="shared" si="7"/>
        <v>0.25</v>
      </c>
      <c r="AC66" s="21">
        <f t="shared" si="7"/>
        <v>0.26</v>
      </c>
      <c r="AD66" s="21">
        <f t="shared" si="7"/>
        <v>0.27</v>
      </c>
      <c r="AE66" s="21">
        <f t="shared" si="7"/>
        <v>0.28000000000000003</v>
      </c>
      <c r="AF66" s="21">
        <f t="shared" si="7"/>
        <v>0.28999999999999998</v>
      </c>
      <c r="AG66" s="21">
        <f t="shared" si="7"/>
        <v>0.3</v>
      </c>
      <c r="AH66" s="21">
        <f t="shared" si="7"/>
        <v>0.31</v>
      </c>
      <c r="AI66" s="21">
        <f t="shared" si="7"/>
        <v>0.32</v>
      </c>
      <c r="AJ66" s="21">
        <f t="shared" ref="AJ66:BA66" si="8">AJ67*dt</f>
        <v>0.33</v>
      </c>
      <c r="AK66" s="21">
        <f t="shared" si="8"/>
        <v>0.34</v>
      </c>
      <c r="AL66" s="21">
        <f t="shared" si="8"/>
        <v>0.35000000000000003</v>
      </c>
      <c r="AM66" s="21">
        <f t="shared" si="8"/>
        <v>0.36</v>
      </c>
      <c r="AN66" s="21">
        <f t="shared" si="8"/>
        <v>0.37</v>
      </c>
      <c r="AO66" s="21">
        <f t="shared" si="8"/>
        <v>0.38</v>
      </c>
      <c r="AP66" s="21">
        <f t="shared" si="8"/>
        <v>0.39</v>
      </c>
      <c r="AQ66" s="21">
        <f t="shared" si="8"/>
        <v>0.4</v>
      </c>
      <c r="AR66" s="21">
        <f t="shared" si="8"/>
        <v>0.41000000000000003</v>
      </c>
      <c r="AS66" s="21">
        <f t="shared" si="8"/>
        <v>0.42</v>
      </c>
      <c r="AT66" s="21">
        <f t="shared" si="8"/>
        <v>0.43</v>
      </c>
      <c r="AU66" s="21">
        <f t="shared" si="8"/>
        <v>0.44</v>
      </c>
      <c r="AV66" s="21">
        <f t="shared" si="8"/>
        <v>0.45</v>
      </c>
      <c r="AW66" s="21">
        <f t="shared" si="8"/>
        <v>0.46</v>
      </c>
      <c r="AX66" s="21">
        <f t="shared" si="8"/>
        <v>0.47000000000000003</v>
      </c>
      <c r="AY66" s="21">
        <f t="shared" si="8"/>
        <v>0.48</v>
      </c>
      <c r="AZ66" s="21">
        <f t="shared" si="8"/>
        <v>0.49</v>
      </c>
      <c r="BA66" s="21">
        <f t="shared" si="8"/>
        <v>0.5</v>
      </c>
    </row>
    <row r="67" spans="1:53" x14ac:dyDescent="0.2">
      <c r="A67" s="19" t="s">
        <v>4</v>
      </c>
      <c r="B67" s="20">
        <v>0</v>
      </c>
      <c r="C67" s="19">
        <v>0</v>
      </c>
      <c r="D67" s="19">
        <f>B67+1</f>
        <v>1</v>
      </c>
      <c r="E67" s="19">
        <f>D67+1</f>
        <v>2</v>
      </c>
      <c r="F67" s="19">
        <f>E67+1</f>
        <v>3</v>
      </c>
      <c r="G67" s="19">
        <f t="shared" ref="G67:U67" si="9">F67+1</f>
        <v>4</v>
      </c>
      <c r="H67" s="19">
        <f t="shared" si="9"/>
        <v>5</v>
      </c>
      <c r="I67" s="19">
        <f t="shared" si="9"/>
        <v>6</v>
      </c>
      <c r="J67" s="19">
        <f t="shared" si="9"/>
        <v>7</v>
      </c>
      <c r="K67" s="19">
        <f t="shared" si="9"/>
        <v>8</v>
      </c>
      <c r="L67" s="19">
        <f t="shared" si="9"/>
        <v>9</v>
      </c>
      <c r="M67" s="19">
        <f t="shared" si="9"/>
        <v>10</v>
      </c>
      <c r="N67" s="19">
        <f t="shared" si="9"/>
        <v>11</v>
      </c>
      <c r="O67" s="19">
        <f t="shared" si="9"/>
        <v>12</v>
      </c>
      <c r="P67" s="19">
        <f t="shared" si="9"/>
        <v>13</v>
      </c>
      <c r="Q67" s="19">
        <f t="shared" si="9"/>
        <v>14</v>
      </c>
      <c r="R67" s="19">
        <f t="shared" si="9"/>
        <v>15</v>
      </c>
      <c r="S67" s="19">
        <f t="shared" si="9"/>
        <v>16</v>
      </c>
      <c r="T67" s="19">
        <f t="shared" si="9"/>
        <v>17</v>
      </c>
      <c r="U67" s="19">
        <f t="shared" si="9"/>
        <v>18</v>
      </c>
      <c r="V67" s="19">
        <f t="shared" ref="V67:AE67" si="10">U67+1</f>
        <v>19</v>
      </c>
      <c r="W67" s="19">
        <f t="shared" si="10"/>
        <v>20</v>
      </c>
      <c r="X67" s="19">
        <f t="shared" si="10"/>
        <v>21</v>
      </c>
      <c r="Y67" s="19">
        <f t="shared" si="10"/>
        <v>22</v>
      </c>
      <c r="Z67" s="19">
        <f t="shared" si="10"/>
        <v>23</v>
      </c>
      <c r="AA67" s="19">
        <f t="shared" si="10"/>
        <v>24</v>
      </c>
      <c r="AB67" s="19">
        <f t="shared" si="10"/>
        <v>25</v>
      </c>
      <c r="AC67" s="19">
        <f t="shared" si="10"/>
        <v>26</v>
      </c>
      <c r="AD67" s="19">
        <f t="shared" si="10"/>
        <v>27</v>
      </c>
      <c r="AE67" s="19">
        <f t="shared" si="10"/>
        <v>28</v>
      </c>
      <c r="AF67" s="19">
        <f t="shared" ref="AF67:AP67" si="11">AE67+1</f>
        <v>29</v>
      </c>
      <c r="AG67" s="19">
        <f t="shared" si="11"/>
        <v>30</v>
      </c>
      <c r="AH67" s="19">
        <f t="shared" si="11"/>
        <v>31</v>
      </c>
      <c r="AI67" s="19">
        <f t="shared" si="11"/>
        <v>32</v>
      </c>
      <c r="AJ67" s="19">
        <f t="shared" si="11"/>
        <v>33</v>
      </c>
      <c r="AK67" s="19">
        <f t="shared" si="11"/>
        <v>34</v>
      </c>
      <c r="AL67" s="19">
        <f t="shared" si="11"/>
        <v>35</v>
      </c>
      <c r="AM67" s="19">
        <f t="shared" si="11"/>
        <v>36</v>
      </c>
      <c r="AN67" s="19">
        <f t="shared" si="11"/>
        <v>37</v>
      </c>
      <c r="AO67" s="19">
        <f t="shared" si="11"/>
        <v>38</v>
      </c>
      <c r="AP67" s="19">
        <f t="shared" si="11"/>
        <v>39</v>
      </c>
      <c r="AQ67" s="19">
        <f t="shared" ref="AQ67:BA67" si="12">AP67+1</f>
        <v>40</v>
      </c>
      <c r="AR67" s="19">
        <f t="shared" si="12"/>
        <v>41</v>
      </c>
      <c r="AS67" s="19">
        <f t="shared" si="12"/>
        <v>42</v>
      </c>
      <c r="AT67" s="19">
        <f t="shared" si="12"/>
        <v>43</v>
      </c>
      <c r="AU67" s="19">
        <f t="shared" si="12"/>
        <v>44</v>
      </c>
      <c r="AV67" s="19">
        <f t="shared" si="12"/>
        <v>45</v>
      </c>
      <c r="AW67" s="19">
        <f t="shared" si="12"/>
        <v>46</v>
      </c>
      <c r="AX67" s="19">
        <f t="shared" si="12"/>
        <v>47</v>
      </c>
      <c r="AY67" s="19">
        <f t="shared" si="12"/>
        <v>48</v>
      </c>
      <c r="AZ67" s="19">
        <f t="shared" si="12"/>
        <v>49</v>
      </c>
      <c r="BA67" s="19">
        <f t="shared" si="12"/>
        <v>50</v>
      </c>
    </row>
  </sheetData>
  <phoneticPr fontId="0" type="noConversion"/>
  <pageMargins left="0.75" right="0.75" top="1" bottom="1" header="0.5" footer="0.5"/>
  <pageSetup orientation="portrait" horizontalDpi="4294967292" verticalDpi="429496729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4:BA67"/>
  <sheetViews>
    <sheetView topLeftCell="A14" workbookViewId="0">
      <selection activeCell="AL40" sqref="AL40"/>
    </sheetView>
  </sheetViews>
  <sheetFormatPr defaultColWidth="8.85546875" defaultRowHeight="12.75" x14ac:dyDescent="0.2"/>
  <sheetData>
    <row r="14" spans="1:53" x14ac:dyDescent="0.2">
      <c r="A14" t="s">
        <v>12</v>
      </c>
      <c r="B14" t="s">
        <v>11</v>
      </c>
    </row>
    <row r="15" spans="1:53" x14ac:dyDescent="0.2">
      <c r="A15">
        <v>50</v>
      </c>
      <c r="B15" s="3">
        <f t="shared" ref="B15:B46" si="0">Smin+dS*A15</f>
        <v>100</v>
      </c>
      <c r="C15" s="2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</row>
    <row r="16" spans="1:53" x14ac:dyDescent="0.2">
      <c r="A16">
        <f>A15-1</f>
        <v>49</v>
      </c>
      <c r="B16" s="3">
        <f t="shared" si="0"/>
        <v>98</v>
      </c>
      <c r="C16">
        <f t="shared" ref="C16:L25" si="1">(0.5*sigma^2*$A16^2+0.5*(rate -d)*$A16)*dt</f>
        <v>0.48142500000000016</v>
      </c>
      <c r="D16">
        <f t="shared" si="1"/>
        <v>0.48142500000000016</v>
      </c>
      <c r="E16">
        <f t="shared" si="1"/>
        <v>0.48142500000000016</v>
      </c>
      <c r="F16">
        <f t="shared" si="1"/>
        <v>0.48142500000000016</v>
      </c>
      <c r="G16">
        <f t="shared" si="1"/>
        <v>0.48142500000000016</v>
      </c>
      <c r="H16">
        <f t="shared" si="1"/>
        <v>0.48142500000000016</v>
      </c>
      <c r="I16">
        <f t="shared" si="1"/>
        <v>0.48142500000000016</v>
      </c>
      <c r="J16">
        <f t="shared" si="1"/>
        <v>0.48142500000000016</v>
      </c>
      <c r="K16">
        <f t="shared" si="1"/>
        <v>0.48142500000000016</v>
      </c>
      <c r="L16">
        <f t="shared" si="1"/>
        <v>0.48142500000000016</v>
      </c>
      <c r="M16">
        <f t="shared" ref="M16:V25" si="2">(0.5*sigma^2*$A16^2+0.5*(rate -d)*$A16)*dt</f>
        <v>0.48142500000000016</v>
      </c>
      <c r="N16">
        <f t="shared" si="2"/>
        <v>0.48142500000000016</v>
      </c>
      <c r="O16">
        <f t="shared" si="2"/>
        <v>0.48142500000000016</v>
      </c>
      <c r="P16">
        <f t="shared" si="2"/>
        <v>0.48142500000000016</v>
      </c>
      <c r="Q16">
        <f t="shared" si="2"/>
        <v>0.48142500000000016</v>
      </c>
      <c r="R16">
        <f t="shared" si="2"/>
        <v>0.48142500000000016</v>
      </c>
      <c r="S16">
        <f t="shared" si="2"/>
        <v>0.48142500000000016</v>
      </c>
      <c r="T16">
        <f t="shared" si="2"/>
        <v>0.48142500000000016</v>
      </c>
      <c r="U16">
        <f t="shared" si="2"/>
        <v>0.48142500000000016</v>
      </c>
      <c r="V16">
        <f t="shared" si="2"/>
        <v>0.48142500000000016</v>
      </c>
      <c r="W16">
        <f t="shared" ref="W16:AF25" si="3">(0.5*sigma^2*$A16^2+0.5*(rate -d)*$A16)*dt</f>
        <v>0.48142500000000016</v>
      </c>
      <c r="X16">
        <f t="shared" si="3"/>
        <v>0.48142500000000016</v>
      </c>
      <c r="Y16">
        <f t="shared" si="3"/>
        <v>0.48142500000000016</v>
      </c>
      <c r="Z16">
        <f t="shared" si="3"/>
        <v>0.48142500000000016</v>
      </c>
      <c r="AA16">
        <f t="shared" si="3"/>
        <v>0.48142500000000016</v>
      </c>
      <c r="AB16">
        <f t="shared" si="3"/>
        <v>0.48142500000000016</v>
      </c>
      <c r="AC16">
        <f t="shared" si="3"/>
        <v>0.48142500000000016</v>
      </c>
      <c r="AD16">
        <f t="shared" si="3"/>
        <v>0.48142500000000016</v>
      </c>
      <c r="AE16">
        <f t="shared" si="3"/>
        <v>0.48142500000000016</v>
      </c>
      <c r="AF16">
        <f t="shared" si="3"/>
        <v>0.48142500000000016</v>
      </c>
      <c r="AG16">
        <f t="shared" ref="AG16:AP25" si="4">(0.5*sigma^2*$A16^2+0.5*(rate -d)*$A16)*dt</f>
        <v>0.48142500000000016</v>
      </c>
      <c r="AH16">
        <f t="shared" si="4"/>
        <v>0.48142500000000016</v>
      </c>
      <c r="AI16">
        <f t="shared" si="4"/>
        <v>0.48142500000000016</v>
      </c>
      <c r="AJ16">
        <f t="shared" si="4"/>
        <v>0.48142500000000016</v>
      </c>
      <c r="AK16">
        <f t="shared" si="4"/>
        <v>0.48142500000000016</v>
      </c>
      <c r="AL16">
        <f t="shared" si="4"/>
        <v>0.48142500000000016</v>
      </c>
      <c r="AM16">
        <f t="shared" si="4"/>
        <v>0.48142500000000016</v>
      </c>
      <c r="AN16">
        <f t="shared" si="4"/>
        <v>0.48142500000000016</v>
      </c>
      <c r="AO16">
        <f t="shared" si="4"/>
        <v>0.48142500000000016</v>
      </c>
      <c r="AP16">
        <f t="shared" si="4"/>
        <v>0.48142500000000016</v>
      </c>
      <c r="AQ16">
        <f t="shared" ref="AQ16:AZ25" si="5">(0.5*sigma^2*$A16^2+0.5*(rate -d)*$A16)*dt</f>
        <v>0.48142500000000016</v>
      </c>
      <c r="AR16">
        <f t="shared" si="5"/>
        <v>0.48142500000000016</v>
      </c>
      <c r="AS16">
        <f t="shared" si="5"/>
        <v>0.48142500000000016</v>
      </c>
      <c r="AT16">
        <f t="shared" si="5"/>
        <v>0.48142500000000016</v>
      </c>
      <c r="AU16">
        <f t="shared" si="5"/>
        <v>0.48142500000000016</v>
      </c>
      <c r="AV16">
        <f t="shared" si="5"/>
        <v>0.48142500000000016</v>
      </c>
      <c r="AW16">
        <f t="shared" si="5"/>
        <v>0.48142500000000016</v>
      </c>
      <c r="AX16">
        <f t="shared" si="5"/>
        <v>0.48142500000000016</v>
      </c>
      <c r="AY16">
        <f t="shared" si="5"/>
        <v>0.48142500000000016</v>
      </c>
      <c r="AZ16">
        <f t="shared" si="5"/>
        <v>0.48142500000000016</v>
      </c>
      <c r="BA16" s="6"/>
    </row>
    <row r="17" spans="1:53" x14ac:dyDescent="0.2">
      <c r="A17">
        <f t="shared" ref="A17:A65" si="6">A16-1</f>
        <v>48</v>
      </c>
      <c r="B17" s="3">
        <f t="shared" si="0"/>
        <v>96</v>
      </c>
      <c r="C17">
        <f t="shared" si="1"/>
        <v>0.46200000000000013</v>
      </c>
      <c r="D17">
        <f t="shared" si="1"/>
        <v>0.46200000000000013</v>
      </c>
      <c r="E17">
        <f t="shared" si="1"/>
        <v>0.46200000000000013</v>
      </c>
      <c r="F17">
        <f t="shared" si="1"/>
        <v>0.46200000000000013</v>
      </c>
      <c r="G17">
        <f t="shared" si="1"/>
        <v>0.46200000000000013</v>
      </c>
      <c r="H17">
        <f t="shared" si="1"/>
        <v>0.46200000000000013</v>
      </c>
      <c r="I17">
        <f t="shared" si="1"/>
        <v>0.46200000000000013</v>
      </c>
      <c r="J17">
        <f t="shared" si="1"/>
        <v>0.46200000000000013</v>
      </c>
      <c r="K17">
        <f t="shared" si="1"/>
        <v>0.46200000000000013</v>
      </c>
      <c r="L17">
        <f t="shared" si="1"/>
        <v>0.46200000000000013</v>
      </c>
      <c r="M17">
        <f t="shared" si="2"/>
        <v>0.46200000000000013</v>
      </c>
      <c r="N17">
        <f t="shared" si="2"/>
        <v>0.46200000000000013</v>
      </c>
      <c r="O17">
        <f t="shared" si="2"/>
        <v>0.46200000000000013</v>
      </c>
      <c r="P17">
        <f t="shared" si="2"/>
        <v>0.46200000000000013</v>
      </c>
      <c r="Q17">
        <f t="shared" si="2"/>
        <v>0.46200000000000013</v>
      </c>
      <c r="R17">
        <f t="shared" si="2"/>
        <v>0.46200000000000013</v>
      </c>
      <c r="S17">
        <f t="shared" si="2"/>
        <v>0.46200000000000013</v>
      </c>
      <c r="T17">
        <f t="shared" si="2"/>
        <v>0.46200000000000013</v>
      </c>
      <c r="U17">
        <f t="shared" si="2"/>
        <v>0.46200000000000013</v>
      </c>
      <c r="V17">
        <f t="shared" si="2"/>
        <v>0.46200000000000013</v>
      </c>
      <c r="W17">
        <f t="shared" si="3"/>
        <v>0.46200000000000013</v>
      </c>
      <c r="X17">
        <f t="shared" si="3"/>
        <v>0.46200000000000013</v>
      </c>
      <c r="Y17">
        <f t="shared" si="3"/>
        <v>0.46200000000000013</v>
      </c>
      <c r="Z17">
        <f t="shared" si="3"/>
        <v>0.46200000000000013</v>
      </c>
      <c r="AA17">
        <f t="shared" si="3"/>
        <v>0.46200000000000013</v>
      </c>
      <c r="AB17">
        <f t="shared" si="3"/>
        <v>0.46200000000000013</v>
      </c>
      <c r="AC17">
        <f t="shared" si="3"/>
        <v>0.46200000000000013</v>
      </c>
      <c r="AD17">
        <f t="shared" si="3"/>
        <v>0.46200000000000013</v>
      </c>
      <c r="AE17">
        <f t="shared" si="3"/>
        <v>0.46200000000000013</v>
      </c>
      <c r="AF17">
        <f t="shared" si="3"/>
        <v>0.46200000000000013</v>
      </c>
      <c r="AG17">
        <f t="shared" si="4"/>
        <v>0.46200000000000013</v>
      </c>
      <c r="AH17">
        <f t="shared" si="4"/>
        <v>0.46200000000000013</v>
      </c>
      <c r="AI17">
        <f t="shared" si="4"/>
        <v>0.46200000000000013</v>
      </c>
      <c r="AJ17">
        <f t="shared" si="4"/>
        <v>0.46200000000000013</v>
      </c>
      <c r="AK17">
        <f t="shared" si="4"/>
        <v>0.46200000000000013</v>
      </c>
      <c r="AL17">
        <f t="shared" si="4"/>
        <v>0.46200000000000013</v>
      </c>
      <c r="AM17">
        <f t="shared" si="4"/>
        <v>0.46200000000000013</v>
      </c>
      <c r="AN17">
        <f t="shared" si="4"/>
        <v>0.46200000000000013</v>
      </c>
      <c r="AO17">
        <f t="shared" si="4"/>
        <v>0.46200000000000013</v>
      </c>
      <c r="AP17">
        <f t="shared" si="4"/>
        <v>0.46200000000000013</v>
      </c>
      <c r="AQ17">
        <f t="shared" si="5"/>
        <v>0.46200000000000013</v>
      </c>
      <c r="AR17">
        <f t="shared" si="5"/>
        <v>0.46200000000000013</v>
      </c>
      <c r="AS17">
        <f t="shared" si="5"/>
        <v>0.46200000000000013</v>
      </c>
      <c r="AT17">
        <f t="shared" si="5"/>
        <v>0.46200000000000013</v>
      </c>
      <c r="AU17">
        <f t="shared" si="5"/>
        <v>0.46200000000000013</v>
      </c>
      <c r="AV17">
        <f t="shared" si="5"/>
        <v>0.46200000000000013</v>
      </c>
      <c r="AW17">
        <f t="shared" si="5"/>
        <v>0.46200000000000013</v>
      </c>
      <c r="AX17">
        <f t="shared" si="5"/>
        <v>0.46200000000000013</v>
      </c>
      <c r="AY17">
        <f t="shared" si="5"/>
        <v>0.46200000000000013</v>
      </c>
      <c r="AZ17">
        <f t="shared" si="5"/>
        <v>0.46200000000000013</v>
      </c>
      <c r="BA17" s="6"/>
    </row>
    <row r="18" spans="1:53" x14ac:dyDescent="0.2">
      <c r="A18">
        <f t="shared" si="6"/>
        <v>47</v>
      </c>
      <c r="B18" s="3">
        <f t="shared" si="0"/>
        <v>94</v>
      </c>
      <c r="C18">
        <f t="shared" si="1"/>
        <v>0.44297500000000006</v>
      </c>
      <c r="D18">
        <f t="shared" si="1"/>
        <v>0.44297500000000006</v>
      </c>
      <c r="E18">
        <f t="shared" si="1"/>
        <v>0.44297500000000006</v>
      </c>
      <c r="F18">
        <f t="shared" si="1"/>
        <v>0.44297500000000006</v>
      </c>
      <c r="G18">
        <f t="shared" si="1"/>
        <v>0.44297500000000006</v>
      </c>
      <c r="H18">
        <f t="shared" si="1"/>
        <v>0.44297500000000006</v>
      </c>
      <c r="I18">
        <f t="shared" si="1"/>
        <v>0.44297500000000006</v>
      </c>
      <c r="J18">
        <f t="shared" si="1"/>
        <v>0.44297500000000006</v>
      </c>
      <c r="K18">
        <f t="shared" si="1"/>
        <v>0.44297500000000006</v>
      </c>
      <c r="L18">
        <f t="shared" si="1"/>
        <v>0.44297500000000006</v>
      </c>
      <c r="M18">
        <f t="shared" si="2"/>
        <v>0.44297500000000006</v>
      </c>
      <c r="N18">
        <f t="shared" si="2"/>
        <v>0.44297500000000006</v>
      </c>
      <c r="O18">
        <f t="shared" si="2"/>
        <v>0.44297500000000006</v>
      </c>
      <c r="P18">
        <f t="shared" si="2"/>
        <v>0.44297500000000006</v>
      </c>
      <c r="Q18">
        <f t="shared" si="2"/>
        <v>0.44297500000000006</v>
      </c>
      <c r="R18">
        <f t="shared" si="2"/>
        <v>0.44297500000000006</v>
      </c>
      <c r="S18">
        <f t="shared" si="2"/>
        <v>0.44297500000000006</v>
      </c>
      <c r="T18">
        <f t="shared" si="2"/>
        <v>0.44297500000000006</v>
      </c>
      <c r="U18">
        <f t="shared" si="2"/>
        <v>0.44297500000000006</v>
      </c>
      <c r="V18">
        <f t="shared" si="2"/>
        <v>0.44297500000000006</v>
      </c>
      <c r="W18">
        <f t="shared" si="3"/>
        <v>0.44297500000000006</v>
      </c>
      <c r="X18">
        <f t="shared" si="3"/>
        <v>0.44297500000000006</v>
      </c>
      <c r="Y18">
        <f t="shared" si="3"/>
        <v>0.44297500000000006</v>
      </c>
      <c r="Z18">
        <f t="shared" si="3"/>
        <v>0.44297500000000006</v>
      </c>
      <c r="AA18">
        <f t="shared" si="3"/>
        <v>0.44297500000000006</v>
      </c>
      <c r="AB18">
        <f t="shared" si="3"/>
        <v>0.44297500000000006</v>
      </c>
      <c r="AC18">
        <f t="shared" si="3"/>
        <v>0.44297500000000006</v>
      </c>
      <c r="AD18">
        <f t="shared" si="3"/>
        <v>0.44297500000000006</v>
      </c>
      <c r="AE18">
        <f t="shared" si="3"/>
        <v>0.44297500000000006</v>
      </c>
      <c r="AF18">
        <f t="shared" si="3"/>
        <v>0.44297500000000006</v>
      </c>
      <c r="AG18">
        <f t="shared" si="4"/>
        <v>0.44297500000000006</v>
      </c>
      <c r="AH18">
        <f t="shared" si="4"/>
        <v>0.44297500000000006</v>
      </c>
      <c r="AI18">
        <f t="shared" si="4"/>
        <v>0.44297500000000006</v>
      </c>
      <c r="AJ18">
        <f t="shared" si="4"/>
        <v>0.44297500000000006</v>
      </c>
      <c r="AK18">
        <f t="shared" si="4"/>
        <v>0.44297500000000006</v>
      </c>
      <c r="AL18">
        <f t="shared" si="4"/>
        <v>0.44297500000000006</v>
      </c>
      <c r="AM18">
        <f t="shared" si="4"/>
        <v>0.44297500000000006</v>
      </c>
      <c r="AN18">
        <f t="shared" si="4"/>
        <v>0.44297500000000006</v>
      </c>
      <c r="AO18">
        <f t="shared" si="4"/>
        <v>0.44297500000000006</v>
      </c>
      <c r="AP18">
        <f t="shared" si="4"/>
        <v>0.44297500000000006</v>
      </c>
      <c r="AQ18">
        <f t="shared" si="5"/>
        <v>0.44297500000000006</v>
      </c>
      <c r="AR18">
        <f t="shared" si="5"/>
        <v>0.44297500000000006</v>
      </c>
      <c r="AS18">
        <f t="shared" si="5"/>
        <v>0.44297500000000006</v>
      </c>
      <c r="AT18">
        <f t="shared" si="5"/>
        <v>0.44297500000000006</v>
      </c>
      <c r="AU18">
        <f t="shared" si="5"/>
        <v>0.44297500000000006</v>
      </c>
      <c r="AV18">
        <f t="shared" si="5"/>
        <v>0.44297500000000006</v>
      </c>
      <c r="AW18">
        <f t="shared" si="5"/>
        <v>0.44297500000000006</v>
      </c>
      <c r="AX18">
        <f t="shared" si="5"/>
        <v>0.44297500000000006</v>
      </c>
      <c r="AY18">
        <f t="shared" si="5"/>
        <v>0.44297500000000006</v>
      </c>
      <c r="AZ18">
        <f t="shared" si="5"/>
        <v>0.44297500000000006</v>
      </c>
      <c r="BA18" s="6"/>
    </row>
    <row r="19" spans="1:53" x14ac:dyDescent="0.2">
      <c r="A19">
        <f t="shared" si="6"/>
        <v>46</v>
      </c>
      <c r="B19" s="3">
        <f t="shared" si="0"/>
        <v>92</v>
      </c>
      <c r="C19">
        <f t="shared" si="1"/>
        <v>0.42435000000000012</v>
      </c>
      <c r="D19">
        <f t="shared" si="1"/>
        <v>0.42435000000000012</v>
      </c>
      <c r="E19">
        <f t="shared" si="1"/>
        <v>0.42435000000000012</v>
      </c>
      <c r="F19">
        <f t="shared" si="1"/>
        <v>0.42435000000000012</v>
      </c>
      <c r="G19">
        <f t="shared" si="1"/>
        <v>0.42435000000000012</v>
      </c>
      <c r="H19">
        <f t="shared" si="1"/>
        <v>0.42435000000000012</v>
      </c>
      <c r="I19">
        <f t="shared" si="1"/>
        <v>0.42435000000000012</v>
      </c>
      <c r="J19">
        <f t="shared" si="1"/>
        <v>0.42435000000000012</v>
      </c>
      <c r="K19">
        <f t="shared" si="1"/>
        <v>0.42435000000000012</v>
      </c>
      <c r="L19">
        <f t="shared" si="1"/>
        <v>0.42435000000000012</v>
      </c>
      <c r="M19">
        <f t="shared" si="2"/>
        <v>0.42435000000000012</v>
      </c>
      <c r="N19">
        <f t="shared" si="2"/>
        <v>0.42435000000000012</v>
      </c>
      <c r="O19">
        <f t="shared" si="2"/>
        <v>0.42435000000000012</v>
      </c>
      <c r="P19">
        <f t="shared" si="2"/>
        <v>0.42435000000000012</v>
      </c>
      <c r="Q19">
        <f t="shared" si="2"/>
        <v>0.42435000000000012</v>
      </c>
      <c r="R19">
        <f t="shared" si="2"/>
        <v>0.42435000000000012</v>
      </c>
      <c r="S19">
        <f t="shared" si="2"/>
        <v>0.42435000000000012</v>
      </c>
      <c r="T19">
        <f t="shared" si="2"/>
        <v>0.42435000000000012</v>
      </c>
      <c r="U19">
        <f t="shared" si="2"/>
        <v>0.42435000000000012</v>
      </c>
      <c r="V19">
        <f t="shared" si="2"/>
        <v>0.42435000000000012</v>
      </c>
      <c r="W19">
        <f t="shared" si="3"/>
        <v>0.42435000000000012</v>
      </c>
      <c r="X19">
        <f t="shared" si="3"/>
        <v>0.42435000000000012</v>
      </c>
      <c r="Y19">
        <f t="shared" si="3"/>
        <v>0.42435000000000012</v>
      </c>
      <c r="Z19">
        <f t="shared" si="3"/>
        <v>0.42435000000000012</v>
      </c>
      <c r="AA19">
        <f t="shared" si="3"/>
        <v>0.42435000000000012</v>
      </c>
      <c r="AB19">
        <f t="shared" si="3"/>
        <v>0.42435000000000012</v>
      </c>
      <c r="AC19">
        <f t="shared" si="3"/>
        <v>0.42435000000000012</v>
      </c>
      <c r="AD19">
        <f t="shared" si="3"/>
        <v>0.42435000000000012</v>
      </c>
      <c r="AE19">
        <f t="shared" si="3"/>
        <v>0.42435000000000012</v>
      </c>
      <c r="AF19">
        <f t="shared" si="3"/>
        <v>0.42435000000000012</v>
      </c>
      <c r="AG19">
        <f t="shared" si="4"/>
        <v>0.42435000000000012</v>
      </c>
      <c r="AH19">
        <f t="shared" si="4"/>
        <v>0.42435000000000012</v>
      </c>
      <c r="AI19">
        <f t="shared" si="4"/>
        <v>0.42435000000000012</v>
      </c>
      <c r="AJ19">
        <f t="shared" si="4"/>
        <v>0.42435000000000012</v>
      </c>
      <c r="AK19">
        <f t="shared" si="4"/>
        <v>0.42435000000000012</v>
      </c>
      <c r="AL19">
        <f t="shared" si="4"/>
        <v>0.42435000000000012</v>
      </c>
      <c r="AM19">
        <f t="shared" si="4"/>
        <v>0.42435000000000012</v>
      </c>
      <c r="AN19">
        <f t="shared" si="4"/>
        <v>0.42435000000000012</v>
      </c>
      <c r="AO19">
        <f t="shared" si="4"/>
        <v>0.42435000000000012</v>
      </c>
      <c r="AP19">
        <f t="shared" si="4"/>
        <v>0.42435000000000012</v>
      </c>
      <c r="AQ19">
        <f t="shared" si="5"/>
        <v>0.42435000000000012</v>
      </c>
      <c r="AR19">
        <f t="shared" si="5"/>
        <v>0.42435000000000012</v>
      </c>
      <c r="AS19">
        <f t="shared" si="5"/>
        <v>0.42435000000000012</v>
      </c>
      <c r="AT19">
        <f t="shared" si="5"/>
        <v>0.42435000000000012</v>
      </c>
      <c r="AU19">
        <f t="shared" si="5"/>
        <v>0.42435000000000012</v>
      </c>
      <c r="AV19">
        <f t="shared" si="5"/>
        <v>0.42435000000000012</v>
      </c>
      <c r="AW19">
        <f t="shared" si="5"/>
        <v>0.42435000000000012</v>
      </c>
      <c r="AX19">
        <f t="shared" si="5"/>
        <v>0.42435000000000012</v>
      </c>
      <c r="AY19">
        <f t="shared" si="5"/>
        <v>0.42435000000000012</v>
      </c>
      <c r="AZ19">
        <f t="shared" si="5"/>
        <v>0.42435000000000012</v>
      </c>
      <c r="BA19" s="6"/>
    </row>
    <row r="20" spans="1:53" x14ac:dyDescent="0.2">
      <c r="A20">
        <f t="shared" si="6"/>
        <v>45</v>
      </c>
      <c r="B20" s="3">
        <f t="shared" si="0"/>
        <v>90</v>
      </c>
      <c r="C20">
        <f t="shared" si="1"/>
        <v>0.40612500000000007</v>
      </c>
      <c r="D20">
        <f t="shared" si="1"/>
        <v>0.40612500000000007</v>
      </c>
      <c r="E20">
        <f t="shared" si="1"/>
        <v>0.40612500000000007</v>
      </c>
      <c r="F20">
        <f t="shared" si="1"/>
        <v>0.40612500000000007</v>
      </c>
      <c r="G20">
        <f t="shared" si="1"/>
        <v>0.40612500000000007</v>
      </c>
      <c r="H20">
        <f t="shared" si="1"/>
        <v>0.40612500000000007</v>
      </c>
      <c r="I20">
        <f t="shared" si="1"/>
        <v>0.40612500000000007</v>
      </c>
      <c r="J20">
        <f t="shared" si="1"/>
        <v>0.40612500000000007</v>
      </c>
      <c r="K20">
        <f t="shared" si="1"/>
        <v>0.40612500000000007</v>
      </c>
      <c r="L20">
        <f t="shared" si="1"/>
        <v>0.40612500000000007</v>
      </c>
      <c r="M20">
        <f t="shared" si="2"/>
        <v>0.40612500000000007</v>
      </c>
      <c r="N20">
        <f t="shared" si="2"/>
        <v>0.40612500000000007</v>
      </c>
      <c r="O20">
        <f t="shared" si="2"/>
        <v>0.40612500000000007</v>
      </c>
      <c r="P20">
        <f t="shared" si="2"/>
        <v>0.40612500000000007</v>
      </c>
      <c r="Q20">
        <f t="shared" si="2"/>
        <v>0.40612500000000007</v>
      </c>
      <c r="R20">
        <f t="shared" si="2"/>
        <v>0.40612500000000007</v>
      </c>
      <c r="S20">
        <f t="shared" si="2"/>
        <v>0.40612500000000007</v>
      </c>
      <c r="T20">
        <f t="shared" si="2"/>
        <v>0.40612500000000007</v>
      </c>
      <c r="U20">
        <f t="shared" si="2"/>
        <v>0.40612500000000007</v>
      </c>
      <c r="V20">
        <f t="shared" si="2"/>
        <v>0.40612500000000007</v>
      </c>
      <c r="W20">
        <f t="shared" si="3"/>
        <v>0.40612500000000007</v>
      </c>
      <c r="X20">
        <f t="shared" si="3"/>
        <v>0.40612500000000007</v>
      </c>
      <c r="Y20">
        <f t="shared" si="3"/>
        <v>0.40612500000000007</v>
      </c>
      <c r="Z20">
        <f t="shared" si="3"/>
        <v>0.40612500000000007</v>
      </c>
      <c r="AA20">
        <f t="shared" si="3"/>
        <v>0.40612500000000007</v>
      </c>
      <c r="AB20">
        <f t="shared" si="3"/>
        <v>0.40612500000000007</v>
      </c>
      <c r="AC20">
        <f t="shared" si="3"/>
        <v>0.40612500000000007</v>
      </c>
      <c r="AD20">
        <f t="shared" si="3"/>
        <v>0.40612500000000007</v>
      </c>
      <c r="AE20">
        <f t="shared" si="3"/>
        <v>0.40612500000000007</v>
      </c>
      <c r="AF20">
        <f t="shared" si="3"/>
        <v>0.40612500000000007</v>
      </c>
      <c r="AG20">
        <f t="shared" si="4"/>
        <v>0.40612500000000007</v>
      </c>
      <c r="AH20">
        <f t="shared" si="4"/>
        <v>0.40612500000000007</v>
      </c>
      <c r="AI20">
        <f t="shared" si="4"/>
        <v>0.40612500000000007</v>
      </c>
      <c r="AJ20">
        <f t="shared" si="4"/>
        <v>0.40612500000000007</v>
      </c>
      <c r="AK20">
        <f t="shared" si="4"/>
        <v>0.40612500000000007</v>
      </c>
      <c r="AL20">
        <f t="shared" si="4"/>
        <v>0.40612500000000007</v>
      </c>
      <c r="AM20">
        <f t="shared" si="4"/>
        <v>0.40612500000000007</v>
      </c>
      <c r="AN20">
        <f t="shared" si="4"/>
        <v>0.40612500000000007</v>
      </c>
      <c r="AO20">
        <f t="shared" si="4"/>
        <v>0.40612500000000007</v>
      </c>
      <c r="AP20">
        <f t="shared" si="4"/>
        <v>0.40612500000000007</v>
      </c>
      <c r="AQ20">
        <f t="shared" si="5"/>
        <v>0.40612500000000007</v>
      </c>
      <c r="AR20">
        <f t="shared" si="5"/>
        <v>0.40612500000000007</v>
      </c>
      <c r="AS20">
        <f t="shared" si="5"/>
        <v>0.40612500000000007</v>
      </c>
      <c r="AT20">
        <f t="shared" si="5"/>
        <v>0.40612500000000007</v>
      </c>
      <c r="AU20">
        <f t="shared" si="5"/>
        <v>0.40612500000000007</v>
      </c>
      <c r="AV20">
        <f t="shared" si="5"/>
        <v>0.40612500000000007</v>
      </c>
      <c r="AW20">
        <f t="shared" si="5"/>
        <v>0.40612500000000007</v>
      </c>
      <c r="AX20">
        <f t="shared" si="5"/>
        <v>0.40612500000000007</v>
      </c>
      <c r="AY20">
        <f t="shared" si="5"/>
        <v>0.40612500000000007</v>
      </c>
      <c r="AZ20">
        <f t="shared" si="5"/>
        <v>0.40612500000000007</v>
      </c>
      <c r="BA20" s="6"/>
    </row>
    <row r="21" spans="1:53" x14ac:dyDescent="0.2">
      <c r="A21">
        <f t="shared" si="6"/>
        <v>44</v>
      </c>
      <c r="B21" s="3">
        <f t="shared" si="0"/>
        <v>88</v>
      </c>
      <c r="C21">
        <f t="shared" si="1"/>
        <v>0.38830000000000009</v>
      </c>
      <c r="D21">
        <f t="shared" si="1"/>
        <v>0.38830000000000009</v>
      </c>
      <c r="E21">
        <f t="shared" si="1"/>
        <v>0.38830000000000009</v>
      </c>
      <c r="F21">
        <f t="shared" si="1"/>
        <v>0.38830000000000009</v>
      </c>
      <c r="G21">
        <f t="shared" si="1"/>
        <v>0.38830000000000009</v>
      </c>
      <c r="H21">
        <f t="shared" si="1"/>
        <v>0.38830000000000009</v>
      </c>
      <c r="I21">
        <f t="shared" si="1"/>
        <v>0.38830000000000009</v>
      </c>
      <c r="J21">
        <f t="shared" si="1"/>
        <v>0.38830000000000009</v>
      </c>
      <c r="K21">
        <f t="shared" si="1"/>
        <v>0.38830000000000009</v>
      </c>
      <c r="L21">
        <f t="shared" si="1"/>
        <v>0.38830000000000009</v>
      </c>
      <c r="M21">
        <f t="shared" si="2"/>
        <v>0.38830000000000009</v>
      </c>
      <c r="N21">
        <f t="shared" si="2"/>
        <v>0.38830000000000009</v>
      </c>
      <c r="O21">
        <f t="shared" si="2"/>
        <v>0.38830000000000009</v>
      </c>
      <c r="P21">
        <f t="shared" si="2"/>
        <v>0.38830000000000009</v>
      </c>
      <c r="Q21">
        <f t="shared" si="2"/>
        <v>0.38830000000000009</v>
      </c>
      <c r="R21">
        <f t="shared" si="2"/>
        <v>0.38830000000000009</v>
      </c>
      <c r="S21">
        <f t="shared" si="2"/>
        <v>0.38830000000000009</v>
      </c>
      <c r="T21">
        <f t="shared" si="2"/>
        <v>0.38830000000000009</v>
      </c>
      <c r="U21">
        <f t="shared" si="2"/>
        <v>0.38830000000000009</v>
      </c>
      <c r="V21">
        <f t="shared" si="2"/>
        <v>0.38830000000000009</v>
      </c>
      <c r="W21">
        <f t="shared" si="3"/>
        <v>0.38830000000000009</v>
      </c>
      <c r="X21">
        <f t="shared" si="3"/>
        <v>0.38830000000000009</v>
      </c>
      <c r="Y21">
        <f t="shared" si="3"/>
        <v>0.38830000000000009</v>
      </c>
      <c r="Z21">
        <f t="shared" si="3"/>
        <v>0.38830000000000009</v>
      </c>
      <c r="AA21">
        <f t="shared" si="3"/>
        <v>0.38830000000000009</v>
      </c>
      <c r="AB21">
        <f t="shared" si="3"/>
        <v>0.38830000000000009</v>
      </c>
      <c r="AC21">
        <f t="shared" si="3"/>
        <v>0.38830000000000009</v>
      </c>
      <c r="AD21">
        <f t="shared" si="3"/>
        <v>0.38830000000000009</v>
      </c>
      <c r="AE21">
        <f t="shared" si="3"/>
        <v>0.38830000000000009</v>
      </c>
      <c r="AF21">
        <f t="shared" si="3"/>
        <v>0.38830000000000009</v>
      </c>
      <c r="AG21">
        <f t="shared" si="4"/>
        <v>0.38830000000000009</v>
      </c>
      <c r="AH21">
        <f t="shared" si="4"/>
        <v>0.38830000000000009</v>
      </c>
      <c r="AI21">
        <f t="shared" si="4"/>
        <v>0.38830000000000009</v>
      </c>
      <c r="AJ21">
        <f t="shared" si="4"/>
        <v>0.38830000000000009</v>
      </c>
      <c r="AK21">
        <f t="shared" si="4"/>
        <v>0.38830000000000009</v>
      </c>
      <c r="AL21">
        <f t="shared" si="4"/>
        <v>0.38830000000000009</v>
      </c>
      <c r="AM21">
        <f t="shared" si="4"/>
        <v>0.38830000000000009</v>
      </c>
      <c r="AN21">
        <f t="shared" si="4"/>
        <v>0.38830000000000009</v>
      </c>
      <c r="AO21">
        <f t="shared" si="4"/>
        <v>0.38830000000000009</v>
      </c>
      <c r="AP21">
        <f t="shared" si="4"/>
        <v>0.38830000000000009</v>
      </c>
      <c r="AQ21">
        <f t="shared" si="5"/>
        <v>0.38830000000000009</v>
      </c>
      <c r="AR21">
        <f t="shared" si="5"/>
        <v>0.38830000000000009</v>
      </c>
      <c r="AS21">
        <f t="shared" si="5"/>
        <v>0.38830000000000009</v>
      </c>
      <c r="AT21">
        <f t="shared" si="5"/>
        <v>0.38830000000000009</v>
      </c>
      <c r="AU21">
        <f t="shared" si="5"/>
        <v>0.38830000000000009</v>
      </c>
      <c r="AV21">
        <f t="shared" si="5"/>
        <v>0.38830000000000009</v>
      </c>
      <c r="AW21">
        <f t="shared" si="5"/>
        <v>0.38830000000000009</v>
      </c>
      <c r="AX21">
        <f t="shared" si="5"/>
        <v>0.38830000000000009</v>
      </c>
      <c r="AY21">
        <f t="shared" si="5"/>
        <v>0.38830000000000009</v>
      </c>
      <c r="AZ21">
        <f t="shared" si="5"/>
        <v>0.38830000000000009</v>
      </c>
      <c r="BA21" s="6"/>
    </row>
    <row r="22" spans="1:53" x14ac:dyDescent="0.2">
      <c r="A22">
        <f t="shared" si="6"/>
        <v>43</v>
      </c>
      <c r="B22" s="3">
        <f t="shared" si="0"/>
        <v>86</v>
      </c>
      <c r="C22">
        <f t="shared" si="1"/>
        <v>0.37087500000000007</v>
      </c>
      <c r="D22">
        <f t="shared" si="1"/>
        <v>0.37087500000000007</v>
      </c>
      <c r="E22">
        <f t="shared" si="1"/>
        <v>0.37087500000000007</v>
      </c>
      <c r="F22">
        <f t="shared" si="1"/>
        <v>0.37087500000000007</v>
      </c>
      <c r="G22">
        <f t="shared" si="1"/>
        <v>0.37087500000000007</v>
      </c>
      <c r="H22">
        <f t="shared" si="1"/>
        <v>0.37087500000000007</v>
      </c>
      <c r="I22">
        <f t="shared" si="1"/>
        <v>0.37087500000000007</v>
      </c>
      <c r="J22">
        <f t="shared" si="1"/>
        <v>0.37087500000000007</v>
      </c>
      <c r="K22">
        <f t="shared" si="1"/>
        <v>0.37087500000000007</v>
      </c>
      <c r="L22">
        <f t="shared" si="1"/>
        <v>0.37087500000000007</v>
      </c>
      <c r="M22">
        <f t="shared" si="2"/>
        <v>0.37087500000000007</v>
      </c>
      <c r="N22">
        <f t="shared" si="2"/>
        <v>0.37087500000000007</v>
      </c>
      <c r="O22">
        <f t="shared" si="2"/>
        <v>0.37087500000000007</v>
      </c>
      <c r="P22">
        <f t="shared" si="2"/>
        <v>0.37087500000000007</v>
      </c>
      <c r="Q22">
        <f t="shared" si="2"/>
        <v>0.37087500000000007</v>
      </c>
      <c r="R22">
        <f t="shared" si="2"/>
        <v>0.37087500000000007</v>
      </c>
      <c r="S22">
        <f t="shared" si="2"/>
        <v>0.37087500000000007</v>
      </c>
      <c r="T22">
        <f t="shared" si="2"/>
        <v>0.37087500000000007</v>
      </c>
      <c r="U22">
        <f t="shared" si="2"/>
        <v>0.37087500000000007</v>
      </c>
      <c r="V22">
        <f t="shared" si="2"/>
        <v>0.37087500000000007</v>
      </c>
      <c r="W22">
        <f t="shared" si="3"/>
        <v>0.37087500000000007</v>
      </c>
      <c r="X22">
        <f t="shared" si="3"/>
        <v>0.37087500000000007</v>
      </c>
      <c r="Y22">
        <f t="shared" si="3"/>
        <v>0.37087500000000007</v>
      </c>
      <c r="Z22">
        <f t="shared" si="3"/>
        <v>0.37087500000000007</v>
      </c>
      <c r="AA22">
        <f t="shared" si="3"/>
        <v>0.37087500000000007</v>
      </c>
      <c r="AB22">
        <f t="shared" si="3"/>
        <v>0.37087500000000007</v>
      </c>
      <c r="AC22">
        <f t="shared" si="3"/>
        <v>0.37087500000000007</v>
      </c>
      <c r="AD22">
        <f t="shared" si="3"/>
        <v>0.37087500000000007</v>
      </c>
      <c r="AE22">
        <f t="shared" si="3"/>
        <v>0.37087500000000007</v>
      </c>
      <c r="AF22">
        <f t="shared" si="3"/>
        <v>0.37087500000000007</v>
      </c>
      <c r="AG22">
        <f t="shared" si="4"/>
        <v>0.37087500000000007</v>
      </c>
      <c r="AH22">
        <f t="shared" si="4"/>
        <v>0.37087500000000007</v>
      </c>
      <c r="AI22">
        <f t="shared" si="4"/>
        <v>0.37087500000000007</v>
      </c>
      <c r="AJ22">
        <f t="shared" si="4"/>
        <v>0.37087500000000007</v>
      </c>
      <c r="AK22">
        <f t="shared" si="4"/>
        <v>0.37087500000000007</v>
      </c>
      <c r="AL22">
        <f t="shared" si="4"/>
        <v>0.37087500000000007</v>
      </c>
      <c r="AM22">
        <f t="shared" si="4"/>
        <v>0.37087500000000007</v>
      </c>
      <c r="AN22">
        <f t="shared" si="4"/>
        <v>0.37087500000000007</v>
      </c>
      <c r="AO22">
        <f t="shared" si="4"/>
        <v>0.37087500000000007</v>
      </c>
      <c r="AP22">
        <f t="shared" si="4"/>
        <v>0.37087500000000007</v>
      </c>
      <c r="AQ22">
        <f t="shared" si="5"/>
        <v>0.37087500000000007</v>
      </c>
      <c r="AR22">
        <f t="shared" si="5"/>
        <v>0.37087500000000007</v>
      </c>
      <c r="AS22">
        <f t="shared" si="5"/>
        <v>0.37087500000000007</v>
      </c>
      <c r="AT22">
        <f t="shared" si="5"/>
        <v>0.37087500000000007</v>
      </c>
      <c r="AU22">
        <f t="shared" si="5"/>
        <v>0.37087500000000007</v>
      </c>
      <c r="AV22">
        <f t="shared" si="5"/>
        <v>0.37087500000000007</v>
      </c>
      <c r="AW22">
        <f t="shared" si="5"/>
        <v>0.37087500000000007</v>
      </c>
      <c r="AX22">
        <f t="shared" si="5"/>
        <v>0.37087500000000007</v>
      </c>
      <c r="AY22">
        <f t="shared" si="5"/>
        <v>0.37087500000000007</v>
      </c>
      <c r="AZ22">
        <f t="shared" si="5"/>
        <v>0.37087500000000007</v>
      </c>
      <c r="BA22" s="6"/>
    </row>
    <row r="23" spans="1:53" x14ac:dyDescent="0.2">
      <c r="A23">
        <f t="shared" si="6"/>
        <v>42</v>
      </c>
      <c r="B23" s="3">
        <f t="shared" si="0"/>
        <v>84</v>
      </c>
      <c r="C23">
        <f t="shared" si="1"/>
        <v>0.35385000000000005</v>
      </c>
      <c r="D23">
        <f t="shared" si="1"/>
        <v>0.35385000000000005</v>
      </c>
      <c r="E23">
        <f t="shared" si="1"/>
        <v>0.35385000000000005</v>
      </c>
      <c r="F23">
        <f t="shared" si="1"/>
        <v>0.35385000000000005</v>
      </c>
      <c r="G23">
        <f t="shared" si="1"/>
        <v>0.35385000000000005</v>
      </c>
      <c r="H23">
        <f t="shared" si="1"/>
        <v>0.35385000000000005</v>
      </c>
      <c r="I23">
        <f t="shared" si="1"/>
        <v>0.35385000000000005</v>
      </c>
      <c r="J23">
        <f t="shared" si="1"/>
        <v>0.35385000000000005</v>
      </c>
      <c r="K23">
        <f t="shared" si="1"/>
        <v>0.35385000000000005</v>
      </c>
      <c r="L23">
        <f t="shared" si="1"/>
        <v>0.35385000000000005</v>
      </c>
      <c r="M23">
        <f t="shared" si="2"/>
        <v>0.35385000000000005</v>
      </c>
      <c r="N23">
        <f t="shared" si="2"/>
        <v>0.35385000000000005</v>
      </c>
      <c r="O23">
        <f t="shared" si="2"/>
        <v>0.35385000000000005</v>
      </c>
      <c r="P23">
        <f t="shared" si="2"/>
        <v>0.35385000000000005</v>
      </c>
      <c r="Q23">
        <f t="shared" si="2"/>
        <v>0.35385000000000005</v>
      </c>
      <c r="R23">
        <f t="shared" si="2"/>
        <v>0.35385000000000005</v>
      </c>
      <c r="S23">
        <f t="shared" si="2"/>
        <v>0.35385000000000005</v>
      </c>
      <c r="T23">
        <f t="shared" si="2"/>
        <v>0.35385000000000005</v>
      </c>
      <c r="U23">
        <f t="shared" si="2"/>
        <v>0.35385000000000005</v>
      </c>
      <c r="V23">
        <f t="shared" si="2"/>
        <v>0.35385000000000005</v>
      </c>
      <c r="W23">
        <f t="shared" si="3"/>
        <v>0.35385000000000005</v>
      </c>
      <c r="X23">
        <f t="shared" si="3"/>
        <v>0.35385000000000005</v>
      </c>
      <c r="Y23">
        <f t="shared" si="3"/>
        <v>0.35385000000000005</v>
      </c>
      <c r="Z23">
        <f t="shared" si="3"/>
        <v>0.35385000000000005</v>
      </c>
      <c r="AA23">
        <f t="shared" si="3"/>
        <v>0.35385000000000005</v>
      </c>
      <c r="AB23">
        <f t="shared" si="3"/>
        <v>0.35385000000000005</v>
      </c>
      <c r="AC23">
        <f t="shared" si="3"/>
        <v>0.35385000000000005</v>
      </c>
      <c r="AD23">
        <f t="shared" si="3"/>
        <v>0.35385000000000005</v>
      </c>
      <c r="AE23">
        <f t="shared" si="3"/>
        <v>0.35385000000000005</v>
      </c>
      <c r="AF23">
        <f t="shared" si="3"/>
        <v>0.35385000000000005</v>
      </c>
      <c r="AG23">
        <f t="shared" si="4"/>
        <v>0.35385000000000005</v>
      </c>
      <c r="AH23">
        <f t="shared" si="4"/>
        <v>0.35385000000000005</v>
      </c>
      <c r="AI23">
        <f t="shared" si="4"/>
        <v>0.35385000000000005</v>
      </c>
      <c r="AJ23">
        <f t="shared" si="4"/>
        <v>0.35385000000000005</v>
      </c>
      <c r="AK23">
        <f t="shared" si="4"/>
        <v>0.35385000000000005</v>
      </c>
      <c r="AL23">
        <f t="shared" si="4"/>
        <v>0.35385000000000005</v>
      </c>
      <c r="AM23">
        <f t="shared" si="4"/>
        <v>0.35385000000000005</v>
      </c>
      <c r="AN23">
        <f t="shared" si="4"/>
        <v>0.35385000000000005</v>
      </c>
      <c r="AO23">
        <f t="shared" si="4"/>
        <v>0.35385000000000005</v>
      </c>
      <c r="AP23">
        <f t="shared" si="4"/>
        <v>0.35385000000000005</v>
      </c>
      <c r="AQ23">
        <f t="shared" si="5"/>
        <v>0.35385000000000005</v>
      </c>
      <c r="AR23">
        <f t="shared" si="5"/>
        <v>0.35385000000000005</v>
      </c>
      <c r="AS23">
        <f t="shared" si="5"/>
        <v>0.35385000000000005</v>
      </c>
      <c r="AT23">
        <f t="shared" si="5"/>
        <v>0.35385000000000005</v>
      </c>
      <c r="AU23">
        <f t="shared" si="5"/>
        <v>0.35385000000000005</v>
      </c>
      <c r="AV23">
        <f t="shared" si="5"/>
        <v>0.35385000000000005</v>
      </c>
      <c r="AW23">
        <f t="shared" si="5"/>
        <v>0.35385000000000005</v>
      </c>
      <c r="AX23">
        <f t="shared" si="5"/>
        <v>0.35385000000000005</v>
      </c>
      <c r="AY23">
        <f t="shared" si="5"/>
        <v>0.35385000000000005</v>
      </c>
      <c r="AZ23">
        <f t="shared" si="5"/>
        <v>0.35385000000000005</v>
      </c>
      <c r="BA23" s="6"/>
    </row>
    <row r="24" spans="1:53" x14ac:dyDescent="0.2">
      <c r="A24">
        <f t="shared" si="6"/>
        <v>41</v>
      </c>
      <c r="B24" s="3">
        <f t="shared" si="0"/>
        <v>82</v>
      </c>
      <c r="C24">
        <f t="shared" si="1"/>
        <v>0.33722500000000005</v>
      </c>
      <c r="D24">
        <f t="shared" si="1"/>
        <v>0.33722500000000005</v>
      </c>
      <c r="E24">
        <f t="shared" si="1"/>
        <v>0.33722500000000005</v>
      </c>
      <c r="F24">
        <f t="shared" si="1"/>
        <v>0.33722500000000005</v>
      </c>
      <c r="G24">
        <f t="shared" si="1"/>
        <v>0.33722500000000005</v>
      </c>
      <c r="H24">
        <f t="shared" si="1"/>
        <v>0.33722500000000005</v>
      </c>
      <c r="I24">
        <f t="shared" si="1"/>
        <v>0.33722500000000005</v>
      </c>
      <c r="J24">
        <f t="shared" si="1"/>
        <v>0.33722500000000005</v>
      </c>
      <c r="K24">
        <f t="shared" si="1"/>
        <v>0.33722500000000005</v>
      </c>
      <c r="L24">
        <f t="shared" si="1"/>
        <v>0.33722500000000005</v>
      </c>
      <c r="M24">
        <f t="shared" si="2"/>
        <v>0.33722500000000005</v>
      </c>
      <c r="N24">
        <f t="shared" si="2"/>
        <v>0.33722500000000005</v>
      </c>
      <c r="O24">
        <f t="shared" si="2"/>
        <v>0.33722500000000005</v>
      </c>
      <c r="P24">
        <f t="shared" si="2"/>
        <v>0.33722500000000005</v>
      </c>
      <c r="Q24">
        <f t="shared" si="2"/>
        <v>0.33722500000000005</v>
      </c>
      <c r="R24">
        <f t="shared" si="2"/>
        <v>0.33722500000000005</v>
      </c>
      <c r="S24">
        <f t="shared" si="2"/>
        <v>0.33722500000000005</v>
      </c>
      <c r="T24">
        <f t="shared" si="2"/>
        <v>0.33722500000000005</v>
      </c>
      <c r="U24">
        <f t="shared" si="2"/>
        <v>0.33722500000000005</v>
      </c>
      <c r="V24">
        <f t="shared" si="2"/>
        <v>0.33722500000000005</v>
      </c>
      <c r="W24">
        <f t="shared" si="3"/>
        <v>0.33722500000000005</v>
      </c>
      <c r="X24">
        <f t="shared" si="3"/>
        <v>0.33722500000000005</v>
      </c>
      <c r="Y24">
        <f t="shared" si="3"/>
        <v>0.33722500000000005</v>
      </c>
      <c r="Z24">
        <f t="shared" si="3"/>
        <v>0.33722500000000005</v>
      </c>
      <c r="AA24">
        <f t="shared" si="3"/>
        <v>0.33722500000000005</v>
      </c>
      <c r="AB24">
        <f t="shared" si="3"/>
        <v>0.33722500000000005</v>
      </c>
      <c r="AC24">
        <f t="shared" si="3"/>
        <v>0.33722500000000005</v>
      </c>
      <c r="AD24">
        <f t="shared" si="3"/>
        <v>0.33722500000000005</v>
      </c>
      <c r="AE24">
        <f t="shared" si="3"/>
        <v>0.33722500000000005</v>
      </c>
      <c r="AF24">
        <f t="shared" si="3"/>
        <v>0.33722500000000005</v>
      </c>
      <c r="AG24">
        <f t="shared" si="4"/>
        <v>0.33722500000000005</v>
      </c>
      <c r="AH24">
        <f t="shared" si="4"/>
        <v>0.33722500000000005</v>
      </c>
      <c r="AI24">
        <f t="shared" si="4"/>
        <v>0.33722500000000005</v>
      </c>
      <c r="AJ24">
        <f t="shared" si="4"/>
        <v>0.33722500000000005</v>
      </c>
      <c r="AK24">
        <f t="shared" si="4"/>
        <v>0.33722500000000005</v>
      </c>
      <c r="AL24">
        <f t="shared" si="4"/>
        <v>0.33722500000000005</v>
      </c>
      <c r="AM24">
        <f t="shared" si="4"/>
        <v>0.33722500000000005</v>
      </c>
      <c r="AN24">
        <f t="shared" si="4"/>
        <v>0.33722500000000005</v>
      </c>
      <c r="AO24">
        <f t="shared" si="4"/>
        <v>0.33722500000000005</v>
      </c>
      <c r="AP24">
        <f t="shared" si="4"/>
        <v>0.33722500000000005</v>
      </c>
      <c r="AQ24">
        <f t="shared" si="5"/>
        <v>0.33722500000000005</v>
      </c>
      <c r="AR24">
        <f t="shared" si="5"/>
        <v>0.33722500000000005</v>
      </c>
      <c r="AS24">
        <f t="shared" si="5"/>
        <v>0.33722500000000005</v>
      </c>
      <c r="AT24">
        <f t="shared" si="5"/>
        <v>0.33722500000000005</v>
      </c>
      <c r="AU24">
        <f t="shared" si="5"/>
        <v>0.33722500000000005</v>
      </c>
      <c r="AV24">
        <f t="shared" si="5"/>
        <v>0.33722500000000005</v>
      </c>
      <c r="AW24">
        <f t="shared" si="5"/>
        <v>0.33722500000000005</v>
      </c>
      <c r="AX24">
        <f t="shared" si="5"/>
        <v>0.33722500000000005</v>
      </c>
      <c r="AY24">
        <f t="shared" si="5"/>
        <v>0.33722500000000005</v>
      </c>
      <c r="AZ24">
        <f t="shared" si="5"/>
        <v>0.33722500000000005</v>
      </c>
      <c r="BA24" s="6"/>
    </row>
    <row r="25" spans="1:53" x14ac:dyDescent="0.2">
      <c r="A25">
        <f t="shared" si="6"/>
        <v>40</v>
      </c>
      <c r="B25" s="3">
        <f t="shared" si="0"/>
        <v>80</v>
      </c>
      <c r="C25">
        <f t="shared" si="1"/>
        <v>0.32100000000000012</v>
      </c>
      <c r="D25">
        <f t="shared" si="1"/>
        <v>0.32100000000000012</v>
      </c>
      <c r="E25">
        <f t="shared" si="1"/>
        <v>0.32100000000000012</v>
      </c>
      <c r="F25">
        <f t="shared" si="1"/>
        <v>0.32100000000000012</v>
      </c>
      <c r="G25">
        <f t="shared" si="1"/>
        <v>0.32100000000000012</v>
      </c>
      <c r="H25">
        <f t="shared" si="1"/>
        <v>0.32100000000000012</v>
      </c>
      <c r="I25">
        <f t="shared" si="1"/>
        <v>0.32100000000000012</v>
      </c>
      <c r="J25">
        <f t="shared" si="1"/>
        <v>0.32100000000000012</v>
      </c>
      <c r="K25">
        <f t="shared" si="1"/>
        <v>0.32100000000000012</v>
      </c>
      <c r="L25">
        <f t="shared" si="1"/>
        <v>0.32100000000000012</v>
      </c>
      <c r="M25">
        <f t="shared" si="2"/>
        <v>0.32100000000000012</v>
      </c>
      <c r="N25">
        <f t="shared" si="2"/>
        <v>0.32100000000000012</v>
      </c>
      <c r="O25">
        <f t="shared" si="2"/>
        <v>0.32100000000000012</v>
      </c>
      <c r="P25">
        <f t="shared" si="2"/>
        <v>0.32100000000000012</v>
      </c>
      <c r="Q25">
        <f t="shared" si="2"/>
        <v>0.32100000000000012</v>
      </c>
      <c r="R25">
        <f t="shared" si="2"/>
        <v>0.32100000000000012</v>
      </c>
      <c r="S25">
        <f t="shared" si="2"/>
        <v>0.32100000000000012</v>
      </c>
      <c r="T25">
        <f t="shared" si="2"/>
        <v>0.32100000000000012</v>
      </c>
      <c r="U25">
        <f t="shared" si="2"/>
        <v>0.32100000000000012</v>
      </c>
      <c r="V25">
        <f t="shared" si="2"/>
        <v>0.32100000000000012</v>
      </c>
      <c r="W25">
        <f t="shared" si="3"/>
        <v>0.32100000000000012</v>
      </c>
      <c r="X25">
        <f t="shared" si="3"/>
        <v>0.32100000000000012</v>
      </c>
      <c r="Y25">
        <f t="shared" si="3"/>
        <v>0.32100000000000012</v>
      </c>
      <c r="Z25">
        <f t="shared" si="3"/>
        <v>0.32100000000000012</v>
      </c>
      <c r="AA25">
        <f t="shared" si="3"/>
        <v>0.32100000000000012</v>
      </c>
      <c r="AB25">
        <f t="shared" si="3"/>
        <v>0.32100000000000012</v>
      </c>
      <c r="AC25">
        <f t="shared" si="3"/>
        <v>0.32100000000000012</v>
      </c>
      <c r="AD25">
        <f t="shared" si="3"/>
        <v>0.32100000000000012</v>
      </c>
      <c r="AE25">
        <f t="shared" si="3"/>
        <v>0.32100000000000012</v>
      </c>
      <c r="AF25">
        <f t="shared" si="3"/>
        <v>0.32100000000000012</v>
      </c>
      <c r="AG25">
        <f t="shared" si="4"/>
        <v>0.32100000000000012</v>
      </c>
      <c r="AH25">
        <f t="shared" si="4"/>
        <v>0.32100000000000012</v>
      </c>
      <c r="AI25">
        <f t="shared" si="4"/>
        <v>0.32100000000000012</v>
      </c>
      <c r="AJ25">
        <f t="shared" si="4"/>
        <v>0.32100000000000012</v>
      </c>
      <c r="AK25">
        <f t="shared" si="4"/>
        <v>0.32100000000000012</v>
      </c>
      <c r="AL25">
        <f t="shared" si="4"/>
        <v>0.32100000000000012</v>
      </c>
      <c r="AM25">
        <f t="shared" si="4"/>
        <v>0.32100000000000012</v>
      </c>
      <c r="AN25">
        <f t="shared" si="4"/>
        <v>0.32100000000000012</v>
      </c>
      <c r="AO25">
        <f t="shared" si="4"/>
        <v>0.32100000000000012</v>
      </c>
      <c r="AP25">
        <f t="shared" si="4"/>
        <v>0.32100000000000012</v>
      </c>
      <c r="AQ25">
        <f t="shared" si="5"/>
        <v>0.32100000000000012</v>
      </c>
      <c r="AR25">
        <f t="shared" si="5"/>
        <v>0.32100000000000012</v>
      </c>
      <c r="AS25">
        <f t="shared" si="5"/>
        <v>0.32100000000000012</v>
      </c>
      <c r="AT25">
        <f t="shared" si="5"/>
        <v>0.32100000000000012</v>
      </c>
      <c r="AU25">
        <f t="shared" si="5"/>
        <v>0.32100000000000012</v>
      </c>
      <c r="AV25">
        <f t="shared" si="5"/>
        <v>0.32100000000000012</v>
      </c>
      <c r="AW25">
        <f t="shared" si="5"/>
        <v>0.32100000000000012</v>
      </c>
      <c r="AX25">
        <f t="shared" si="5"/>
        <v>0.32100000000000012</v>
      </c>
      <c r="AY25">
        <f t="shared" si="5"/>
        <v>0.32100000000000012</v>
      </c>
      <c r="AZ25">
        <f t="shared" si="5"/>
        <v>0.32100000000000012</v>
      </c>
      <c r="BA25" s="6"/>
    </row>
    <row r="26" spans="1:53" x14ac:dyDescent="0.2">
      <c r="A26">
        <f t="shared" si="6"/>
        <v>39</v>
      </c>
      <c r="B26" s="3">
        <f t="shared" si="0"/>
        <v>78</v>
      </c>
      <c r="C26">
        <f t="shared" ref="C26:L35" si="7">(0.5*sigma^2*$A26^2+0.5*(rate -d)*$A26)*dt</f>
        <v>0.30517500000000009</v>
      </c>
      <c r="D26">
        <f t="shared" si="7"/>
        <v>0.30517500000000009</v>
      </c>
      <c r="E26">
        <f t="shared" si="7"/>
        <v>0.30517500000000009</v>
      </c>
      <c r="F26">
        <f t="shared" si="7"/>
        <v>0.30517500000000009</v>
      </c>
      <c r="G26">
        <f t="shared" si="7"/>
        <v>0.30517500000000009</v>
      </c>
      <c r="H26">
        <f t="shared" si="7"/>
        <v>0.30517500000000009</v>
      </c>
      <c r="I26">
        <f t="shared" si="7"/>
        <v>0.30517500000000009</v>
      </c>
      <c r="J26">
        <f t="shared" si="7"/>
        <v>0.30517500000000009</v>
      </c>
      <c r="K26">
        <f t="shared" si="7"/>
        <v>0.30517500000000009</v>
      </c>
      <c r="L26">
        <f t="shared" si="7"/>
        <v>0.30517500000000009</v>
      </c>
      <c r="M26">
        <f t="shared" ref="M26:V35" si="8">(0.5*sigma^2*$A26^2+0.5*(rate -d)*$A26)*dt</f>
        <v>0.30517500000000009</v>
      </c>
      <c r="N26">
        <f t="shared" si="8"/>
        <v>0.30517500000000009</v>
      </c>
      <c r="O26">
        <f t="shared" si="8"/>
        <v>0.30517500000000009</v>
      </c>
      <c r="P26">
        <f t="shared" si="8"/>
        <v>0.30517500000000009</v>
      </c>
      <c r="Q26">
        <f t="shared" si="8"/>
        <v>0.30517500000000009</v>
      </c>
      <c r="R26">
        <f t="shared" si="8"/>
        <v>0.30517500000000009</v>
      </c>
      <c r="S26">
        <f t="shared" si="8"/>
        <v>0.30517500000000009</v>
      </c>
      <c r="T26">
        <f t="shared" si="8"/>
        <v>0.30517500000000009</v>
      </c>
      <c r="U26">
        <f t="shared" si="8"/>
        <v>0.30517500000000009</v>
      </c>
      <c r="V26">
        <f t="shared" si="8"/>
        <v>0.30517500000000009</v>
      </c>
      <c r="W26">
        <f t="shared" ref="W26:AF35" si="9">(0.5*sigma^2*$A26^2+0.5*(rate -d)*$A26)*dt</f>
        <v>0.30517500000000009</v>
      </c>
      <c r="X26">
        <f t="shared" si="9"/>
        <v>0.30517500000000009</v>
      </c>
      <c r="Y26">
        <f t="shared" si="9"/>
        <v>0.30517500000000009</v>
      </c>
      <c r="Z26">
        <f t="shared" si="9"/>
        <v>0.30517500000000009</v>
      </c>
      <c r="AA26">
        <f t="shared" si="9"/>
        <v>0.30517500000000009</v>
      </c>
      <c r="AB26">
        <f t="shared" si="9"/>
        <v>0.30517500000000009</v>
      </c>
      <c r="AC26">
        <f t="shared" si="9"/>
        <v>0.30517500000000009</v>
      </c>
      <c r="AD26">
        <f t="shared" si="9"/>
        <v>0.30517500000000009</v>
      </c>
      <c r="AE26">
        <f t="shared" si="9"/>
        <v>0.30517500000000009</v>
      </c>
      <c r="AF26">
        <f t="shared" si="9"/>
        <v>0.30517500000000009</v>
      </c>
      <c r="AG26">
        <f t="shared" ref="AG26:AP35" si="10">(0.5*sigma^2*$A26^2+0.5*(rate -d)*$A26)*dt</f>
        <v>0.30517500000000009</v>
      </c>
      <c r="AH26">
        <f t="shared" si="10"/>
        <v>0.30517500000000009</v>
      </c>
      <c r="AI26">
        <f t="shared" si="10"/>
        <v>0.30517500000000009</v>
      </c>
      <c r="AJ26">
        <f t="shared" si="10"/>
        <v>0.30517500000000009</v>
      </c>
      <c r="AK26">
        <f t="shared" si="10"/>
        <v>0.30517500000000009</v>
      </c>
      <c r="AL26">
        <f t="shared" si="10"/>
        <v>0.30517500000000009</v>
      </c>
      <c r="AM26">
        <f t="shared" si="10"/>
        <v>0.30517500000000009</v>
      </c>
      <c r="AN26">
        <f t="shared" si="10"/>
        <v>0.30517500000000009</v>
      </c>
      <c r="AO26">
        <f t="shared" si="10"/>
        <v>0.30517500000000009</v>
      </c>
      <c r="AP26">
        <f t="shared" si="10"/>
        <v>0.30517500000000009</v>
      </c>
      <c r="AQ26">
        <f t="shared" ref="AQ26:AZ35" si="11">(0.5*sigma^2*$A26^2+0.5*(rate -d)*$A26)*dt</f>
        <v>0.30517500000000009</v>
      </c>
      <c r="AR26">
        <f t="shared" si="11"/>
        <v>0.30517500000000009</v>
      </c>
      <c r="AS26">
        <f t="shared" si="11"/>
        <v>0.30517500000000009</v>
      </c>
      <c r="AT26">
        <f t="shared" si="11"/>
        <v>0.30517500000000009</v>
      </c>
      <c r="AU26">
        <f t="shared" si="11"/>
        <v>0.30517500000000009</v>
      </c>
      <c r="AV26">
        <f t="shared" si="11"/>
        <v>0.30517500000000009</v>
      </c>
      <c r="AW26">
        <f t="shared" si="11"/>
        <v>0.30517500000000009</v>
      </c>
      <c r="AX26">
        <f t="shared" si="11"/>
        <v>0.30517500000000009</v>
      </c>
      <c r="AY26">
        <f t="shared" si="11"/>
        <v>0.30517500000000009</v>
      </c>
      <c r="AZ26">
        <f t="shared" si="11"/>
        <v>0.30517500000000009</v>
      </c>
      <c r="BA26" s="6"/>
    </row>
    <row r="27" spans="1:53" x14ac:dyDescent="0.2">
      <c r="A27">
        <f t="shared" si="6"/>
        <v>38</v>
      </c>
      <c r="B27" s="3">
        <f t="shared" si="0"/>
        <v>76</v>
      </c>
      <c r="C27">
        <f t="shared" si="7"/>
        <v>0.28975000000000006</v>
      </c>
      <c r="D27">
        <f t="shared" si="7"/>
        <v>0.28975000000000006</v>
      </c>
      <c r="E27">
        <f t="shared" si="7"/>
        <v>0.28975000000000006</v>
      </c>
      <c r="F27">
        <f t="shared" si="7"/>
        <v>0.28975000000000006</v>
      </c>
      <c r="G27">
        <f t="shared" si="7"/>
        <v>0.28975000000000006</v>
      </c>
      <c r="H27">
        <f t="shared" si="7"/>
        <v>0.28975000000000006</v>
      </c>
      <c r="I27">
        <f t="shared" si="7"/>
        <v>0.28975000000000006</v>
      </c>
      <c r="J27">
        <f t="shared" si="7"/>
        <v>0.28975000000000006</v>
      </c>
      <c r="K27">
        <f t="shared" si="7"/>
        <v>0.28975000000000006</v>
      </c>
      <c r="L27">
        <f t="shared" si="7"/>
        <v>0.28975000000000006</v>
      </c>
      <c r="M27">
        <f t="shared" si="8"/>
        <v>0.28975000000000006</v>
      </c>
      <c r="N27">
        <f t="shared" si="8"/>
        <v>0.28975000000000006</v>
      </c>
      <c r="O27">
        <f t="shared" si="8"/>
        <v>0.28975000000000006</v>
      </c>
      <c r="P27">
        <f t="shared" si="8"/>
        <v>0.28975000000000006</v>
      </c>
      <c r="Q27">
        <f t="shared" si="8"/>
        <v>0.28975000000000006</v>
      </c>
      <c r="R27">
        <f t="shared" si="8"/>
        <v>0.28975000000000006</v>
      </c>
      <c r="S27">
        <f t="shared" si="8"/>
        <v>0.28975000000000006</v>
      </c>
      <c r="T27">
        <f t="shared" si="8"/>
        <v>0.28975000000000006</v>
      </c>
      <c r="U27">
        <f t="shared" si="8"/>
        <v>0.28975000000000006</v>
      </c>
      <c r="V27">
        <f t="shared" si="8"/>
        <v>0.28975000000000006</v>
      </c>
      <c r="W27">
        <f t="shared" si="9"/>
        <v>0.28975000000000006</v>
      </c>
      <c r="X27">
        <f t="shared" si="9"/>
        <v>0.28975000000000006</v>
      </c>
      <c r="Y27">
        <f t="shared" si="9"/>
        <v>0.28975000000000006</v>
      </c>
      <c r="Z27">
        <f t="shared" si="9"/>
        <v>0.28975000000000006</v>
      </c>
      <c r="AA27">
        <f t="shared" si="9"/>
        <v>0.28975000000000006</v>
      </c>
      <c r="AB27">
        <f t="shared" si="9"/>
        <v>0.28975000000000006</v>
      </c>
      <c r="AC27">
        <f t="shared" si="9"/>
        <v>0.28975000000000006</v>
      </c>
      <c r="AD27">
        <f t="shared" si="9"/>
        <v>0.28975000000000006</v>
      </c>
      <c r="AE27">
        <f t="shared" si="9"/>
        <v>0.28975000000000006</v>
      </c>
      <c r="AF27">
        <f t="shared" si="9"/>
        <v>0.28975000000000006</v>
      </c>
      <c r="AG27">
        <f t="shared" si="10"/>
        <v>0.28975000000000006</v>
      </c>
      <c r="AH27">
        <f t="shared" si="10"/>
        <v>0.28975000000000006</v>
      </c>
      <c r="AI27">
        <f t="shared" si="10"/>
        <v>0.28975000000000006</v>
      </c>
      <c r="AJ27">
        <f t="shared" si="10"/>
        <v>0.28975000000000006</v>
      </c>
      <c r="AK27">
        <f t="shared" si="10"/>
        <v>0.28975000000000006</v>
      </c>
      <c r="AL27">
        <f t="shared" si="10"/>
        <v>0.28975000000000006</v>
      </c>
      <c r="AM27">
        <f t="shared" si="10"/>
        <v>0.28975000000000006</v>
      </c>
      <c r="AN27">
        <f t="shared" si="10"/>
        <v>0.28975000000000006</v>
      </c>
      <c r="AO27">
        <f t="shared" si="10"/>
        <v>0.28975000000000006</v>
      </c>
      <c r="AP27">
        <f t="shared" si="10"/>
        <v>0.28975000000000006</v>
      </c>
      <c r="AQ27">
        <f t="shared" si="11"/>
        <v>0.28975000000000006</v>
      </c>
      <c r="AR27">
        <f t="shared" si="11"/>
        <v>0.28975000000000006</v>
      </c>
      <c r="AS27">
        <f t="shared" si="11"/>
        <v>0.28975000000000006</v>
      </c>
      <c r="AT27">
        <f t="shared" si="11"/>
        <v>0.28975000000000006</v>
      </c>
      <c r="AU27">
        <f t="shared" si="11"/>
        <v>0.28975000000000006</v>
      </c>
      <c r="AV27">
        <f t="shared" si="11"/>
        <v>0.28975000000000006</v>
      </c>
      <c r="AW27">
        <f t="shared" si="11"/>
        <v>0.28975000000000006</v>
      </c>
      <c r="AX27">
        <f t="shared" si="11"/>
        <v>0.28975000000000006</v>
      </c>
      <c r="AY27">
        <f t="shared" si="11"/>
        <v>0.28975000000000006</v>
      </c>
      <c r="AZ27">
        <f t="shared" si="11"/>
        <v>0.28975000000000006</v>
      </c>
      <c r="BA27" s="6"/>
    </row>
    <row r="28" spans="1:53" x14ac:dyDescent="0.2">
      <c r="A28">
        <f t="shared" si="6"/>
        <v>37</v>
      </c>
      <c r="B28" s="3">
        <f t="shared" si="0"/>
        <v>74</v>
      </c>
      <c r="C28">
        <f t="shared" si="7"/>
        <v>0.27472500000000005</v>
      </c>
      <c r="D28">
        <f t="shared" si="7"/>
        <v>0.27472500000000005</v>
      </c>
      <c r="E28">
        <f t="shared" si="7"/>
        <v>0.27472500000000005</v>
      </c>
      <c r="F28">
        <f t="shared" si="7"/>
        <v>0.27472500000000005</v>
      </c>
      <c r="G28">
        <f t="shared" si="7"/>
        <v>0.27472500000000005</v>
      </c>
      <c r="H28">
        <f t="shared" si="7"/>
        <v>0.27472500000000005</v>
      </c>
      <c r="I28">
        <f t="shared" si="7"/>
        <v>0.27472500000000005</v>
      </c>
      <c r="J28">
        <f t="shared" si="7"/>
        <v>0.27472500000000005</v>
      </c>
      <c r="K28">
        <f t="shared" si="7"/>
        <v>0.27472500000000005</v>
      </c>
      <c r="L28">
        <f t="shared" si="7"/>
        <v>0.27472500000000005</v>
      </c>
      <c r="M28">
        <f t="shared" si="8"/>
        <v>0.27472500000000005</v>
      </c>
      <c r="N28">
        <f t="shared" si="8"/>
        <v>0.27472500000000005</v>
      </c>
      <c r="O28">
        <f t="shared" si="8"/>
        <v>0.27472500000000005</v>
      </c>
      <c r="P28">
        <f t="shared" si="8"/>
        <v>0.27472500000000005</v>
      </c>
      <c r="Q28">
        <f t="shared" si="8"/>
        <v>0.27472500000000005</v>
      </c>
      <c r="R28">
        <f t="shared" si="8"/>
        <v>0.27472500000000005</v>
      </c>
      <c r="S28">
        <f t="shared" si="8"/>
        <v>0.27472500000000005</v>
      </c>
      <c r="T28">
        <f t="shared" si="8"/>
        <v>0.27472500000000005</v>
      </c>
      <c r="U28">
        <f t="shared" si="8"/>
        <v>0.27472500000000005</v>
      </c>
      <c r="V28">
        <f t="shared" si="8"/>
        <v>0.27472500000000005</v>
      </c>
      <c r="W28">
        <f t="shared" si="9"/>
        <v>0.27472500000000005</v>
      </c>
      <c r="X28">
        <f t="shared" si="9"/>
        <v>0.27472500000000005</v>
      </c>
      <c r="Y28">
        <f t="shared" si="9"/>
        <v>0.27472500000000005</v>
      </c>
      <c r="Z28">
        <f t="shared" si="9"/>
        <v>0.27472500000000005</v>
      </c>
      <c r="AA28">
        <f t="shared" si="9"/>
        <v>0.27472500000000005</v>
      </c>
      <c r="AB28">
        <f t="shared" si="9"/>
        <v>0.27472500000000005</v>
      </c>
      <c r="AC28">
        <f t="shared" si="9"/>
        <v>0.27472500000000005</v>
      </c>
      <c r="AD28">
        <f t="shared" si="9"/>
        <v>0.27472500000000005</v>
      </c>
      <c r="AE28">
        <f t="shared" si="9"/>
        <v>0.27472500000000005</v>
      </c>
      <c r="AF28">
        <f t="shared" si="9"/>
        <v>0.27472500000000005</v>
      </c>
      <c r="AG28">
        <f t="shared" si="10"/>
        <v>0.27472500000000005</v>
      </c>
      <c r="AH28">
        <f t="shared" si="10"/>
        <v>0.27472500000000005</v>
      </c>
      <c r="AI28">
        <f t="shared" si="10"/>
        <v>0.27472500000000005</v>
      </c>
      <c r="AJ28">
        <f t="shared" si="10"/>
        <v>0.27472500000000005</v>
      </c>
      <c r="AK28">
        <f t="shared" si="10"/>
        <v>0.27472500000000005</v>
      </c>
      <c r="AL28">
        <f t="shared" si="10"/>
        <v>0.27472500000000005</v>
      </c>
      <c r="AM28">
        <f t="shared" si="10"/>
        <v>0.27472500000000005</v>
      </c>
      <c r="AN28">
        <f t="shared" si="10"/>
        <v>0.27472500000000005</v>
      </c>
      <c r="AO28">
        <f t="shared" si="10"/>
        <v>0.27472500000000005</v>
      </c>
      <c r="AP28">
        <f t="shared" si="10"/>
        <v>0.27472500000000005</v>
      </c>
      <c r="AQ28">
        <f t="shared" si="11"/>
        <v>0.27472500000000005</v>
      </c>
      <c r="AR28">
        <f t="shared" si="11"/>
        <v>0.27472500000000005</v>
      </c>
      <c r="AS28">
        <f t="shared" si="11"/>
        <v>0.27472500000000005</v>
      </c>
      <c r="AT28">
        <f t="shared" si="11"/>
        <v>0.27472500000000005</v>
      </c>
      <c r="AU28">
        <f t="shared" si="11"/>
        <v>0.27472500000000005</v>
      </c>
      <c r="AV28">
        <f t="shared" si="11"/>
        <v>0.27472500000000005</v>
      </c>
      <c r="AW28">
        <f t="shared" si="11"/>
        <v>0.27472500000000005</v>
      </c>
      <c r="AX28">
        <f t="shared" si="11"/>
        <v>0.27472500000000005</v>
      </c>
      <c r="AY28">
        <f t="shared" si="11"/>
        <v>0.27472500000000005</v>
      </c>
      <c r="AZ28">
        <f t="shared" si="11"/>
        <v>0.27472500000000005</v>
      </c>
      <c r="BA28" s="6"/>
    </row>
    <row r="29" spans="1:53" x14ac:dyDescent="0.2">
      <c r="A29">
        <f t="shared" si="6"/>
        <v>36</v>
      </c>
      <c r="B29" s="3">
        <f t="shared" si="0"/>
        <v>72</v>
      </c>
      <c r="C29">
        <f t="shared" si="7"/>
        <v>0.26010000000000005</v>
      </c>
      <c r="D29">
        <f t="shared" si="7"/>
        <v>0.26010000000000005</v>
      </c>
      <c r="E29">
        <f t="shared" si="7"/>
        <v>0.26010000000000005</v>
      </c>
      <c r="F29">
        <f t="shared" si="7"/>
        <v>0.26010000000000005</v>
      </c>
      <c r="G29">
        <f t="shared" si="7"/>
        <v>0.26010000000000005</v>
      </c>
      <c r="H29">
        <f t="shared" si="7"/>
        <v>0.26010000000000005</v>
      </c>
      <c r="I29">
        <f t="shared" si="7"/>
        <v>0.26010000000000005</v>
      </c>
      <c r="J29">
        <f t="shared" si="7"/>
        <v>0.26010000000000005</v>
      </c>
      <c r="K29">
        <f t="shared" si="7"/>
        <v>0.26010000000000005</v>
      </c>
      <c r="L29">
        <f t="shared" si="7"/>
        <v>0.26010000000000005</v>
      </c>
      <c r="M29">
        <f t="shared" si="8"/>
        <v>0.26010000000000005</v>
      </c>
      <c r="N29">
        <f t="shared" si="8"/>
        <v>0.26010000000000005</v>
      </c>
      <c r="O29">
        <f t="shared" si="8"/>
        <v>0.26010000000000005</v>
      </c>
      <c r="P29">
        <f t="shared" si="8"/>
        <v>0.26010000000000005</v>
      </c>
      <c r="Q29">
        <f t="shared" si="8"/>
        <v>0.26010000000000005</v>
      </c>
      <c r="R29">
        <f t="shared" si="8"/>
        <v>0.26010000000000005</v>
      </c>
      <c r="S29">
        <f t="shared" si="8"/>
        <v>0.26010000000000005</v>
      </c>
      <c r="T29">
        <f t="shared" si="8"/>
        <v>0.26010000000000005</v>
      </c>
      <c r="U29">
        <f t="shared" si="8"/>
        <v>0.26010000000000005</v>
      </c>
      <c r="V29">
        <f t="shared" si="8"/>
        <v>0.26010000000000005</v>
      </c>
      <c r="W29">
        <f t="shared" si="9"/>
        <v>0.26010000000000005</v>
      </c>
      <c r="X29">
        <f t="shared" si="9"/>
        <v>0.26010000000000005</v>
      </c>
      <c r="Y29">
        <f t="shared" si="9"/>
        <v>0.26010000000000005</v>
      </c>
      <c r="Z29">
        <f t="shared" si="9"/>
        <v>0.26010000000000005</v>
      </c>
      <c r="AA29">
        <f t="shared" si="9"/>
        <v>0.26010000000000005</v>
      </c>
      <c r="AB29">
        <f t="shared" si="9"/>
        <v>0.26010000000000005</v>
      </c>
      <c r="AC29">
        <f t="shared" si="9"/>
        <v>0.26010000000000005</v>
      </c>
      <c r="AD29">
        <f t="shared" si="9"/>
        <v>0.26010000000000005</v>
      </c>
      <c r="AE29">
        <f t="shared" si="9"/>
        <v>0.26010000000000005</v>
      </c>
      <c r="AF29">
        <f t="shared" si="9"/>
        <v>0.26010000000000005</v>
      </c>
      <c r="AG29">
        <f t="shared" si="10"/>
        <v>0.26010000000000005</v>
      </c>
      <c r="AH29">
        <f t="shared" si="10"/>
        <v>0.26010000000000005</v>
      </c>
      <c r="AI29">
        <f t="shared" si="10"/>
        <v>0.26010000000000005</v>
      </c>
      <c r="AJ29">
        <f t="shared" si="10"/>
        <v>0.26010000000000005</v>
      </c>
      <c r="AK29">
        <f t="shared" si="10"/>
        <v>0.26010000000000005</v>
      </c>
      <c r="AL29">
        <f t="shared" si="10"/>
        <v>0.26010000000000005</v>
      </c>
      <c r="AM29">
        <f t="shared" si="10"/>
        <v>0.26010000000000005</v>
      </c>
      <c r="AN29">
        <f t="shared" si="10"/>
        <v>0.26010000000000005</v>
      </c>
      <c r="AO29">
        <f t="shared" si="10"/>
        <v>0.26010000000000005</v>
      </c>
      <c r="AP29">
        <f t="shared" si="10"/>
        <v>0.26010000000000005</v>
      </c>
      <c r="AQ29">
        <f t="shared" si="11"/>
        <v>0.26010000000000005</v>
      </c>
      <c r="AR29">
        <f t="shared" si="11"/>
        <v>0.26010000000000005</v>
      </c>
      <c r="AS29">
        <f t="shared" si="11"/>
        <v>0.26010000000000005</v>
      </c>
      <c r="AT29">
        <f t="shared" si="11"/>
        <v>0.26010000000000005</v>
      </c>
      <c r="AU29">
        <f t="shared" si="11"/>
        <v>0.26010000000000005</v>
      </c>
      <c r="AV29">
        <f t="shared" si="11"/>
        <v>0.26010000000000005</v>
      </c>
      <c r="AW29">
        <f t="shared" si="11"/>
        <v>0.26010000000000005</v>
      </c>
      <c r="AX29">
        <f t="shared" si="11"/>
        <v>0.26010000000000005</v>
      </c>
      <c r="AY29">
        <f t="shared" si="11"/>
        <v>0.26010000000000005</v>
      </c>
      <c r="AZ29">
        <f t="shared" si="11"/>
        <v>0.26010000000000005</v>
      </c>
      <c r="BA29" s="6"/>
    </row>
    <row r="30" spans="1:53" x14ac:dyDescent="0.2">
      <c r="A30">
        <f t="shared" si="6"/>
        <v>35</v>
      </c>
      <c r="B30" s="3">
        <f t="shared" si="0"/>
        <v>70</v>
      </c>
      <c r="C30">
        <f t="shared" si="7"/>
        <v>0.24587500000000004</v>
      </c>
      <c r="D30">
        <f t="shared" si="7"/>
        <v>0.24587500000000004</v>
      </c>
      <c r="E30">
        <f t="shared" si="7"/>
        <v>0.24587500000000004</v>
      </c>
      <c r="F30">
        <f t="shared" si="7"/>
        <v>0.24587500000000004</v>
      </c>
      <c r="G30">
        <f t="shared" si="7"/>
        <v>0.24587500000000004</v>
      </c>
      <c r="H30">
        <f t="shared" si="7"/>
        <v>0.24587500000000004</v>
      </c>
      <c r="I30">
        <f t="shared" si="7"/>
        <v>0.24587500000000004</v>
      </c>
      <c r="J30">
        <f t="shared" si="7"/>
        <v>0.24587500000000004</v>
      </c>
      <c r="K30">
        <f t="shared" si="7"/>
        <v>0.24587500000000004</v>
      </c>
      <c r="L30">
        <f t="shared" si="7"/>
        <v>0.24587500000000004</v>
      </c>
      <c r="M30">
        <f t="shared" si="8"/>
        <v>0.24587500000000004</v>
      </c>
      <c r="N30">
        <f t="shared" si="8"/>
        <v>0.24587500000000004</v>
      </c>
      <c r="O30">
        <f t="shared" si="8"/>
        <v>0.24587500000000004</v>
      </c>
      <c r="P30">
        <f t="shared" si="8"/>
        <v>0.24587500000000004</v>
      </c>
      <c r="Q30">
        <f t="shared" si="8"/>
        <v>0.24587500000000004</v>
      </c>
      <c r="R30">
        <f t="shared" si="8"/>
        <v>0.24587500000000004</v>
      </c>
      <c r="S30">
        <f t="shared" si="8"/>
        <v>0.24587500000000004</v>
      </c>
      <c r="T30">
        <f t="shared" si="8"/>
        <v>0.24587500000000004</v>
      </c>
      <c r="U30">
        <f t="shared" si="8"/>
        <v>0.24587500000000004</v>
      </c>
      <c r="V30">
        <f t="shared" si="8"/>
        <v>0.24587500000000004</v>
      </c>
      <c r="W30">
        <f t="shared" si="9"/>
        <v>0.24587500000000004</v>
      </c>
      <c r="X30">
        <f t="shared" si="9"/>
        <v>0.24587500000000004</v>
      </c>
      <c r="Y30">
        <f t="shared" si="9"/>
        <v>0.24587500000000004</v>
      </c>
      <c r="Z30">
        <f t="shared" si="9"/>
        <v>0.24587500000000004</v>
      </c>
      <c r="AA30">
        <f t="shared" si="9"/>
        <v>0.24587500000000004</v>
      </c>
      <c r="AB30">
        <f t="shared" si="9"/>
        <v>0.24587500000000004</v>
      </c>
      <c r="AC30">
        <f t="shared" si="9"/>
        <v>0.24587500000000004</v>
      </c>
      <c r="AD30">
        <f t="shared" si="9"/>
        <v>0.24587500000000004</v>
      </c>
      <c r="AE30">
        <f t="shared" si="9"/>
        <v>0.24587500000000004</v>
      </c>
      <c r="AF30">
        <f t="shared" si="9"/>
        <v>0.24587500000000004</v>
      </c>
      <c r="AG30">
        <f t="shared" si="10"/>
        <v>0.24587500000000004</v>
      </c>
      <c r="AH30">
        <f t="shared" si="10"/>
        <v>0.24587500000000004</v>
      </c>
      <c r="AI30">
        <f t="shared" si="10"/>
        <v>0.24587500000000004</v>
      </c>
      <c r="AJ30">
        <f t="shared" si="10"/>
        <v>0.24587500000000004</v>
      </c>
      <c r="AK30">
        <f t="shared" si="10"/>
        <v>0.24587500000000004</v>
      </c>
      <c r="AL30">
        <f t="shared" si="10"/>
        <v>0.24587500000000004</v>
      </c>
      <c r="AM30">
        <f t="shared" si="10"/>
        <v>0.24587500000000004</v>
      </c>
      <c r="AN30">
        <f t="shared" si="10"/>
        <v>0.24587500000000004</v>
      </c>
      <c r="AO30">
        <f t="shared" si="10"/>
        <v>0.24587500000000004</v>
      </c>
      <c r="AP30">
        <f t="shared" si="10"/>
        <v>0.24587500000000004</v>
      </c>
      <c r="AQ30">
        <f t="shared" si="11"/>
        <v>0.24587500000000004</v>
      </c>
      <c r="AR30">
        <f t="shared" si="11"/>
        <v>0.24587500000000004</v>
      </c>
      <c r="AS30">
        <f t="shared" si="11"/>
        <v>0.24587500000000004</v>
      </c>
      <c r="AT30">
        <f t="shared" si="11"/>
        <v>0.24587500000000004</v>
      </c>
      <c r="AU30">
        <f t="shared" si="11"/>
        <v>0.24587500000000004</v>
      </c>
      <c r="AV30">
        <f t="shared" si="11"/>
        <v>0.24587500000000004</v>
      </c>
      <c r="AW30">
        <f t="shared" si="11"/>
        <v>0.24587500000000004</v>
      </c>
      <c r="AX30">
        <f t="shared" si="11"/>
        <v>0.24587500000000004</v>
      </c>
      <c r="AY30">
        <f t="shared" si="11"/>
        <v>0.24587500000000004</v>
      </c>
      <c r="AZ30">
        <f t="shared" si="11"/>
        <v>0.24587500000000004</v>
      </c>
      <c r="BA30" s="6"/>
    </row>
    <row r="31" spans="1:53" x14ac:dyDescent="0.2">
      <c r="A31">
        <f t="shared" si="6"/>
        <v>34</v>
      </c>
      <c r="B31" s="3">
        <f t="shared" si="0"/>
        <v>68</v>
      </c>
      <c r="C31">
        <f t="shared" si="7"/>
        <v>0.23205000000000006</v>
      </c>
      <c r="D31">
        <f t="shared" si="7"/>
        <v>0.23205000000000006</v>
      </c>
      <c r="E31">
        <f t="shared" si="7"/>
        <v>0.23205000000000006</v>
      </c>
      <c r="F31">
        <f t="shared" si="7"/>
        <v>0.23205000000000006</v>
      </c>
      <c r="G31">
        <f t="shared" si="7"/>
        <v>0.23205000000000006</v>
      </c>
      <c r="H31">
        <f t="shared" si="7"/>
        <v>0.23205000000000006</v>
      </c>
      <c r="I31">
        <f t="shared" si="7"/>
        <v>0.23205000000000006</v>
      </c>
      <c r="J31">
        <f t="shared" si="7"/>
        <v>0.23205000000000006</v>
      </c>
      <c r="K31">
        <f t="shared" si="7"/>
        <v>0.23205000000000006</v>
      </c>
      <c r="L31">
        <f t="shared" si="7"/>
        <v>0.23205000000000006</v>
      </c>
      <c r="M31">
        <f t="shared" si="8"/>
        <v>0.23205000000000006</v>
      </c>
      <c r="N31">
        <f t="shared" si="8"/>
        <v>0.23205000000000006</v>
      </c>
      <c r="O31">
        <f t="shared" si="8"/>
        <v>0.23205000000000006</v>
      </c>
      <c r="P31">
        <f t="shared" si="8"/>
        <v>0.23205000000000006</v>
      </c>
      <c r="Q31">
        <f t="shared" si="8"/>
        <v>0.23205000000000006</v>
      </c>
      <c r="R31">
        <f t="shared" si="8"/>
        <v>0.23205000000000006</v>
      </c>
      <c r="S31">
        <f t="shared" si="8"/>
        <v>0.23205000000000006</v>
      </c>
      <c r="T31">
        <f t="shared" si="8"/>
        <v>0.23205000000000006</v>
      </c>
      <c r="U31">
        <f t="shared" si="8"/>
        <v>0.23205000000000006</v>
      </c>
      <c r="V31">
        <f t="shared" si="8"/>
        <v>0.23205000000000006</v>
      </c>
      <c r="W31">
        <f t="shared" si="9"/>
        <v>0.23205000000000006</v>
      </c>
      <c r="X31">
        <f t="shared" si="9"/>
        <v>0.23205000000000006</v>
      </c>
      <c r="Y31">
        <f t="shared" si="9"/>
        <v>0.23205000000000006</v>
      </c>
      <c r="Z31">
        <f t="shared" si="9"/>
        <v>0.23205000000000006</v>
      </c>
      <c r="AA31">
        <f t="shared" si="9"/>
        <v>0.23205000000000006</v>
      </c>
      <c r="AB31">
        <f t="shared" si="9"/>
        <v>0.23205000000000006</v>
      </c>
      <c r="AC31">
        <f t="shared" si="9"/>
        <v>0.23205000000000006</v>
      </c>
      <c r="AD31">
        <f t="shared" si="9"/>
        <v>0.23205000000000006</v>
      </c>
      <c r="AE31">
        <f t="shared" si="9"/>
        <v>0.23205000000000006</v>
      </c>
      <c r="AF31">
        <f t="shared" si="9"/>
        <v>0.23205000000000006</v>
      </c>
      <c r="AG31">
        <f t="shared" si="10"/>
        <v>0.23205000000000006</v>
      </c>
      <c r="AH31">
        <f t="shared" si="10"/>
        <v>0.23205000000000006</v>
      </c>
      <c r="AI31">
        <f t="shared" si="10"/>
        <v>0.23205000000000006</v>
      </c>
      <c r="AJ31">
        <f t="shared" si="10"/>
        <v>0.23205000000000006</v>
      </c>
      <c r="AK31">
        <f t="shared" si="10"/>
        <v>0.23205000000000006</v>
      </c>
      <c r="AL31">
        <f t="shared" si="10"/>
        <v>0.23205000000000006</v>
      </c>
      <c r="AM31">
        <f t="shared" si="10"/>
        <v>0.23205000000000006</v>
      </c>
      <c r="AN31">
        <f t="shared" si="10"/>
        <v>0.23205000000000006</v>
      </c>
      <c r="AO31">
        <f t="shared" si="10"/>
        <v>0.23205000000000006</v>
      </c>
      <c r="AP31">
        <f t="shared" si="10"/>
        <v>0.23205000000000006</v>
      </c>
      <c r="AQ31">
        <f t="shared" si="11"/>
        <v>0.23205000000000006</v>
      </c>
      <c r="AR31">
        <f t="shared" si="11"/>
        <v>0.23205000000000006</v>
      </c>
      <c r="AS31">
        <f t="shared" si="11"/>
        <v>0.23205000000000006</v>
      </c>
      <c r="AT31">
        <f t="shared" si="11"/>
        <v>0.23205000000000006</v>
      </c>
      <c r="AU31">
        <f t="shared" si="11"/>
        <v>0.23205000000000006</v>
      </c>
      <c r="AV31">
        <f t="shared" si="11"/>
        <v>0.23205000000000006</v>
      </c>
      <c r="AW31">
        <f t="shared" si="11"/>
        <v>0.23205000000000006</v>
      </c>
      <c r="AX31">
        <f t="shared" si="11"/>
        <v>0.23205000000000006</v>
      </c>
      <c r="AY31">
        <f t="shared" si="11"/>
        <v>0.23205000000000006</v>
      </c>
      <c r="AZ31">
        <f t="shared" si="11"/>
        <v>0.23205000000000006</v>
      </c>
      <c r="BA31" s="6"/>
    </row>
    <row r="32" spans="1:53" x14ac:dyDescent="0.2">
      <c r="A32">
        <f t="shared" si="6"/>
        <v>33</v>
      </c>
      <c r="B32" s="3">
        <f t="shared" si="0"/>
        <v>66</v>
      </c>
      <c r="C32">
        <f t="shared" si="7"/>
        <v>0.21862500000000004</v>
      </c>
      <c r="D32">
        <f t="shared" si="7"/>
        <v>0.21862500000000004</v>
      </c>
      <c r="E32">
        <f t="shared" si="7"/>
        <v>0.21862500000000004</v>
      </c>
      <c r="F32">
        <f t="shared" si="7"/>
        <v>0.21862500000000004</v>
      </c>
      <c r="G32">
        <f t="shared" si="7"/>
        <v>0.21862500000000004</v>
      </c>
      <c r="H32">
        <f t="shared" si="7"/>
        <v>0.21862500000000004</v>
      </c>
      <c r="I32">
        <f t="shared" si="7"/>
        <v>0.21862500000000004</v>
      </c>
      <c r="J32">
        <f t="shared" si="7"/>
        <v>0.21862500000000004</v>
      </c>
      <c r="K32">
        <f t="shared" si="7"/>
        <v>0.21862500000000004</v>
      </c>
      <c r="L32">
        <f t="shared" si="7"/>
        <v>0.21862500000000004</v>
      </c>
      <c r="M32">
        <f t="shared" si="8"/>
        <v>0.21862500000000004</v>
      </c>
      <c r="N32">
        <f t="shared" si="8"/>
        <v>0.21862500000000004</v>
      </c>
      <c r="O32">
        <f t="shared" si="8"/>
        <v>0.21862500000000004</v>
      </c>
      <c r="P32">
        <f t="shared" si="8"/>
        <v>0.21862500000000004</v>
      </c>
      <c r="Q32">
        <f t="shared" si="8"/>
        <v>0.21862500000000004</v>
      </c>
      <c r="R32">
        <f t="shared" si="8"/>
        <v>0.21862500000000004</v>
      </c>
      <c r="S32">
        <f t="shared" si="8"/>
        <v>0.21862500000000004</v>
      </c>
      <c r="T32">
        <f t="shared" si="8"/>
        <v>0.21862500000000004</v>
      </c>
      <c r="U32">
        <f t="shared" si="8"/>
        <v>0.21862500000000004</v>
      </c>
      <c r="V32">
        <f t="shared" si="8"/>
        <v>0.21862500000000004</v>
      </c>
      <c r="W32">
        <f t="shared" si="9"/>
        <v>0.21862500000000004</v>
      </c>
      <c r="X32">
        <f t="shared" si="9"/>
        <v>0.21862500000000004</v>
      </c>
      <c r="Y32">
        <f t="shared" si="9"/>
        <v>0.21862500000000004</v>
      </c>
      <c r="Z32">
        <f t="shared" si="9"/>
        <v>0.21862500000000004</v>
      </c>
      <c r="AA32">
        <f t="shared" si="9"/>
        <v>0.21862500000000004</v>
      </c>
      <c r="AB32">
        <f t="shared" si="9"/>
        <v>0.21862500000000004</v>
      </c>
      <c r="AC32">
        <f t="shared" si="9"/>
        <v>0.21862500000000004</v>
      </c>
      <c r="AD32">
        <f t="shared" si="9"/>
        <v>0.21862500000000004</v>
      </c>
      <c r="AE32">
        <f t="shared" si="9"/>
        <v>0.21862500000000004</v>
      </c>
      <c r="AF32">
        <f t="shared" si="9"/>
        <v>0.21862500000000004</v>
      </c>
      <c r="AG32">
        <f t="shared" si="10"/>
        <v>0.21862500000000004</v>
      </c>
      <c r="AH32">
        <f t="shared" si="10"/>
        <v>0.21862500000000004</v>
      </c>
      <c r="AI32">
        <f t="shared" si="10"/>
        <v>0.21862500000000004</v>
      </c>
      <c r="AJ32">
        <f t="shared" si="10"/>
        <v>0.21862500000000004</v>
      </c>
      <c r="AK32">
        <f t="shared" si="10"/>
        <v>0.21862500000000004</v>
      </c>
      <c r="AL32">
        <f t="shared" si="10"/>
        <v>0.21862500000000004</v>
      </c>
      <c r="AM32">
        <f t="shared" si="10"/>
        <v>0.21862500000000004</v>
      </c>
      <c r="AN32">
        <f t="shared" si="10"/>
        <v>0.21862500000000004</v>
      </c>
      <c r="AO32">
        <f t="shared" si="10"/>
        <v>0.21862500000000004</v>
      </c>
      <c r="AP32">
        <f t="shared" si="10"/>
        <v>0.21862500000000004</v>
      </c>
      <c r="AQ32">
        <f t="shared" si="11"/>
        <v>0.21862500000000004</v>
      </c>
      <c r="AR32">
        <f t="shared" si="11"/>
        <v>0.21862500000000004</v>
      </c>
      <c r="AS32">
        <f t="shared" si="11"/>
        <v>0.21862500000000004</v>
      </c>
      <c r="AT32">
        <f t="shared" si="11"/>
        <v>0.21862500000000004</v>
      </c>
      <c r="AU32">
        <f t="shared" si="11"/>
        <v>0.21862500000000004</v>
      </c>
      <c r="AV32">
        <f t="shared" si="11"/>
        <v>0.21862500000000004</v>
      </c>
      <c r="AW32">
        <f t="shared" si="11"/>
        <v>0.21862500000000004</v>
      </c>
      <c r="AX32">
        <f t="shared" si="11"/>
        <v>0.21862500000000004</v>
      </c>
      <c r="AY32">
        <f t="shared" si="11"/>
        <v>0.21862500000000004</v>
      </c>
      <c r="AZ32">
        <f t="shared" si="11"/>
        <v>0.21862500000000004</v>
      </c>
      <c r="BA32" s="6"/>
    </row>
    <row r="33" spans="1:53" x14ac:dyDescent="0.2">
      <c r="A33">
        <f t="shared" si="6"/>
        <v>32</v>
      </c>
      <c r="B33" s="3">
        <f t="shared" si="0"/>
        <v>64</v>
      </c>
      <c r="C33">
        <f t="shared" si="7"/>
        <v>0.20560000000000003</v>
      </c>
      <c r="D33">
        <f t="shared" si="7"/>
        <v>0.20560000000000003</v>
      </c>
      <c r="E33">
        <f t="shared" si="7"/>
        <v>0.20560000000000003</v>
      </c>
      <c r="F33">
        <f t="shared" si="7"/>
        <v>0.20560000000000003</v>
      </c>
      <c r="G33">
        <f t="shared" si="7"/>
        <v>0.20560000000000003</v>
      </c>
      <c r="H33">
        <f t="shared" si="7"/>
        <v>0.20560000000000003</v>
      </c>
      <c r="I33">
        <f t="shared" si="7"/>
        <v>0.20560000000000003</v>
      </c>
      <c r="J33">
        <f t="shared" si="7"/>
        <v>0.20560000000000003</v>
      </c>
      <c r="K33">
        <f t="shared" si="7"/>
        <v>0.20560000000000003</v>
      </c>
      <c r="L33">
        <f t="shared" si="7"/>
        <v>0.20560000000000003</v>
      </c>
      <c r="M33">
        <f t="shared" si="8"/>
        <v>0.20560000000000003</v>
      </c>
      <c r="N33">
        <f t="shared" si="8"/>
        <v>0.20560000000000003</v>
      </c>
      <c r="O33">
        <f t="shared" si="8"/>
        <v>0.20560000000000003</v>
      </c>
      <c r="P33">
        <f t="shared" si="8"/>
        <v>0.20560000000000003</v>
      </c>
      <c r="Q33">
        <f t="shared" si="8"/>
        <v>0.20560000000000003</v>
      </c>
      <c r="R33">
        <f t="shared" si="8"/>
        <v>0.20560000000000003</v>
      </c>
      <c r="S33">
        <f t="shared" si="8"/>
        <v>0.20560000000000003</v>
      </c>
      <c r="T33">
        <f t="shared" si="8"/>
        <v>0.20560000000000003</v>
      </c>
      <c r="U33">
        <f t="shared" si="8"/>
        <v>0.20560000000000003</v>
      </c>
      <c r="V33">
        <f t="shared" si="8"/>
        <v>0.20560000000000003</v>
      </c>
      <c r="W33">
        <f t="shared" si="9"/>
        <v>0.20560000000000003</v>
      </c>
      <c r="X33">
        <f t="shared" si="9"/>
        <v>0.20560000000000003</v>
      </c>
      <c r="Y33">
        <f t="shared" si="9"/>
        <v>0.20560000000000003</v>
      </c>
      <c r="Z33">
        <f t="shared" si="9"/>
        <v>0.20560000000000003</v>
      </c>
      <c r="AA33">
        <f t="shared" si="9"/>
        <v>0.20560000000000003</v>
      </c>
      <c r="AB33">
        <f t="shared" si="9"/>
        <v>0.20560000000000003</v>
      </c>
      <c r="AC33">
        <f t="shared" si="9"/>
        <v>0.20560000000000003</v>
      </c>
      <c r="AD33">
        <f t="shared" si="9"/>
        <v>0.20560000000000003</v>
      </c>
      <c r="AE33">
        <f t="shared" si="9"/>
        <v>0.20560000000000003</v>
      </c>
      <c r="AF33">
        <f t="shared" si="9"/>
        <v>0.20560000000000003</v>
      </c>
      <c r="AG33">
        <f t="shared" si="10"/>
        <v>0.20560000000000003</v>
      </c>
      <c r="AH33">
        <f t="shared" si="10"/>
        <v>0.20560000000000003</v>
      </c>
      <c r="AI33">
        <f t="shared" si="10"/>
        <v>0.20560000000000003</v>
      </c>
      <c r="AJ33">
        <f t="shared" si="10"/>
        <v>0.20560000000000003</v>
      </c>
      <c r="AK33">
        <f t="shared" si="10"/>
        <v>0.20560000000000003</v>
      </c>
      <c r="AL33">
        <f t="shared" si="10"/>
        <v>0.20560000000000003</v>
      </c>
      <c r="AM33">
        <f t="shared" si="10"/>
        <v>0.20560000000000003</v>
      </c>
      <c r="AN33">
        <f t="shared" si="10"/>
        <v>0.20560000000000003</v>
      </c>
      <c r="AO33">
        <f t="shared" si="10"/>
        <v>0.20560000000000003</v>
      </c>
      <c r="AP33">
        <f t="shared" si="10"/>
        <v>0.20560000000000003</v>
      </c>
      <c r="AQ33">
        <f t="shared" si="11"/>
        <v>0.20560000000000003</v>
      </c>
      <c r="AR33">
        <f t="shared" si="11"/>
        <v>0.20560000000000003</v>
      </c>
      <c r="AS33">
        <f t="shared" si="11"/>
        <v>0.20560000000000003</v>
      </c>
      <c r="AT33">
        <f t="shared" si="11"/>
        <v>0.20560000000000003</v>
      </c>
      <c r="AU33">
        <f t="shared" si="11"/>
        <v>0.20560000000000003</v>
      </c>
      <c r="AV33">
        <f t="shared" si="11"/>
        <v>0.20560000000000003</v>
      </c>
      <c r="AW33">
        <f t="shared" si="11"/>
        <v>0.20560000000000003</v>
      </c>
      <c r="AX33">
        <f t="shared" si="11"/>
        <v>0.20560000000000003</v>
      </c>
      <c r="AY33">
        <f t="shared" si="11"/>
        <v>0.20560000000000003</v>
      </c>
      <c r="AZ33">
        <f t="shared" si="11"/>
        <v>0.20560000000000003</v>
      </c>
      <c r="BA33" s="6"/>
    </row>
    <row r="34" spans="1:53" x14ac:dyDescent="0.2">
      <c r="A34">
        <f t="shared" si="6"/>
        <v>31</v>
      </c>
      <c r="B34" s="3">
        <f t="shared" si="0"/>
        <v>62</v>
      </c>
      <c r="C34">
        <f t="shared" si="7"/>
        <v>0.19297500000000004</v>
      </c>
      <c r="D34">
        <f t="shared" si="7"/>
        <v>0.19297500000000004</v>
      </c>
      <c r="E34">
        <f t="shared" si="7"/>
        <v>0.19297500000000004</v>
      </c>
      <c r="F34">
        <f t="shared" si="7"/>
        <v>0.19297500000000004</v>
      </c>
      <c r="G34">
        <f t="shared" si="7"/>
        <v>0.19297500000000004</v>
      </c>
      <c r="H34">
        <f t="shared" si="7"/>
        <v>0.19297500000000004</v>
      </c>
      <c r="I34">
        <f t="shared" si="7"/>
        <v>0.19297500000000004</v>
      </c>
      <c r="J34">
        <f t="shared" si="7"/>
        <v>0.19297500000000004</v>
      </c>
      <c r="K34">
        <f t="shared" si="7"/>
        <v>0.19297500000000004</v>
      </c>
      <c r="L34">
        <f t="shared" si="7"/>
        <v>0.19297500000000004</v>
      </c>
      <c r="M34">
        <f t="shared" si="8"/>
        <v>0.19297500000000004</v>
      </c>
      <c r="N34">
        <f t="shared" si="8"/>
        <v>0.19297500000000004</v>
      </c>
      <c r="O34">
        <f t="shared" si="8"/>
        <v>0.19297500000000004</v>
      </c>
      <c r="P34">
        <f t="shared" si="8"/>
        <v>0.19297500000000004</v>
      </c>
      <c r="Q34">
        <f t="shared" si="8"/>
        <v>0.19297500000000004</v>
      </c>
      <c r="R34">
        <f t="shared" si="8"/>
        <v>0.19297500000000004</v>
      </c>
      <c r="S34">
        <f t="shared" si="8"/>
        <v>0.19297500000000004</v>
      </c>
      <c r="T34">
        <f t="shared" si="8"/>
        <v>0.19297500000000004</v>
      </c>
      <c r="U34">
        <f t="shared" si="8"/>
        <v>0.19297500000000004</v>
      </c>
      <c r="V34">
        <f t="shared" si="8"/>
        <v>0.19297500000000004</v>
      </c>
      <c r="W34">
        <f t="shared" si="9"/>
        <v>0.19297500000000004</v>
      </c>
      <c r="X34">
        <f t="shared" si="9"/>
        <v>0.19297500000000004</v>
      </c>
      <c r="Y34">
        <f t="shared" si="9"/>
        <v>0.19297500000000004</v>
      </c>
      <c r="Z34">
        <f t="shared" si="9"/>
        <v>0.19297500000000004</v>
      </c>
      <c r="AA34">
        <f t="shared" si="9"/>
        <v>0.19297500000000004</v>
      </c>
      <c r="AB34">
        <f t="shared" si="9"/>
        <v>0.19297500000000004</v>
      </c>
      <c r="AC34">
        <f t="shared" si="9"/>
        <v>0.19297500000000004</v>
      </c>
      <c r="AD34">
        <f t="shared" si="9"/>
        <v>0.19297500000000004</v>
      </c>
      <c r="AE34">
        <f t="shared" si="9"/>
        <v>0.19297500000000004</v>
      </c>
      <c r="AF34">
        <f t="shared" si="9"/>
        <v>0.19297500000000004</v>
      </c>
      <c r="AG34">
        <f t="shared" si="10"/>
        <v>0.19297500000000004</v>
      </c>
      <c r="AH34">
        <f t="shared" si="10"/>
        <v>0.19297500000000004</v>
      </c>
      <c r="AI34">
        <f t="shared" si="10"/>
        <v>0.19297500000000004</v>
      </c>
      <c r="AJ34">
        <f t="shared" si="10"/>
        <v>0.19297500000000004</v>
      </c>
      <c r="AK34">
        <f t="shared" si="10"/>
        <v>0.19297500000000004</v>
      </c>
      <c r="AL34">
        <f t="shared" si="10"/>
        <v>0.19297500000000004</v>
      </c>
      <c r="AM34">
        <f t="shared" si="10"/>
        <v>0.19297500000000004</v>
      </c>
      <c r="AN34">
        <f t="shared" si="10"/>
        <v>0.19297500000000004</v>
      </c>
      <c r="AO34">
        <f t="shared" si="10"/>
        <v>0.19297500000000004</v>
      </c>
      <c r="AP34">
        <f t="shared" si="10"/>
        <v>0.19297500000000004</v>
      </c>
      <c r="AQ34">
        <f t="shared" si="11"/>
        <v>0.19297500000000004</v>
      </c>
      <c r="AR34">
        <f t="shared" si="11"/>
        <v>0.19297500000000004</v>
      </c>
      <c r="AS34">
        <f t="shared" si="11"/>
        <v>0.19297500000000004</v>
      </c>
      <c r="AT34">
        <f t="shared" si="11"/>
        <v>0.19297500000000004</v>
      </c>
      <c r="AU34">
        <f t="shared" si="11"/>
        <v>0.19297500000000004</v>
      </c>
      <c r="AV34">
        <f t="shared" si="11"/>
        <v>0.19297500000000004</v>
      </c>
      <c r="AW34">
        <f t="shared" si="11"/>
        <v>0.19297500000000004</v>
      </c>
      <c r="AX34">
        <f t="shared" si="11"/>
        <v>0.19297500000000004</v>
      </c>
      <c r="AY34">
        <f t="shared" si="11"/>
        <v>0.19297500000000004</v>
      </c>
      <c r="AZ34">
        <f t="shared" si="11"/>
        <v>0.19297500000000004</v>
      </c>
      <c r="BA34" s="6"/>
    </row>
    <row r="35" spans="1:53" x14ac:dyDescent="0.2">
      <c r="A35">
        <f t="shared" si="6"/>
        <v>30</v>
      </c>
      <c r="B35" s="3">
        <f t="shared" si="0"/>
        <v>60</v>
      </c>
      <c r="C35">
        <f t="shared" si="7"/>
        <v>0.18075000000000002</v>
      </c>
      <c r="D35">
        <f t="shared" si="7"/>
        <v>0.18075000000000002</v>
      </c>
      <c r="E35">
        <f t="shared" si="7"/>
        <v>0.18075000000000002</v>
      </c>
      <c r="F35">
        <f t="shared" si="7"/>
        <v>0.18075000000000002</v>
      </c>
      <c r="G35">
        <f t="shared" si="7"/>
        <v>0.18075000000000002</v>
      </c>
      <c r="H35">
        <f t="shared" si="7"/>
        <v>0.18075000000000002</v>
      </c>
      <c r="I35">
        <f t="shared" si="7"/>
        <v>0.18075000000000002</v>
      </c>
      <c r="J35">
        <f t="shared" si="7"/>
        <v>0.18075000000000002</v>
      </c>
      <c r="K35">
        <f t="shared" si="7"/>
        <v>0.18075000000000002</v>
      </c>
      <c r="L35">
        <f t="shared" si="7"/>
        <v>0.18075000000000002</v>
      </c>
      <c r="M35">
        <f t="shared" si="8"/>
        <v>0.18075000000000002</v>
      </c>
      <c r="N35">
        <f t="shared" si="8"/>
        <v>0.18075000000000002</v>
      </c>
      <c r="O35">
        <f t="shared" si="8"/>
        <v>0.18075000000000002</v>
      </c>
      <c r="P35">
        <f t="shared" si="8"/>
        <v>0.18075000000000002</v>
      </c>
      <c r="Q35">
        <f t="shared" si="8"/>
        <v>0.18075000000000002</v>
      </c>
      <c r="R35">
        <f t="shared" si="8"/>
        <v>0.18075000000000002</v>
      </c>
      <c r="S35">
        <f t="shared" si="8"/>
        <v>0.18075000000000002</v>
      </c>
      <c r="T35">
        <f t="shared" si="8"/>
        <v>0.18075000000000002</v>
      </c>
      <c r="U35">
        <f t="shared" si="8"/>
        <v>0.18075000000000002</v>
      </c>
      <c r="V35">
        <f t="shared" si="8"/>
        <v>0.18075000000000002</v>
      </c>
      <c r="W35">
        <f t="shared" si="9"/>
        <v>0.18075000000000002</v>
      </c>
      <c r="X35">
        <f t="shared" si="9"/>
        <v>0.18075000000000002</v>
      </c>
      <c r="Y35">
        <f t="shared" si="9"/>
        <v>0.18075000000000002</v>
      </c>
      <c r="Z35">
        <f t="shared" si="9"/>
        <v>0.18075000000000002</v>
      </c>
      <c r="AA35">
        <f t="shared" si="9"/>
        <v>0.18075000000000002</v>
      </c>
      <c r="AB35">
        <f t="shared" si="9"/>
        <v>0.18075000000000002</v>
      </c>
      <c r="AC35">
        <f t="shared" si="9"/>
        <v>0.18075000000000002</v>
      </c>
      <c r="AD35">
        <f t="shared" si="9"/>
        <v>0.18075000000000002</v>
      </c>
      <c r="AE35">
        <f t="shared" si="9"/>
        <v>0.18075000000000002</v>
      </c>
      <c r="AF35">
        <f t="shared" si="9"/>
        <v>0.18075000000000002</v>
      </c>
      <c r="AG35">
        <f t="shared" si="10"/>
        <v>0.18075000000000002</v>
      </c>
      <c r="AH35">
        <f t="shared" si="10"/>
        <v>0.18075000000000002</v>
      </c>
      <c r="AI35">
        <f t="shared" si="10"/>
        <v>0.18075000000000002</v>
      </c>
      <c r="AJ35">
        <f t="shared" si="10"/>
        <v>0.18075000000000002</v>
      </c>
      <c r="AK35">
        <f t="shared" si="10"/>
        <v>0.18075000000000002</v>
      </c>
      <c r="AL35">
        <f t="shared" si="10"/>
        <v>0.18075000000000002</v>
      </c>
      <c r="AM35">
        <f t="shared" si="10"/>
        <v>0.18075000000000002</v>
      </c>
      <c r="AN35">
        <f t="shared" si="10"/>
        <v>0.18075000000000002</v>
      </c>
      <c r="AO35">
        <f t="shared" si="10"/>
        <v>0.18075000000000002</v>
      </c>
      <c r="AP35">
        <f t="shared" si="10"/>
        <v>0.18075000000000002</v>
      </c>
      <c r="AQ35">
        <f t="shared" si="11"/>
        <v>0.18075000000000002</v>
      </c>
      <c r="AR35">
        <f t="shared" si="11"/>
        <v>0.18075000000000002</v>
      </c>
      <c r="AS35">
        <f t="shared" si="11"/>
        <v>0.18075000000000002</v>
      </c>
      <c r="AT35">
        <f t="shared" si="11"/>
        <v>0.18075000000000002</v>
      </c>
      <c r="AU35">
        <f t="shared" si="11"/>
        <v>0.18075000000000002</v>
      </c>
      <c r="AV35">
        <f t="shared" si="11"/>
        <v>0.18075000000000002</v>
      </c>
      <c r="AW35">
        <f t="shared" si="11"/>
        <v>0.18075000000000002</v>
      </c>
      <c r="AX35">
        <f t="shared" si="11"/>
        <v>0.18075000000000002</v>
      </c>
      <c r="AY35">
        <f t="shared" si="11"/>
        <v>0.18075000000000002</v>
      </c>
      <c r="AZ35">
        <f t="shared" si="11"/>
        <v>0.18075000000000002</v>
      </c>
      <c r="BA35" s="6"/>
    </row>
    <row r="36" spans="1:53" x14ac:dyDescent="0.2">
      <c r="A36">
        <f t="shared" si="6"/>
        <v>29</v>
      </c>
      <c r="B36" s="3">
        <f t="shared" si="0"/>
        <v>58</v>
      </c>
      <c r="C36">
        <f t="shared" ref="C36:L45" si="12">(0.5*sigma^2*$A36^2+0.5*(rate -d)*$A36)*dt</f>
        <v>0.16892500000000005</v>
      </c>
      <c r="D36">
        <f t="shared" si="12"/>
        <v>0.16892500000000005</v>
      </c>
      <c r="E36">
        <f t="shared" si="12"/>
        <v>0.16892500000000005</v>
      </c>
      <c r="F36">
        <f t="shared" si="12"/>
        <v>0.16892500000000005</v>
      </c>
      <c r="G36">
        <f t="shared" si="12"/>
        <v>0.16892500000000005</v>
      </c>
      <c r="H36">
        <f t="shared" si="12"/>
        <v>0.16892500000000005</v>
      </c>
      <c r="I36">
        <f t="shared" si="12"/>
        <v>0.16892500000000005</v>
      </c>
      <c r="J36">
        <f t="shared" si="12"/>
        <v>0.16892500000000005</v>
      </c>
      <c r="K36">
        <f t="shared" si="12"/>
        <v>0.16892500000000005</v>
      </c>
      <c r="L36">
        <f t="shared" si="12"/>
        <v>0.16892500000000005</v>
      </c>
      <c r="M36">
        <f t="shared" ref="M36:V45" si="13">(0.5*sigma^2*$A36^2+0.5*(rate -d)*$A36)*dt</f>
        <v>0.16892500000000005</v>
      </c>
      <c r="N36">
        <f t="shared" si="13"/>
        <v>0.16892500000000005</v>
      </c>
      <c r="O36">
        <f t="shared" si="13"/>
        <v>0.16892500000000005</v>
      </c>
      <c r="P36">
        <f t="shared" si="13"/>
        <v>0.16892500000000005</v>
      </c>
      <c r="Q36">
        <f t="shared" si="13"/>
        <v>0.16892500000000005</v>
      </c>
      <c r="R36">
        <f t="shared" si="13"/>
        <v>0.16892500000000005</v>
      </c>
      <c r="S36">
        <f t="shared" si="13"/>
        <v>0.16892500000000005</v>
      </c>
      <c r="T36">
        <f t="shared" si="13"/>
        <v>0.16892500000000005</v>
      </c>
      <c r="U36">
        <f t="shared" si="13"/>
        <v>0.16892500000000005</v>
      </c>
      <c r="V36">
        <f t="shared" si="13"/>
        <v>0.16892500000000005</v>
      </c>
      <c r="W36">
        <f t="shared" ref="W36:AF45" si="14">(0.5*sigma^2*$A36^2+0.5*(rate -d)*$A36)*dt</f>
        <v>0.16892500000000005</v>
      </c>
      <c r="X36">
        <f t="shared" si="14"/>
        <v>0.16892500000000005</v>
      </c>
      <c r="Y36">
        <f t="shared" si="14"/>
        <v>0.16892500000000005</v>
      </c>
      <c r="Z36">
        <f t="shared" si="14"/>
        <v>0.16892500000000005</v>
      </c>
      <c r="AA36">
        <f t="shared" si="14"/>
        <v>0.16892500000000005</v>
      </c>
      <c r="AB36">
        <f t="shared" si="14"/>
        <v>0.16892500000000005</v>
      </c>
      <c r="AC36">
        <f t="shared" si="14"/>
        <v>0.16892500000000005</v>
      </c>
      <c r="AD36">
        <f t="shared" si="14"/>
        <v>0.16892500000000005</v>
      </c>
      <c r="AE36">
        <f t="shared" si="14"/>
        <v>0.16892500000000005</v>
      </c>
      <c r="AF36">
        <f t="shared" si="14"/>
        <v>0.16892500000000005</v>
      </c>
      <c r="AG36">
        <f t="shared" ref="AG36:AP45" si="15">(0.5*sigma^2*$A36^2+0.5*(rate -d)*$A36)*dt</f>
        <v>0.16892500000000005</v>
      </c>
      <c r="AH36">
        <f t="shared" si="15"/>
        <v>0.16892500000000005</v>
      </c>
      <c r="AI36">
        <f t="shared" si="15"/>
        <v>0.16892500000000005</v>
      </c>
      <c r="AJ36">
        <f t="shared" si="15"/>
        <v>0.16892500000000005</v>
      </c>
      <c r="AK36">
        <f t="shared" si="15"/>
        <v>0.16892500000000005</v>
      </c>
      <c r="AL36">
        <f t="shared" si="15"/>
        <v>0.16892500000000005</v>
      </c>
      <c r="AM36">
        <f t="shared" si="15"/>
        <v>0.16892500000000005</v>
      </c>
      <c r="AN36">
        <f t="shared" si="15"/>
        <v>0.16892500000000005</v>
      </c>
      <c r="AO36">
        <f t="shared" si="15"/>
        <v>0.16892500000000005</v>
      </c>
      <c r="AP36">
        <f t="shared" si="15"/>
        <v>0.16892500000000005</v>
      </c>
      <c r="AQ36">
        <f t="shared" ref="AQ36:AZ45" si="16">(0.5*sigma^2*$A36^2+0.5*(rate -d)*$A36)*dt</f>
        <v>0.16892500000000005</v>
      </c>
      <c r="AR36">
        <f t="shared" si="16"/>
        <v>0.16892500000000005</v>
      </c>
      <c r="AS36">
        <f t="shared" si="16"/>
        <v>0.16892500000000005</v>
      </c>
      <c r="AT36">
        <f t="shared" si="16"/>
        <v>0.16892500000000005</v>
      </c>
      <c r="AU36">
        <f t="shared" si="16"/>
        <v>0.16892500000000005</v>
      </c>
      <c r="AV36">
        <f t="shared" si="16"/>
        <v>0.16892500000000005</v>
      </c>
      <c r="AW36">
        <f t="shared" si="16"/>
        <v>0.16892500000000005</v>
      </c>
      <c r="AX36">
        <f t="shared" si="16"/>
        <v>0.16892500000000005</v>
      </c>
      <c r="AY36">
        <f t="shared" si="16"/>
        <v>0.16892500000000005</v>
      </c>
      <c r="AZ36">
        <f t="shared" si="16"/>
        <v>0.16892500000000005</v>
      </c>
      <c r="BA36" s="6"/>
    </row>
    <row r="37" spans="1:53" x14ac:dyDescent="0.2">
      <c r="A37">
        <f t="shared" si="6"/>
        <v>28</v>
      </c>
      <c r="B37" s="3">
        <f t="shared" si="0"/>
        <v>56</v>
      </c>
      <c r="C37">
        <f t="shared" si="12"/>
        <v>0.15750000000000003</v>
      </c>
      <c r="D37">
        <f t="shared" si="12"/>
        <v>0.15750000000000003</v>
      </c>
      <c r="E37">
        <f t="shared" si="12"/>
        <v>0.15750000000000003</v>
      </c>
      <c r="F37">
        <f t="shared" si="12"/>
        <v>0.15750000000000003</v>
      </c>
      <c r="G37">
        <f t="shared" si="12"/>
        <v>0.15750000000000003</v>
      </c>
      <c r="H37">
        <f t="shared" si="12"/>
        <v>0.15750000000000003</v>
      </c>
      <c r="I37">
        <f t="shared" si="12"/>
        <v>0.15750000000000003</v>
      </c>
      <c r="J37">
        <f t="shared" si="12"/>
        <v>0.15750000000000003</v>
      </c>
      <c r="K37">
        <f t="shared" si="12"/>
        <v>0.15750000000000003</v>
      </c>
      <c r="L37">
        <f t="shared" si="12"/>
        <v>0.15750000000000003</v>
      </c>
      <c r="M37">
        <f t="shared" si="13"/>
        <v>0.15750000000000003</v>
      </c>
      <c r="N37">
        <f t="shared" si="13"/>
        <v>0.15750000000000003</v>
      </c>
      <c r="O37">
        <f t="shared" si="13"/>
        <v>0.15750000000000003</v>
      </c>
      <c r="P37">
        <f t="shared" si="13"/>
        <v>0.15750000000000003</v>
      </c>
      <c r="Q37">
        <f t="shared" si="13"/>
        <v>0.15750000000000003</v>
      </c>
      <c r="R37">
        <f t="shared" si="13"/>
        <v>0.15750000000000003</v>
      </c>
      <c r="S37">
        <f t="shared" si="13"/>
        <v>0.15750000000000003</v>
      </c>
      <c r="T37">
        <f t="shared" si="13"/>
        <v>0.15750000000000003</v>
      </c>
      <c r="U37">
        <f t="shared" si="13"/>
        <v>0.15750000000000003</v>
      </c>
      <c r="V37">
        <f t="shared" si="13"/>
        <v>0.15750000000000003</v>
      </c>
      <c r="W37">
        <f t="shared" si="14"/>
        <v>0.15750000000000003</v>
      </c>
      <c r="X37">
        <f t="shared" si="14"/>
        <v>0.15750000000000003</v>
      </c>
      <c r="Y37">
        <f t="shared" si="14"/>
        <v>0.15750000000000003</v>
      </c>
      <c r="Z37">
        <f t="shared" si="14"/>
        <v>0.15750000000000003</v>
      </c>
      <c r="AA37">
        <f t="shared" si="14"/>
        <v>0.15750000000000003</v>
      </c>
      <c r="AB37">
        <f t="shared" si="14"/>
        <v>0.15750000000000003</v>
      </c>
      <c r="AC37">
        <f t="shared" si="14"/>
        <v>0.15750000000000003</v>
      </c>
      <c r="AD37">
        <f t="shared" si="14"/>
        <v>0.15750000000000003</v>
      </c>
      <c r="AE37">
        <f t="shared" si="14"/>
        <v>0.15750000000000003</v>
      </c>
      <c r="AF37">
        <f t="shared" si="14"/>
        <v>0.15750000000000003</v>
      </c>
      <c r="AG37">
        <f t="shared" si="15"/>
        <v>0.15750000000000003</v>
      </c>
      <c r="AH37">
        <f t="shared" si="15"/>
        <v>0.15750000000000003</v>
      </c>
      <c r="AI37">
        <f t="shared" si="15"/>
        <v>0.15750000000000003</v>
      </c>
      <c r="AJ37">
        <f t="shared" si="15"/>
        <v>0.15750000000000003</v>
      </c>
      <c r="AK37">
        <f t="shared" si="15"/>
        <v>0.15750000000000003</v>
      </c>
      <c r="AL37">
        <f t="shared" si="15"/>
        <v>0.15750000000000003</v>
      </c>
      <c r="AM37">
        <f t="shared" si="15"/>
        <v>0.15750000000000003</v>
      </c>
      <c r="AN37">
        <f t="shared" si="15"/>
        <v>0.15750000000000003</v>
      </c>
      <c r="AO37">
        <f t="shared" si="15"/>
        <v>0.15750000000000003</v>
      </c>
      <c r="AP37">
        <f t="shared" si="15"/>
        <v>0.15750000000000003</v>
      </c>
      <c r="AQ37">
        <f t="shared" si="16"/>
        <v>0.15750000000000003</v>
      </c>
      <c r="AR37">
        <f t="shared" si="16"/>
        <v>0.15750000000000003</v>
      </c>
      <c r="AS37">
        <f t="shared" si="16"/>
        <v>0.15750000000000003</v>
      </c>
      <c r="AT37">
        <f t="shared" si="16"/>
        <v>0.15750000000000003</v>
      </c>
      <c r="AU37">
        <f t="shared" si="16"/>
        <v>0.15750000000000003</v>
      </c>
      <c r="AV37">
        <f t="shared" si="16"/>
        <v>0.15750000000000003</v>
      </c>
      <c r="AW37">
        <f t="shared" si="16"/>
        <v>0.15750000000000003</v>
      </c>
      <c r="AX37">
        <f t="shared" si="16"/>
        <v>0.15750000000000003</v>
      </c>
      <c r="AY37">
        <f t="shared" si="16"/>
        <v>0.15750000000000003</v>
      </c>
      <c r="AZ37">
        <f t="shared" si="16"/>
        <v>0.15750000000000003</v>
      </c>
      <c r="BA37" s="6"/>
    </row>
    <row r="38" spans="1:53" x14ac:dyDescent="0.2">
      <c r="A38">
        <f t="shared" si="6"/>
        <v>27</v>
      </c>
      <c r="B38" s="3">
        <f t="shared" si="0"/>
        <v>54</v>
      </c>
      <c r="C38">
        <f t="shared" si="12"/>
        <v>0.14647500000000005</v>
      </c>
      <c r="D38">
        <f t="shared" si="12"/>
        <v>0.14647500000000005</v>
      </c>
      <c r="E38">
        <f t="shared" si="12"/>
        <v>0.14647500000000005</v>
      </c>
      <c r="F38">
        <f t="shared" si="12"/>
        <v>0.14647500000000005</v>
      </c>
      <c r="G38">
        <f t="shared" si="12"/>
        <v>0.14647500000000005</v>
      </c>
      <c r="H38">
        <f t="shared" si="12"/>
        <v>0.14647500000000005</v>
      </c>
      <c r="I38">
        <f t="shared" si="12"/>
        <v>0.14647500000000005</v>
      </c>
      <c r="J38">
        <f t="shared" si="12"/>
        <v>0.14647500000000005</v>
      </c>
      <c r="K38">
        <f t="shared" si="12"/>
        <v>0.14647500000000005</v>
      </c>
      <c r="L38">
        <f t="shared" si="12"/>
        <v>0.14647500000000005</v>
      </c>
      <c r="M38">
        <f t="shared" si="13"/>
        <v>0.14647500000000005</v>
      </c>
      <c r="N38">
        <f t="shared" si="13"/>
        <v>0.14647500000000005</v>
      </c>
      <c r="O38">
        <f t="shared" si="13"/>
        <v>0.14647500000000005</v>
      </c>
      <c r="P38">
        <f t="shared" si="13"/>
        <v>0.14647500000000005</v>
      </c>
      <c r="Q38">
        <f t="shared" si="13"/>
        <v>0.14647500000000005</v>
      </c>
      <c r="R38">
        <f t="shared" si="13"/>
        <v>0.14647500000000005</v>
      </c>
      <c r="S38">
        <f t="shared" si="13"/>
        <v>0.14647500000000005</v>
      </c>
      <c r="T38">
        <f t="shared" si="13"/>
        <v>0.14647500000000005</v>
      </c>
      <c r="U38">
        <f t="shared" si="13"/>
        <v>0.14647500000000005</v>
      </c>
      <c r="V38">
        <f t="shared" si="13"/>
        <v>0.14647500000000005</v>
      </c>
      <c r="W38">
        <f t="shared" si="14"/>
        <v>0.14647500000000005</v>
      </c>
      <c r="X38">
        <f t="shared" si="14"/>
        <v>0.14647500000000005</v>
      </c>
      <c r="Y38">
        <f t="shared" si="14"/>
        <v>0.14647500000000005</v>
      </c>
      <c r="Z38">
        <f t="shared" si="14"/>
        <v>0.14647500000000005</v>
      </c>
      <c r="AA38">
        <f t="shared" si="14"/>
        <v>0.14647500000000005</v>
      </c>
      <c r="AB38">
        <f t="shared" si="14"/>
        <v>0.14647500000000005</v>
      </c>
      <c r="AC38">
        <f t="shared" si="14"/>
        <v>0.14647500000000005</v>
      </c>
      <c r="AD38">
        <f t="shared" si="14"/>
        <v>0.14647500000000005</v>
      </c>
      <c r="AE38">
        <f t="shared" si="14"/>
        <v>0.14647500000000005</v>
      </c>
      <c r="AF38">
        <f t="shared" si="14"/>
        <v>0.14647500000000005</v>
      </c>
      <c r="AG38">
        <f t="shared" si="15"/>
        <v>0.14647500000000005</v>
      </c>
      <c r="AH38">
        <f t="shared" si="15"/>
        <v>0.14647500000000005</v>
      </c>
      <c r="AI38">
        <f t="shared" si="15"/>
        <v>0.14647500000000005</v>
      </c>
      <c r="AJ38">
        <f t="shared" si="15"/>
        <v>0.14647500000000005</v>
      </c>
      <c r="AK38">
        <f t="shared" si="15"/>
        <v>0.14647500000000005</v>
      </c>
      <c r="AL38">
        <f t="shared" si="15"/>
        <v>0.14647500000000005</v>
      </c>
      <c r="AM38">
        <f t="shared" si="15"/>
        <v>0.14647500000000005</v>
      </c>
      <c r="AN38">
        <f t="shared" si="15"/>
        <v>0.14647500000000005</v>
      </c>
      <c r="AO38">
        <f t="shared" si="15"/>
        <v>0.14647500000000005</v>
      </c>
      <c r="AP38">
        <f t="shared" si="15"/>
        <v>0.14647500000000005</v>
      </c>
      <c r="AQ38">
        <f t="shared" si="16"/>
        <v>0.14647500000000005</v>
      </c>
      <c r="AR38">
        <f t="shared" si="16"/>
        <v>0.14647500000000005</v>
      </c>
      <c r="AS38">
        <f t="shared" si="16"/>
        <v>0.14647500000000005</v>
      </c>
      <c r="AT38">
        <f t="shared" si="16"/>
        <v>0.14647500000000005</v>
      </c>
      <c r="AU38">
        <f t="shared" si="16"/>
        <v>0.14647500000000005</v>
      </c>
      <c r="AV38">
        <f t="shared" si="16"/>
        <v>0.14647500000000005</v>
      </c>
      <c r="AW38">
        <f t="shared" si="16"/>
        <v>0.14647500000000005</v>
      </c>
      <c r="AX38">
        <f t="shared" si="16"/>
        <v>0.14647500000000005</v>
      </c>
      <c r="AY38">
        <f t="shared" si="16"/>
        <v>0.14647500000000005</v>
      </c>
      <c r="AZ38">
        <f t="shared" si="16"/>
        <v>0.14647500000000005</v>
      </c>
      <c r="BA38" s="6"/>
    </row>
    <row r="39" spans="1:53" x14ac:dyDescent="0.2">
      <c r="A39">
        <f t="shared" si="6"/>
        <v>26</v>
      </c>
      <c r="B39" s="3">
        <f t="shared" si="0"/>
        <v>52</v>
      </c>
      <c r="C39">
        <f t="shared" si="12"/>
        <v>0.13585000000000003</v>
      </c>
      <c r="D39">
        <f t="shared" si="12"/>
        <v>0.13585000000000003</v>
      </c>
      <c r="E39">
        <f t="shared" si="12"/>
        <v>0.13585000000000003</v>
      </c>
      <c r="F39">
        <f t="shared" si="12"/>
        <v>0.13585000000000003</v>
      </c>
      <c r="G39">
        <f t="shared" si="12"/>
        <v>0.13585000000000003</v>
      </c>
      <c r="H39">
        <f t="shared" si="12"/>
        <v>0.13585000000000003</v>
      </c>
      <c r="I39">
        <f t="shared" si="12"/>
        <v>0.13585000000000003</v>
      </c>
      <c r="J39">
        <f t="shared" si="12"/>
        <v>0.13585000000000003</v>
      </c>
      <c r="K39">
        <f t="shared" si="12"/>
        <v>0.13585000000000003</v>
      </c>
      <c r="L39">
        <f t="shared" si="12"/>
        <v>0.13585000000000003</v>
      </c>
      <c r="M39">
        <f t="shared" si="13"/>
        <v>0.13585000000000003</v>
      </c>
      <c r="N39">
        <f t="shared" si="13"/>
        <v>0.13585000000000003</v>
      </c>
      <c r="O39">
        <f t="shared" si="13"/>
        <v>0.13585000000000003</v>
      </c>
      <c r="P39">
        <f t="shared" si="13"/>
        <v>0.13585000000000003</v>
      </c>
      <c r="Q39">
        <f t="shared" si="13"/>
        <v>0.13585000000000003</v>
      </c>
      <c r="R39">
        <f t="shared" si="13"/>
        <v>0.13585000000000003</v>
      </c>
      <c r="S39">
        <f t="shared" si="13"/>
        <v>0.13585000000000003</v>
      </c>
      <c r="T39">
        <f t="shared" si="13"/>
        <v>0.13585000000000003</v>
      </c>
      <c r="U39">
        <f t="shared" si="13"/>
        <v>0.13585000000000003</v>
      </c>
      <c r="V39">
        <f t="shared" si="13"/>
        <v>0.13585000000000003</v>
      </c>
      <c r="W39">
        <f t="shared" si="14"/>
        <v>0.13585000000000003</v>
      </c>
      <c r="X39">
        <f t="shared" si="14"/>
        <v>0.13585000000000003</v>
      </c>
      <c r="Y39">
        <f t="shared" si="14"/>
        <v>0.13585000000000003</v>
      </c>
      <c r="Z39">
        <f t="shared" si="14"/>
        <v>0.13585000000000003</v>
      </c>
      <c r="AA39">
        <f t="shared" si="14"/>
        <v>0.13585000000000003</v>
      </c>
      <c r="AB39">
        <f t="shared" si="14"/>
        <v>0.13585000000000003</v>
      </c>
      <c r="AC39">
        <f t="shared" si="14"/>
        <v>0.13585000000000003</v>
      </c>
      <c r="AD39">
        <f t="shared" si="14"/>
        <v>0.13585000000000003</v>
      </c>
      <c r="AE39">
        <f t="shared" si="14"/>
        <v>0.13585000000000003</v>
      </c>
      <c r="AF39">
        <f t="shared" si="14"/>
        <v>0.13585000000000003</v>
      </c>
      <c r="AG39">
        <f t="shared" si="15"/>
        <v>0.13585000000000003</v>
      </c>
      <c r="AH39">
        <f t="shared" si="15"/>
        <v>0.13585000000000003</v>
      </c>
      <c r="AI39">
        <f t="shared" si="15"/>
        <v>0.13585000000000003</v>
      </c>
      <c r="AJ39">
        <f t="shared" si="15"/>
        <v>0.13585000000000003</v>
      </c>
      <c r="AK39">
        <f t="shared" si="15"/>
        <v>0.13585000000000003</v>
      </c>
      <c r="AL39">
        <f t="shared" si="15"/>
        <v>0.13585000000000003</v>
      </c>
      <c r="AM39">
        <f t="shared" si="15"/>
        <v>0.13585000000000003</v>
      </c>
      <c r="AN39">
        <f t="shared" si="15"/>
        <v>0.13585000000000003</v>
      </c>
      <c r="AO39">
        <f t="shared" si="15"/>
        <v>0.13585000000000003</v>
      </c>
      <c r="AP39">
        <f t="shared" si="15"/>
        <v>0.13585000000000003</v>
      </c>
      <c r="AQ39">
        <f t="shared" si="16"/>
        <v>0.13585000000000003</v>
      </c>
      <c r="AR39">
        <f t="shared" si="16"/>
        <v>0.13585000000000003</v>
      </c>
      <c r="AS39">
        <f t="shared" si="16"/>
        <v>0.13585000000000003</v>
      </c>
      <c r="AT39">
        <f t="shared" si="16"/>
        <v>0.13585000000000003</v>
      </c>
      <c r="AU39">
        <f t="shared" si="16"/>
        <v>0.13585000000000003</v>
      </c>
      <c r="AV39">
        <f t="shared" si="16"/>
        <v>0.13585000000000003</v>
      </c>
      <c r="AW39">
        <f t="shared" si="16"/>
        <v>0.13585000000000003</v>
      </c>
      <c r="AX39">
        <f t="shared" si="16"/>
        <v>0.13585000000000003</v>
      </c>
      <c r="AY39">
        <f t="shared" si="16"/>
        <v>0.13585000000000003</v>
      </c>
      <c r="AZ39">
        <f t="shared" si="16"/>
        <v>0.13585000000000003</v>
      </c>
      <c r="BA39" s="6"/>
    </row>
    <row r="40" spans="1:53" x14ac:dyDescent="0.2">
      <c r="A40">
        <f t="shared" si="6"/>
        <v>25</v>
      </c>
      <c r="B40" s="3">
        <f t="shared" si="0"/>
        <v>50</v>
      </c>
      <c r="C40">
        <f t="shared" si="12"/>
        <v>0.12562500000000001</v>
      </c>
      <c r="D40">
        <f t="shared" si="12"/>
        <v>0.12562500000000001</v>
      </c>
      <c r="E40">
        <f t="shared" si="12"/>
        <v>0.12562500000000001</v>
      </c>
      <c r="F40">
        <f t="shared" si="12"/>
        <v>0.12562500000000001</v>
      </c>
      <c r="G40">
        <f t="shared" si="12"/>
        <v>0.12562500000000001</v>
      </c>
      <c r="H40">
        <f t="shared" si="12"/>
        <v>0.12562500000000001</v>
      </c>
      <c r="I40">
        <f t="shared" si="12"/>
        <v>0.12562500000000001</v>
      </c>
      <c r="J40">
        <f t="shared" si="12"/>
        <v>0.12562500000000001</v>
      </c>
      <c r="K40">
        <f t="shared" si="12"/>
        <v>0.12562500000000001</v>
      </c>
      <c r="L40">
        <f t="shared" si="12"/>
        <v>0.12562500000000001</v>
      </c>
      <c r="M40">
        <f t="shared" si="13"/>
        <v>0.12562500000000001</v>
      </c>
      <c r="N40">
        <f t="shared" si="13"/>
        <v>0.12562500000000001</v>
      </c>
      <c r="O40">
        <f t="shared" si="13"/>
        <v>0.12562500000000001</v>
      </c>
      <c r="P40">
        <f t="shared" si="13"/>
        <v>0.12562500000000001</v>
      </c>
      <c r="Q40">
        <f t="shared" si="13"/>
        <v>0.12562500000000001</v>
      </c>
      <c r="R40">
        <f t="shared" si="13"/>
        <v>0.12562500000000001</v>
      </c>
      <c r="S40">
        <f t="shared" si="13"/>
        <v>0.12562500000000001</v>
      </c>
      <c r="T40">
        <f t="shared" si="13"/>
        <v>0.12562500000000001</v>
      </c>
      <c r="U40">
        <f t="shared" si="13"/>
        <v>0.12562500000000001</v>
      </c>
      <c r="V40">
        <f t="shared" si="13"/>
        <v>0.12562500000000001</v>
      </c>
      <c r="W40">
        <f t="shared" si="14"/>
        <v>0.12562500000000001</v>
      </c>
      <c r="X40">
        <f t="shared" si="14"/>
        <v>0.12562500000000001</v>
      </c>
      <c r="Y40">
        <f t="shared" si="14"/>
        <v>0.12562500000000001</v>
      </c>
      <c r="Z40">
        <f t="shared" si="14"/>
        <v>0.12562500000000001</v>
      </c>
      <c r="AA40">
        <f t="shared" si="14"/>
        <v>0.12562500000000001</v>
      </c>
      <c r="AB40">
        <f t="shared" si="14"/>
        <v>0.12562500000000001</v>
      </c>
      <c r="AC40">
        <f t="shared" si="14"/>
        <v>0.12562500000000001</v>
      </c>
      <c r="AD40">
        <f t="shared" si="14"/>
        <v>0.12562500000000001</v>
      </c>
      <c r="AE40">
        <f t="shared" si="14"/>
        <v>0.12562500000000001</v>
      </c>
      <c r="AF40">
        <f t="shared" si="14"/>
        <v>0.12562500000000001</v>
      </c>
      <c r="AG40">
        <f t="shared" si="15"/>
        <v>0.12562500000000001</v>
      </c>
      <c r="AH40">
        <f t="shared" si="15"/>
        <v>0.12562500000000001</v>
      </c>
      <c r="AI40">
        <f t="shared" si="15"/>
        <v>0.12562500000000001</v>
      </c>
      <c r="AJ40">
        <f t="shared" si="15"/>
        <v>0.12562500000000001</v>
      </c>
      <c r="AK40">
        <f t="shared" si="15"/>
        <v>0.12562500000000001</v>
      </c>
      <c r="AL40">
        <f t="shared" si="15"/>
        <v>0.12562500000000001</v>
      </c>
      <c r="AM40">
        <f t="shared" si="15"/>
        <v>0.12562500000000001</v>
      </c>
      <c r="AN40">
        <f t="shared" si="15"/>
        <v>0.12562500000000001</v>
      </c>
      <c r="AO40">
        <f t="shared" si="15"/>
        <v>0.12562500000000001</v>
      </c>
      <c r="AP40">
        <f t="shared" si="15"/>
        <v>0.12562500000000001</v>
      </c>
      <c r="AQ40">
        <f t="shared" si="16"/>
        <v>0.12562500000000001</v>
      </c>
      <c r="AR40">
        <f t="shared" si="16"/>
        <v>0.12562500000000001</v>
      </c>
      <c r="AS40">
        <f t="shared" si="16"/>
        <v>0.12562500000000001</v>
      </c>
      <c r="AT40">
        <f t="shared" si="16"/>
        <v>0.12562500000000001</v>
      </c>
      <c r="AU40">
        <f t="shared" si="16"/>
        <v>0.12562500000000001</v>
      </c>
      <c r="AV40">
        <f t="shared" si="16"/>
        <v>0.12562500000000001</v>
      </c>
      <c r="AW40">
        <f t="shared" si="16"/>
        <v>0.12562500000000001</v>
      </c>
      <c r="AX40">
        <f t="shared" si="16"/>
        <v>0.12562500000000001</v>
      </c>
      <c r="AY40">
        <f t="shared" si="16"/>
        <v>0.12562500000000001</v>
      </c>
      <c r="AZ40">
        <f t="shared" si="16"/>
        <v>0.12562500000000001</v>
      </c>
      <c r="BA40" s="6"/>
    </row>
    <row r="41" spans="1:53" x14ac:dyDescent="0.2">
      <c r="A41">
        <f t="shared" si="6"/>
        <v>24</v>
      </c>
      <c r="B41" s="3">
        <f t="shared" si="0"/>
        <v>48</v>
      </c>
      <c r="C41">
        <f t="shared" si="12"/>
        <v>0.11580000000000004</v>
      </c>
      <c r="D41">
        <f t="shared" si="12"/>
        <v>0.11580000000000004</v>
      </c>
      <c r="E41">
        <f t="shared" si="12"/>
        <v>0.11580000000000004</v>
      </c>
      <c r="F41">
        <f t="shared" si="12"/>
        <v>0.11580000000000004</v>
      </c>
      <c r="G41">
        <f t="shared" si="12"/>
        <v>0.11580000000000004</v>
      </c>
      <c r="H41">
        <f t="shared" si="12"/>
        <v>0.11580000000000004</v>
      </c>
      <c r="I41">
        <f t="shared" si="12"/>
        <v>0.11580000000000004</v>
      </c>
      <c r="J41">
        <f t="shared" si="12"/>
        <v>0.11580000000000004</v>
      </c>
      <c r="K41">
        <f t="shared" si="12"/>
        <v>0.11580000000000004</v>
      </c>
      <c r="L41">
        <f t="shared" si="12"/>
        <v>0.11580000000000004</v>
      </c>
      <c r="M41">
        <f t="shared" si="13"/>
        <v>0.11580000000000004</v>
      </c>
      <c r="N41">
        <f t="shared" si="13"/>
        <v>0.11580000000000004</v>
      </c>
      <c r="O41">
        <f t="shared" si="13"/>
        <v>0.11580000000000004</v>
      </c>
      <c r="P41">
        <f t="shared" si="13"/>
        <v>0.11580000000000004</v>
      </c>
      <c r="Q41">
        <f t="shared" si="13"/>
        <v>0.11580000000000004</v>
      </c>
      <c r="R41">
        <f t="shared" si="13"/>
        <v>0.11580000000000004</v>
      </c>
      <c r="S41">
        <f t="shared" si="13"/>
        <v>0.11580000000000004</v>
      </c>
      <c r="T41">
        <f t="shared" si="13"/>
        <v>0.11580000000000004</v>
      </c>
      <c r="U41">
        <f t="shared" si="13"/>
        <v>0.11580000000000004</v>
      </c>
      <c r="V41">
        <f t="shared" si="13"/>
        <v>0.11580000000000004</v>
      </c>
      <c r="W41">
        <f t="shared" si="14"/>
        <v>0.11580000000000004</v>
      </c>
      <c r="X41">
        <f t="shared" si="14"/>
        <v>0.11580000000000004</v>
      </c>
      <c r="Y41">
        <f t="shared" si="14"/>
        <v>0.11580000000000004</v>
      </c>
      <c r="Z41">
        <f t="shared" si="14"/>
        <v>0.11580000000000004</v>
      </c>
      <c r="AA41">
        <f t="shared" si="14"/>
        <v>0.11580000000000004</v>
      </c>
      <c r="AB41">
        <f t="shared" si="14"/>
        <v>0.11580000000000004</v>
      </c>
      <c r="AC41">
        <f t="shared" si="14"/>
        <v>0.11580000000000004</v>
      </c>
      <c r="AD41">
        <f t="shared" si="14"/>
        <v>0.11580000000000004</v>
      </c>
      <c r="AE41">
        <f t="shared" si="14"/>
        <v>0.11580000000000004</v>
      </c>
      <c r="AF41">
        <f t="shared" si="14"/>
        <v>0.11580000000000004</v>
      </c>
      <c r="AG41">
        <f t="shared" si="15"/>
        <v>0.11580000000000004</v>
      </c>
      <c r="AH41">
        <f t="shared" si="15"/>
        <v>0.11580000000000004</v>
      </c>
      <c r="AI41">
        <f t="shared" si="15"/>
        <v>0.11580000000000004</v>
      </c>
      <c r="AJ41">
        <f t="shared" si="15"/>
        <v>0.11580000000000004</v>
      </c>
      <c r="AK41">
        <f t="shared" si="15"/>
        <v>0.11580000000000004</v>
      </c>
      <c r="AL41">
        <f t="shared" si="15"/>
        <v>0.11580000000000004</v>
      </c>
      <c r="AM41">
        <f t="shared" si="15"/>
        <v>0.11580000000000004</v>
      </c>
      <c r="AN41">
        <f t="shared" si="15"/>
        <v>0.11580000000000004</v>
      </c>
      <c r="AO41">
        <f t="shared" si="15"/>
        <v>0.11580000000000004</v>
      </c>
      <c r="AP41">
        <f t="shared" si="15"/>
        <v>0.11580000000000004</v>
      </c>
      <c r="AQ41">
        <f t="shared" si="16"/>
        <v>0.11580000000000004</v>
      </c>
      <c r="AR41">
        <f t="shared" si="16"/>
        <v>0.11580000000000004</v>
      </c>
      <c r="AS41">
        <f t="shared" si="16"/>
        <v>0.11580000000000004</v>
      </c>
      <c r="AT41">
        <f t="shared" si="16"/>
        <v>0.11580000000000004</v>
      </c>
      <c r="AU41">
        <f t="shared" si="16"/>
        <v>0.11580000000000004</v>
      </c>
      <c r="AV41">
        <f t="shared" si="16"/>
        <v>0.11580000000000004</v>
      </c>
      <c r="AW41">
        <f t="shared" si="16"/>
        <v>0.11580000000000004</v>
      </c>
      <c r="AX41">
        <f t="shared" si="16"/>
        <v>0.11580000000000004</v>
      </c>
      <c r="AY41">
        <f t="shared" si="16"/>
        <v>0.11580000000000004</v>
      </c>
      <c r="AZ41">
        <f t="shared" si="16"/>
        <v>0.11580000000000004</v>
      </c>
      <c r="BA41" s="6"/>
    </row>
    <row r="42" spans="1:53" x14ac:dyDescent="0.2">
      <c r="A42">
        <f t="shared" si="6"/>
        <v>23</v>
      </c>
      <c r="B42" s="3">
        <f t="shared" si="0"/>
        <v>46</v>
      </c>
      <c r="C42">
        <f t="shared" si="12"/>
        <v>0.10637500000000001</v>
      </c>
      <c r="D42">
        <f t="shared" si="12"/>
        <v>0.10637500000000001</v>
      </c>
      <c r="E42">
        <f t="shared" si="12"/>
        <v>0.10637500000000001</v>
      </c>
      <c r="F42">
        <f t="shared" si="12"/>
        <v>0.10637500000000001</v>
      </c>
      <c r="G42">
        <f t="shared" si="12"/>
        <v>0.10637500000000001</v>
      </c>
      <c r="H42">
        <f t="shared" si="12"/>
        <v>0.10637500000000001</v>
      </c>
      <c r="I42">
        <f t="shared" si="12"/>
        <v>0.10637500000000001</v>
      </c>
      <c r="J42">
        <f t="shared" si="12"/>
        <v>0.10637500000000001</v>
      </c>
      <c r="K42">
        <f t="shared" si="12"/>
        <v>0.10637500000000001</v>
      </c>
      <c r="L42">
        <f t="shared" si="12"/>
        <v>0.10637500000000001</v>
      </c>
      <c r="M42">
        <f t="shared" si="13"/>
        <v>0.10637500000000001</v>
      </c>
      <c r="N42">
        <f t="shared" si="13"/>
        <v>0.10637500000000001</v>
      </c>
      <c r="O42">
        <f t="shared" si="13"/>
        <v>0.10637500000000001</v>
      </c>
      <c r="P42">
        <f t="shared" si="13"/>
        <v>0.10637500000000001</v>
      </c>
      <c r="Q42">
        <f t="shared" si="13"/>
        <v>0.10637500000000001</v>
      </c>
      <c r="R42">
        <f t="shared" si="13"/>
        <v>0.10637500000000001</v>
      </c>
      <c r="S42">
        <f t="shared" si="13"/>
        <v>0.10637500000000001</v>
      </c>
      <c r="T42">
        <f t="shared" si="13"/>
        <v>0.10637500000000001</v>
      </c>
      <c r="U42">
        <f t="shared" si="13"/>
        <v>0.10637500000000001</v>
      </c>
      <c r="V42">
        <f t="shared" si="13"/>
        <v>0.10637500000000001</v>
      </c>
      <c r="W42">
        <f t="shared" si="14"/>
        <v>0.10637500000000001</v>
      </c>
      <c r="X42">
        <f t="shared" si="14"/>
        <v>0.10637500000000001</v>
      </c>
      <c r="Y42">
        <f t="shared" si="14"/>
        <v>0.10637500000000001</v>
      </c>
      <c r="Z42">
        <f t="shared" si="14"/>
        <v>0.10637500000000001</v>
      </c>
      <c r="AA42">
        <f t="shared" si="14"/>
        <v>0.10637500000000001</v>
      </c>
      <c r="AB42">
        <f t="shared" si="14"/>
        <v>0.10637500000000001</v>
      </c>
      <c r="AC42">
        <f t="shared" si="14"/>
        <v>0.10637500000000001</v>
      </c>
      <c r="AD42">
        <f t="shared" si="14"/>
        <v>0.10637500000000001</v>
      </c>
      <c r="AE42">
        <f t="shared" si="14"/>
        <v>0.10637500000000001</v>
      </c>
      <c r="AF42">
        <f t="shared" si="14"/>
        <v>0.10637500000000001</v>
      </c>
      <c r="AG42">
        <f t="shared" si="15"/>
        <v>0.10637500000000001</v>
      </c>
      <c r="AH42">
        <f t="shared" si="15"/>
        <v>0.10637500000000001</v>
      </c>
      <c r="AI42">
        <f t="shared" si="15"/>
        <v>0.10637500000000001</v>
      </c>
      <c r="AJ42">
        <f t="shared" si="15"/>
        <v>0.10637500000000001</v>
      </c>
      <c r="AK42">
        <f t="shared" si="15"/>
        <v>0.10637500000000001</v>
      </c>
      <c r="AL42">
        <f t="shared" si="15"/>
        <v>0.10637500000000001</v>
      </c>
      <c r="AM42">
        <f t="shared" si="15"/>
        <v>0.10637500000000001</v>
      </c>
      <c r="AN42">
        <f t="shared" si="15"/>
        <v>0.10637500000000001</v>
      </c>
      <c r="AO42">
        <f t="shared" si="15"/>
        <v>0.10637500000000001</v>
      </c>
      <c r="AP42">
        <f t="shared" si="15"/>
        <v>0.10637500000000001</v>
      </c>
      <c r="AQ42">
        <f t="shared" si="16"/>
        <v>0.10637500000000001</v>
      </c>
      <c r="AR42">
        <f t="shared" si="16"/>
        <v>0.10637500000000001</v>
      </c>
      <c r="AS42">
        <f t="shared" si="16"/>
        <v>0.10637500000000001</v>
      </c>
      <c r="AT42">
        <f t="shared" si="16"/>
        <v>0.10637500000000001</v>
      </c>
      <c r="AU42">
        <f t="shared" si="16"/>
        <v>0.10637500000000001</v>
      </c>
      <c r="AV42">
        <f t="shared" si="16"/>
        <v>0.10637500000000001</v>
      </c>
      <c r="AW42">
        <f t="shared" si="16"/>
        <v>0.10637500000000001</v>
      </c>
      <c r="AX42">
        <f t="shared" si="16"/>
        <v>0.10637500000000001</v>
      </c>
      <c r="AY42">
        <f t="shared" si="16"/>
        <v>0.10637500000000001</v>
      </c>
      <c r="AZ42">
        <f t="shared" si="16"/>
        <v>0.10637500000000001</v>
      </c>
      <c r="BA42" s="6"/>
    </row>
    <row r="43" spans="1:53" x14ac:dyDescent="0.2">
      <c r="A43">
        <f t="shared" si="6"/>
        <v>22</v>
      </c>
      <c r="B43" s="3">
        <f t="shared" si="0"/>
        <v>44</v>
      </c>
      <c r="C43">
        <f t="shared" si="12"/>
        <v>9.735000000000002E-2</v>
      </c>
      <c r="D43">
        <f t="shared" si="12"/>
        <v>9.735000000000002E-2</v>
      </c>
      <c r="E43">
        <f t="shared" si="12"/>
        <v>9.735000000000002E-2</v>
      </c>
      <c r="F43">
        <f t="shared" si="12"/>
        <v>9.735000000000002E-2</v>
      </c>
      <c r="G43">
        <f t="shared" si="12"/>
        <v>9.735000000000002E-2</v>
      </c>
      <c r="H43">
        <f t="shared" si="12"/>
        <v>9.735000000000002E-2</v>
      </c>
      <c r="I43">
        <f t="shared" si="12"/>
        <v>9.735000000000002E-2</v>
      </c>
      <c r="J43">
        <f t="shared" si="12"/>
        <v>9.735000000000002E-2</v>
      </c>
      <c r="K43">
        <f t="shared" si="12"/>
        <v>9.735000000000002E-2</v>
      </c>
      <c r="L43">
        <f t="shared" si="12"/>
        <v>9.735000000000002E-2</v>
      </c>
      <c r="M43">
        <f t="shared" si="13"/>
        <v>9.735000000000002E-2</v>
      </c>
      <c r="N43">
        <f t="shared" si="13"/>
        <v>9.735000000000002E-2</v>
      </c>
      <c r="O43">
        <f t="shared" si="13"/>
        <v>9.735000000000002E-2</v>
      </c>
      <c r="P43">
        <f t="shared" si="13"/>
        <v>9.735000000000002E-2</v>
      </c>
      <c r="Q43">
        <f t="shared" si="13"/>
        <v>9.735000000000002E-2</v>
      </c>
      <c r="R43">
        <f t="shared" si="13"/>
        <v>9.735000000000002E-2</v>
      </c>
      <c r="S43">
        <f t="shared" si="13"/>
        <v>9.735000000000002E-2</v>
      </c>
      <c r="T43">
        <f t="shared" si="13"/>
        <v>9.735000000000002E-2</v>
      </c>
      <c r="U43">
        <f t="shared" si="13"/>
        <v>9.735000000000002E-2</v>
      </c>
      <c r="V43">
        <f t="shared" si="13"/>
        <v>9.735000000000002E-2</v>
      </c>
      <c r="W43">
        <f t="shared" si="14"/>
        <v>9.735000000000002E-2</v>
      </c>
      <c r="X43">
        <f t="shared" si="14"/>
        <v>9.735000000000002E-2</v>
      </c>
      <c r="Y43">
        <f t="shared" si="14"/>
        <v>9.735000000000002E-2</v>
      </c>
      <c r="Z43">
        <f t="shared" si="14"/>
        <v>9.735000000000002E-2</v>
      </c>
      <c r="AA43">
        <f t="shared" si="14"/>
        <v>9.735000000000002E-2</v>
      </c>
      <c r="AB43">
        <f t="shared" si="14"/>
        <v>9.735000000000002E-2</v>
      </c>
      <c r="AC43">
        <f t="shared" si="14"/>
        <v>9.735000000000002E-2</v>
      </c>
      <c r="AD43">
        <f t="shared" si="14"/>
        <v>9.735000000000002E-2</v>
      </c>
      <c r="AE43">
        <f t="shared" si="14"/>
        <v>9.735000000000002E-2</v>
      </c>
      <c r="AF43">
        <f t="shared" si="14"/>
        <v>9.735000000000002E-2</v>
      </c>
      <c r="AG43">
        <f t="shared" si="15"/>
        <v>9.735000000000002E-2</v>
      </c>
      <c r="AH43">
        <f t="shared" si="15"/>
        <v>9.735000000000002E-2</v>
      </c>
      <c r="AI43">
        <f t="shared" si="15"/>
        <v>9.735000000000002E-2</v>
      </c>
      <c r="AJ43">
        <f t="shared" si="15"/>
        <v>9.735000000000002E-2</v>
      </c>
      <c r="AK43">
        <f t="shared" si="15"/>
        <v>9.735000000000002E-2</v>
      </c>
      <c r="AL43">
        <f t="shared" si="15"/>
        <v>9.735000000000002E-2</v>
      </c>
      <c r="AM43">
        <f t="shared" si="15"/>
        <v>9.735000000000002E-2</v>
      </c>
      <c r="AN43">
        <f t="shared" si="15"/>
        <v>9.735000000000002E-2</v>
      </c>
      <c r="AO43">
        <f t="shared" si="15"/>
        <v>9.735000000000002E-2</v>
      </c>
      <c r="AP43">
        <f t="shared" si="15"/>
        <v>9.735000000000002E-2</v>
      </c>
      <c r="AQ43">
        <f t="shared" si="16"/>
        <v>9.735000000000002E-2</v>
      </c>
      <c r="AR43">
        <f t="shared" si="16"/>
        <v>9.735000000000002E-2</v>
      </c>
      <c r="AS43">
        <f t="shared" si="16"/>
        <v>9.735000000000002E-2</v>
      </c>
      <c r="AT43">
        <f t="shared" si="16"/>
        <v>9.735000000000002E-2</v>
      </c>
      <c r="AU43">
        <f t="shared" si="16"/>
        <v>9.735000000000002E-2</v>
      </c>
      <c r="AV43">
        <f t="shared" si="16"/>
        <v>9.735000000000002E-2</v>
      </c>
      <c r="AW43">
        <f t="shared" si="16"/>
        <v>9.735000000000002E-2</v>
      </c>
      <c r="AX43">
        <f t="shared" si="16"/>
        <v>9.735000000000002E-2</v>
      </c>
      <c r="AY43">
        <f t="shared" si="16"/>
        <v>9.735000000000002E-2</v>
      </c>
      <c r="AZ43">
        <f t="shared" si="16"/>
        <v>9.735000000000002E-2</v>
      </c>
      <c r="BA43" s="6"/>
    </row>
    <row r="44" spans="1:53" x14ac:dyDescent="0.2">
      <c r="A44">
        <f t="shared" si="6"/>
        <v>21</v>
      </c>
      <c r="B44" s="3">
        <f t="shared" si="0"/>
        <v>42</v>
      </c>
      <c r="C44">
        <f t="shared" si="12"/>
        <v>8.8725000000000026E-2</v>
      </c>
      <c r="D44">
        <f t="shared" si="12"/>
        <v>8.8725000000000026E-2</v>
      </c>
      <c r="E44">
        <f t="shared" si="12"/>
        <v>8.8725000000000026E-2</v>
      </c>
      <c r="F44">
        <f t="shared" si="12"/>
        <v>8.8725000000000026E-2</v>
      </c>
      <c r="G44">
        <f t="shared" si="12"/>
        <v>8.8725000000000026E-2</v>
      </c>
      <c r="H44">
        <f t="shared" si="12"/>
        <v>8.8725000000000026E-2</v>
      </c>
      <c r="I44">
        <f t="shared" si="12"/>
        <v>8.8725000000000026E-2</v>
      </c>
      <c r="J44">
        <f t="shared" si="12"/>
        <v>8.8725000000000026E-2</v>
      </c>
      <c r="K44">
        <f t="shared" si="12"/>
        <v>8.8725000000000026E-2</v>
      </c>
      <c r="L44">
        <f t="shared" si="12"/>
        <v>8.8725000000000026E-2</v>
      </c>
      <c r="M44">
        <f t="shared" si="13"/>
        <v>8.8725000000000026E-2</v>
      </c>
      <c r="N44">
        <f t="shared" si="13"/>
        <v>8.8725000000000026E-2</v>
      </c>
      <c r="O44">
        <f t="shared" si="13"/>
        <v>8.8725000000000026E-2</v>
      </c>
      <c r="P44">
        <f t="shared" si="13"/>
        <v>8.8725000000000026E-2</v>
      </c>
      <c r="Q44">
        <f t="shared" si="13"/>
        <v>8.8725000000000026E-2</v>
      </c>
      <c r="R44">
        <f t="shared" si="13"/>
        <v>8.8725000000000026E-2</v>
      </c>
      <c r="S44">
        <f t="shared" si="13"/>
        <v>8.8725000000000026E-2</v>
      </c>
      <c r="T44">
        <f t="shared" si="13"/>
        <v>8.8725000000000026E-2</v>
      </c>
      <c r="U44">
        <f t="shared" si="13"/>
        <v>8.8725000000000026E-2</v>
      </c>
      <c r="V44">
        <f t="shared" si="13"/>
        <v>8.8725000000000026E-2</v>
      </c>
      <c r="W44">
        <f t="shared" si="14"/>
        <v>8.8725000000000026E-2</v>
      </c>
      <c r="X44">
        <f t="shared" si="14"/>
        <v>8.8725000000000026E-2</v>
      </c>
      <c r="Y44">
        <f t="shared" si="14"/>
        <v>8.8725000000000026E-2</v>
      </c>
      <c r="Z44">
        <f t="shared" si="14"/>
        <v>8.8725000000000026E-2</v>
      </c>
      <c r="AA44">
        <f t="shared" si="14"/>
        <v>8.8725000000000026E-2</v>
      </c>
      <c r="AB44">
        <f t="shared" si="14"/>
        <v>8.8725000000000026E-2</v>
      </c>
      <c r="AC44">
        <f t="shared" si="14"/>
        <v>8.8725000000000026E-2</v>
      </c>
      <c r="AD44">
        <f t="shared" si="14"/>
        <v>8.8725000000000026E-2</v>
      </c>
      <c r="AE44">
        <f t="shared" si="14"/>
        <v>8.8725000000000026E-2</v>
      </c>
      <c r="AF44">
        <f t="shared" si="14"/>
        <v>8.8725000000000026E-2</v>
      </c>
      <c r="AG44">
        <f t="shared" si="15"/>
        <v>8.8725000000000026E-2</v>
      </c>
      <c r="AH44">
        <f t="shared" si="15"/>
        <v>8.8725000000000026E-2</v>
      </c>
      <c r="AI44">
        <f t="shared" si="15"/>
        <v>8.8725000000000026E-2</v>
      </c>
      <c r="AJ44">
        <f t="shared" si="15"/>
        <v>8.8725000000000026E-2</v>
      </c>
      <c r="AK44">
        <f t="shared" si="15"/>
        <v>8.8725000000000026E-2</v>
      </c>
      <c r="AL44">
        <f t="shared" si="15"/>
        <v>8.8725000000000026E-2</v>
      </c>
      <c r="AM44">
        <f t="shared" si="15"/>
        <v>8.8725000000000026E-2</v>
      </c>
      <c r="AN44">
        <f t="shared" si="15"/>
        <v>8.8725000000000026E-2</v>
      </c>
      <c r="AO44">
        <f t="shared" si="15"/>
        <v>8.8725000000000026E-2</v>
      </c>
      <c r="AP44">
        <f t="shared" si="15"/>
        <v>8.8725000000000026E-2</v>
      </c>
      <c r="AQ44">
        <f t="shared" si="16"/>
        <v>8.8725000000000026E-2</v>
      </c>
      <c r="AR44">
        <f t="shared" si="16"/>
        <v>8.8725000000000026E-2</v>
      </c>
      <c r="AS44">
        <f t="shared" si="16"/>
        <v>8.8725000000000026E-2</v>
      </c>
      <c r="AT44">
        <f t="shared" si="16"/>
        <v>8.8725000000000026E-2</v>
      </c>
      <c r="AU44">
        <f t="shared" si="16"/>
        <v>8.8725000000000026E-2</v>
      </c>
      <c r="AV44">
        <f t="shared" si="16"/>
        <v>8.8725000000000026E-2</v>
      </c>
      <c r="AW44">
        <f t="shared" si="16"/>
        <v>8.8725000000000026E-2</v>
      </c>
      <c r="AX44">
        <f t="shared" si="16"/>
        <v>8.8725000000000026E-2</v>
      </c>
      <c r="AY44">
        <f t="shared" si="16"/>
        <v>8.8725000000000026E-2</v>
      </c>
      <c r="AZ44">
        <f t="shared" si="16"/>
        <v>8.8725000000000026E-2</v>
      </c>
      <c r="BA44" s="6"/>
    </row>
    <row r="45" spans="1:53" x14ac:dyDescent="0.2">
      <c r="A45">
        <f t="shared" si="6"/>
        <v>20</v>
      </c>
      <c r="B45" s="3">
        <f t="shared" si="0"/>
        <v>40</v>
      </c>
      <c r="C45">
        <f t="shared" si="12"/>
        <v>8.050000000000003E-2</v>
      </c>
      <c r="D45">
        <f t="shared" si="12"/>
        <v>8.050000000000003E-2</v>
      </c>
      <c r="E45">
        <f t="shared" si="12"/>
        <v>8.050000000000003E-2</v>
      </c>
      <c r="F45">
        <f t="shared" si="12"/>
        <v>8.050000000000003E-2</v>
      </c>
      <c r="G45">
        <f t="shared" si="12"/>
        <v>8.050000000000003E-2</v>
      </c>
      <c r="H45">
        <f t="shared" si="12"/>
        <v>8.050000000000003E-2</v>
      </c>
      <c r="I45">
        <f t="shared" si="12"/>
        <v>8.050000000000003E-2</v>
      </c>
      <c r="J45">
        <f t="shared" si="12"/>
        <v>8.050000000000003E-2</v>
      </c>
      <c r="K45">
        <f t="shared" si="12"/>
        <v>8.050000000000003E-2</v>
      </c>
      <c r="L45">
        <f t="shared" si="12"/>
        <v>8.050000000000003E-2</v>
      </c>
      <c r="M45">
        <f t="shared" si="13"/>
        <v>8.050000000000003E-2</v>
      </c>
      <c r="N45">
        <f t="shared" si="13"/>
        <v>8.050000000000003E-2</v>
      </c>
      <c r="O45">
        <f t="shared" si="13"/>
        <v>8.050000000000003E-2</v>
      </c>
      <c r="P45">
        <f t="shared" si="13"/>
        <v>8.050000000000003E-2</v>
      </c>
      <c r="Q45">
        <f t="shared" si="13"/>
        <v>8.050000000000003E-2</v>
      </c>
      <c r="R45">
        <f t="shared" si="13"/>
        <v>8.050000000000003E-2</v>
      </c>
      <c r="S45">
        <f t="shared" si="13"/>
        <v>8.050000000000003E-2</v>
      </c>
      <c r="T45">
        <f t="shared" si="13"/>
        <v>8.050000000000003E-2</v>
      </c>
      <c r="U45">
        <f t="shared" si="13"/>
        <v>8.050000000000003E-2</v>
      </c>
      <c r="V45">
        <f t="shared" si="13"/>
        <v>8.050000000000003E-2</v>
      </c>
      <c r="W45">
        <f t="shared" si="14"/>
        <v>8.050000000000003E-2</v>
      </c>
      <c r="X45">
        <f t="shared" si="14"/>
        <v>8.050000000000003E-2</v>
      </c>
      <c r="Y45">
        <f t="shared" si="14"/>
        <v>8.050000000000003E-2</v>
      </c>
      <c r="Z45">
        <f t="shared" si="14"/>
        <v>8.050000000000003E-2</v>
      </c>
      <c r="AA45">
        <f t="shared" si="14"/>
        <v>8.050000000000003E-2</v>
      </c>
      <c r="AB45">
        <f t="shared" si="14"/>
        <v>8.050000000000003E-2</v>
      </c>
      <c r="AC45">
        <f t="shared" si="14"/>
        <v>8.050000000000003E-2</v>
      </c>
      <c r="AD45">
        <f t="shared" si="14"/>
        <v>8.050000000000003E-2</v>
      </c>
      <c r="AE45">
        <f t="shared" si="14"/>
        <v>8.050000000000003E-2</v>
      </c>
      <c r="AF45">
        <f t="shared" si="14"/>
        <v>8.050000000000003E-2</v>
      </c>
      <c r="AG45">
        <f t="shared" si="15"/>
        <v>8.050000000000003E-2</v>
      </c>
      <c r="AH45">
        <f t="shared" si="15"/>
        <v>8.050000000000003E-2</v>
      </c>
      <c r="AI45">
        <f t="shared" si="15"/>
        <v>8.050000000000003E-2</v>
      </c>
      <c r="AJ45">
        <f t="shared" si="15"/>
        <v>8.050000000000003E-2</v>
      </c>
      <c r="AK45">
        <f t="shared" si="15"/>
        <v>8.050000000000003E-2</v>
      </c>
      <c r="AL45">
        <f t="shared" si="15"/>
        <v>8.050000000000003E-2</v>
      </c>
      <c r="AM45">
        <f t="shared" si="15"/>
        <v>8.050000000000003E-2</v>
      </c>
      <c r="AN45">
        <f t="shared" si="15"/>
        <v>8.050000000000003E-2</v>
      </c>
      <c r="AO45">
        <f t="shared" si="15"/>
        <v>8.050000000000003E-2</v>
      </c>
      <c r="AP45">
        <f t="shared" si="15"/>
        <v>8.050000000000003E-2</v>
      </c>
      <c r="AQ45">
        <f t="shared" si="16"/>
        <v>8.050000000000003E-2</v>
      </c>
      <c r="AR45">
        <f t="shared" si="16"/>
        <v>8.050000000000003E-2</v>
      </c>
      <c r="AS45">
        <f t="shared" si="16"/>
        <v>8.050000000000003E-2</v>
      </c>
      <c r="AT45">
        <f t="shared" si="16"/>
        <v>8.050000000000003E-2</v>
      </c>
      <c r="AU45">
        <f t="shared" si="16"/>
        <v>8.050000000000003E-2</v>
      </c>
      <c r="AV45">
        <f t="shared" si="16"/>
        <v>8.050000000000003E-2</v>
      </c>
      <c r="AW45">
        <f t="shared" si="16"/>
        <v>8.050000000000003E-2</v>
      </c>
      <c r="AX45">
        <f t="shared" si="16"/>
        <v>8.050000000000003E-2</v>
      </c>
      <c r="AY45">
        <f t="shared" si="16"/>
        <v>8.050000000000003E-2</v>
      </c>
      <c r="AZ45">
        <f t="shared" si="16"/>
        <v>8.050000000000003E-2</v>
      </c>
      <c r="BA45" s="6"/>
    </row>
    <row r="46" spans="1:53" x14ac:dyDescent="0.2">
      <c r="A46">
        <f t="shared" si="6"/>
        <v>19</v>
      </c>
      <c r="B46" s="3">
        <f t="shared" si="0"/>
        <v>38</v>
      </c>
      <c r="C46">
        <f t="shared" ref="C46:L55" si="17">(0.5*sigma^2*$A46^2+0.5*(rate -d)*$A46)*dt</f>
        <v>7.2675000000000017E-2</v>
      </c>
      <c r="D46">
        <f t="shared" si="17"/>
        <v>7.2675000000000017E-2</v>
      </c>
      <c r="E46">
        <f t="shared" si="17"/>
        <v>7.2675000000000017E-2</v>
      </c>
      <c r="F46">
        <f t="shared" si="17"/>
        <v>7.2675000000000017E-2</v>
      </c>
      <c r="G46">
        <f t="shared" si="17"/>
        <v>7.2675000000000017E-2</v>
      </c>
      <c r="H46">
        <f t="shared" si="17"/>
        <v>7.2675000000000017E-2</v>
      </c>
      <c r="I46">
        <f t="shared" si="17"/>
        <v>7.2675000000000017E-2</v>
      </c>
      <c r="J46">
        <f t="shared" si="17"/>
        <v>7.2675000000000017E-2</v>
      </c>
      <c r="K46">
        <f t="shared" si="17"/>
        <v>7.2675000000000017E-2</v>
      </c>
      <c r="L46">
        <f t="shared" si="17"/>
        <v>7.2675000000000017E-2</v>
      </c>
      <c r="M46">
        <f t="shared" ref="M46:V55" si="18">(0.5*sigma^2*$A46^2+0.5*(rate -d)*$A46)*dt</f>
        <v>7.2675000000000017E-2</v>
      </c>
      <c r="N46">
        <f t="shared" si="18"/>
        <v>7.2675000000000017E-2</v>
      </c>
      <c r="O46">
        <f t="shared" si="18"/>
        <v>7.2675000000000017E-2</v>
      </c>
      <c r="P46">
        <f t="shared" si="18"/>
        <v>7.2675000000000017E-2</v>
      </c>
      <c r="Q46">
        <f t="shared" si="18"/>
        <v>7.2675000000000017E-2</v>
      </c>
      <c r="R46">
        <f t="shared" si="18"/>
        <v>7.2675000000000017E-2</v>
      </c>
      <c r="S46">
        <f t="shared" si="18"/>
        <v>7.2675000000000017E-2</v>
      </c>
      <c r="T46">
        <f t="shared" si="18"/>
        <v>7.2675000000000017E-2</v>
      </c>
      <c r="U46">
        <f t="shared" si="18"/>
        <v>7.2675000000000017E-2</v>
      </c>
      <c r="V46">
        <f t="shared" si="18"/>
        <v>7.2675000000000017E-2</v>
      </c>
      <c r="W46">
        <f t="shared" ref="W46:AF55" si="19">(0.5*sigma^2*$A46^2+0.5*(rate -d)*$A46)*dt</f>
        <v>7.2675000000000017E-2</v>
      </c>
      <c r="X46">
        <f t="shared" si="19"/>
        <v>7.2675000000000017E-2</v>
      </c>
      <c r="Y46">
        <f t="shared" si="19"/>
        <v>7.2675000000000017E-2</v>
      </c>
      <c r="Z46">
        <f t="shared" si="19"/>
        <v>7.2675000000000017E-2</v>
      </c>
      <c r="AA46">
        <f t="shared" si="19"/>
        <v>7.2675000000000017E-2</v>
      </c>
      <c r="AB46">
        <f t="shared" si="19"/>
        <v>7.2675000000000017E-2</v>
      </c>
      <c r="AC46">
        <f t="shared" si="19"/>
        <v>7.2675000000000017E-2</v>
      </c>
      <c r="AD46">
        <f t="shared" si="19"/>
        <v>7.2675000000000017E-2</v>
      </c>
      <c r="AE46">
        <f t="shared" si="19"/>
        <v>7.2675000000000017E-2</v>
      </c>
      <c r="AF46">
        <f t="shared" si="19"/>
        <v>7.2675000000000017E-2</v>
      </c>
      <c r="AG46">
        <f t="shared" ref="AG46:AP55" si="20">(0.5*sigma^2*$A46^2+0.5*(rate -d)*$A46)*dt</f>
        <v>7.2675000000000017E-2</v>
      </c>
      <c r="AH46">
        <f t="shared" si="20"/>
        <v>7.2675000000000017E-2</v>
      </c>
      <c r="AI46">
        <f t="shared" si="20"/>
        <v>7.2675000000000017E-2</v>
      </c>
      <c r="AJ46">
        <f t="shared" si="20"/>
        <v>7.2675000000000017E-2</v>
      </c>
      <c r="AK46">
        <f t="shared" si="20"/>
        <v>7.2675000000000017E-2</v>
      </c>
      <c r="AL46">
        <f t="shared" si="20"/>
        <v>7.2675000000000017E-2</v>
      </c>
      <c r="AM46">
        <f t="shared" si="20"/>
        <v>7.2675000000000017E-2</v>
      </c>
      <c r="AN46">
        <f t="shared" si="20"/>
        <v>7.2675000000000017E-2</v>
      </c>
      <c r="AO46">
        <f t="shared" si="20"/>
        <v>7.2675000000000017E-2</v>
      </c>
      <c r="AP46">
        <f t="shared" si="20"/>
        <v>7.2675000000000017E-2</v>
      </c>
      <c r="AQ46">
        <f t="shared" ref="AQ46:AZ55" si="21">(0.5*sigma^2*$A46^2+0.5*(rate -d)*$A46)*dt</f>
        <v>7.2675000000000017E-2</v>
      </c>
      <c r="AR46">
        <f t="shared" si="21"/>
        <v>7.2675000000000017E-2</v>
      </c>
      <c r="AS46">
        <f t="shared" si="21"/>
        <v>7.2675000000000017E-2</v>
      </c>
      <c r="AT46">
        <f t="shared" si="21"/>
        <v>7.2675000000000017E-2</v>
      </c>
      <c r="AU46">
        <f t="shared" si="21"/>
        <v>7.2675000000000017E-2</v>
      </c>
      <c r="AV46">
        <f t="shared" si="21"/>
        <v>7.2675000000000017E-2</v>
      </c>
      <c r="AW46">
        <f t="shared" si="21"/>
        <v>7.2675000000000017E-2</v>
      </c>
      <c r="AX46">
        <f t="shared" si="21"/>
        <v>7.2675000000000017E-2</v>
      </c>
      <c r="AY46">
        <f t="shared" si="21"/>
        <v>7.2675000000000017E-2</v>
      </c>
      <c r="AZ46">
        <f t="shared" si="21"/>
        <v>7.2675000000000017E-2</v>
      </c>
      <c r="BA46" s="6"/>
    </row>
    <row r="47" spans="1:53" x14ac:dyDescent="0.2">
      <c r="A47">
        <f t="shared" si="6"/>
        <v>18</v>
      </c>
      <c r="B47" s="3">
        <f t="shared" ref="B47:B65" si="22">Smin+dS*A47</f>
        <v>36</v>
      </c>
      <c r="C47">
        <f t="shared" si="17"/>
        <v>6.5250000000000016E-2</v>
      </c>
      <c r="D47">
        <f t="shared" si="17"/>
        <v>6.5250000000000016E-2</v>
      </c>
      <c r="E47">
        <f t="shared" si="17"/>
        <v>6.5250000000000016E-2</v>
      </c>
      <c r="F47">
        <f t="shared" si="17"/>
        <v>6.5250000000000016E-2</v>
      </c>
      <c r="G47">
        <f t="shared" si="17"/>
        <v>6.5250000000000016E-2</v>
      </c>
      <c r="H47">
        <f t="shared" si="17"/>
        <v>6.5250000000000016E-2</v>
      </c>
      <c r="I47">
        <f t="shared" si="17"/>
        <v>6.5250000000000016E-2</v>
      </c>
      <c r="J47">
        <f t="shared" si="17"/>
        <v>6.5250000000000016E-2</v>
      </c>
      <c r="K47">
        <f t="shared" si="17"/>
        <v>6.5250000000000016E-2</v>
      </c>
      <c r="L47">
        <f t="shared" si="17"/>
        <v>6.5250000000000016E-2</v>
      </c>
      <c r="M47">
        <f t="shared" si="18"/>
        <v>6.5250000000000016E-2</v>
      </c>
      <c r="N47">
        <f t="shared" si="18"/>
        <v>6.5250000000000016E-2</v>
      </c>
      <c r="O47">
        <f t="shared" si="18"/>
        <v>6.5250000000000016E-2</v>
      </c>
      <c r="P47">
        <f t="shared" si="18"/>
        <v>6.5250000000000016E-2</v>
      </c>
      <c r="Q47">
        <f t="shared" si="18"/>
        <v>6.5250000000000016E-2</v>
      </c>
      <c r="R47">
        <f t="shared" si="18"/>
        <v>6.5250000000000016E-2</v>
      </c>
      <c r="S47">
        <f t="shared" si="18"/>
        <v>6.5250000000000016E-2</v>
      </c>
      <c r="T47">
        <f t="shared" si="18"/>
        <v>6.5250000000000016E-2</v>
      </c>
      <c r="U47">
        <f t="shared" si="18"/>
        <v>6.5250000000000016E-2</v>
      </c>
      <c r="V47">
        <f t="shared" si="18"/>
        <v>6.5250000000000016E-2</v>
      </c>
      <c r="W47">
        <f t="shared" si="19"/>
        <v>6.5250000000000016E-2</v>
      </c>
      <c r="X47">
        <f t="shared" si="19"/>
        <v>6.5250000000000016E-2</v>
      </c>
      <c r="Y47">
        <f t="shared" si="19"/>
        <v>6.5250000000000016E-2</v>
      </c>
      <c r="Z47">
        <f t="shared" si="19"/>
        <v>6.5250000000000016E-2</v>
      </c>
      <c r="AA47">
        <f t="shared" si="19"/>
        <v>6.5250000000000016E-2</v>
      </c>
      <c r="AB47">
        <f t="shared" si="19"/>
        <v>6.5250000000000016E-2</v>
      </c>
      <c r="AC47">
        <f t="shared" si="19"/>
        <v>6.5250000000000016E-2</v>
      </c>
      <c r="AD47">
        <f t="shared" si="19"/>
        <v>6.5250000000000016E-2</v>
      </c>
      <c r="AE47">
        <f t="shared" si="19"/>
        <v>6.5250000000000016E-2</v>
      </c>
      <c r="AF47">
        <f t="shared" si="19"/>
        <v>6.5250000000000016E-2</v>
      </c>
      <c r="AG47">
        <f t="shared" si="20"/>
        <v>6.5250000000000016E-2</v>
      </c>
      <c r="AH47">
        <f t="shared" si="20"/>
        <v>6.5250000000000016E-2</v>
      </c>
      <c r="AI47">
        <f t="shared" si="20"/>
        <v>6.5250000000000016E-2</v>
      </c>
      <c r="AJ47">
        <f t="shared" si="20"/>
        <v>6.5250000000000016E-2</v>
      </c>
      <c r="AK47">
        <f t="shared" si="20"/>
        <v>6.5250000000000016E-2</v>
      </c>
      <c r="AL47">
        <f t="shared" si="20"/>
        <v>6.5250000000000016E-2</v>
      </c>
      <c r="AM47">
        <f t="shared" si="20"/>
        <v>6.5250000000000016E-2</v>
      </c>
      <c r="AN47">
        <f t="shared" si="20"/>
        <v>6.5250000000000016E-2</v>
      </c>
      <c r="AO47">
        <f t="shared" si="20"/>
        <v>6.5250000000000016E-2</v>
      </c>
      <c r="AP47">
        <f t="shared" si="20"/>
        <v>6.5250000000000016E-2</v>
      </c>
      <c r="AQ47">
        <f t="shared" si="21"/>
        <v>6.5250000000000016E-2</v>
      </c>
      <c r="AR47">
        <f t="shared" si="21"/>
        <v>6.5250000000000016E-2</v>
      </c>
      <c r="AS47">
        <f t="shared" si="21"/>
        <v>6.5250000000000016E-2</v>
      </c>
      <c r="AT47">
        <f t="shared" si="21"/>
        <v>6.5250000000000016E-2</v>
      </c>
      <c r="AU47">
        <f t="shared" si="21"/>
        <v>6.5250000000000016E-2</v>
      </c>
      <c r="AV47">
        <f t="shared" si="21"/>
        <v>6.5250000000000016E-2</v>
      </c>
      <c r="AW47">
        <f t="shared" si="21"/>
        <v>6.5250000000000016E-2</v>
      </c>
      <c r="AX47">
        <f t="shared" si="21"/>
        <v>6.5250000000000016E-2</v>
      </c>
      <c r="AY47">
        <f t="shared" si="21"/>
        <v>6.5250000000000016E-2</v>
      </c>
      <c r="AZ47">
        <f t="shared" si="21"/>
        <v>6.5250000000000016E-2</v>
      </c>
      <c r="BA47" s="6"/>
    </row>
    <row r="48" spans="1:53" x14ac:dyDescent="0.2">
      <c r="A48">
        <f t="shared" si="6"/>
        <v>17</v>
      </c>
      <c r="B48" s="3">
        <f t="shared" si="22"/>
        <v>34</v>
      </c>
      <c r="C48">
        <f t="shared" si="17"/>
        <v>5.822500000000002E-2</v>
      </c>
      <c r="D48">
        <f t="shared" si="17"/>
        <v>5.822500000000002E-2</v>
      </c>
      <c r="E48">
        <f t="shared" si="17"/>
        <v>5.822500000000002E-2</v>
      </c>
      <c r="F48">
        <f t="shared" si="17"/>
        <v>5.822500000000002E-2</v>
      </c>
      <c r="G48">
        <f t="shared" si="17"/>
        <v>5.822500000000002E-2</v>
      </c>
      <c r="H48">
        <f t="shared" si="17"/>
        <v>5.822500000000002E-2</v>
      </c>
      <c r="I48">
        <f t="shared" si="17"/>
        <v>5.822500000000002E-2</v>
      </c>
      <c r="J48">
        <f t="shared" si="17"/>
        <v>5.822500000000002E-2</v>
      </c>
      <c r="K48">
        <f t="shared" si="17"/>
        <v>5.822500000000002E-2</v>
      </c>
      <c r="L48">
        <f t="shared" si="17"/>
        <v>5.822500000000002E-2</v>
      </c>
      <c r="M48">
        <f t="shared" si="18"/>
        <v>5.822500000000002E-2</v>
      </c>
      <c r="N48">
        <f t="shared" si="18"/>
        <v>5.822500000000002E-2</v>
      </c>
      <c r="O48">
        <f t="shared" si="18"/>
        <v>5.822500000000002E-2</v>
      </c>
      <c r="P48">
        <f t="shared" si="18"/>
        <v>5.822500000000002E-2</v>
      </c>
      <c r="Q48">
        <f t="shared" si="18"/>
        <v>5.822500000000002E-2</v>
      </c>
      <c r="R48">
        <f t="shared" si="18"/>
        <v>5.822500000000002E-2</v>
      </c>
      <c r="S48">
        <f t="shared" si="18"/>
        <v>5.822500000000002E-2</v>
      </c>
      <c r="T48">
        <f t="shared" si="18"/>
        <v>5.822500000000002E-2</v>
      </c>
      <c r="U48">
        <f t="shared" si="18"/>
        <v>5.822500000000002E-2</v>
      </c>
      <c r="V48">
        <f t="shared" si="18"/>
        <v>5.822500000000002E-2</v>
      </c>
      <c r="W48">
        <f t="shared" si="19"/>
        <v>5.822500000000002E-2</v>
      </c>
      <c r="X48">
        <f t="shared" si="19"/>
        <v>5.822500000000002E-2</v>
      </c>
      <c r="Y48">
        <f t="shared" si="19"/>
        <v>5.822500000000002E-2</v>
      </c>
      <c r="Z48">
        <f t="shared" si="19"/>
        <v>5.822500000000002E-2</v>
      </c>
      <c r="AA48">
        <f t="shared" si="19"/>
        <v>5.822500000000002E-2</v>
      </c>
      <c r="AB48">
        <f t="shared" si="19"/>
        <v>5.822500000000002E-2</v>
      </c>
      <c r="AC48">
        <f t="shared" si="19"/>
        <v>5.822500000000002E-2</v>
      </c>
      <c r="AD48">
        <f t="shared" si="19"/>
        <v>5.822500000000002E-2</v>
      </c>
      <c r="AE48">
        <f t="shared" si="19"/>
        <v>5.822500000000002E-2</v>
      </c>
      <c r="AF48">
        <f t="shared" si="19"/>
        <v>5.822500000000002E-2</v>
      </c>
      <c r="AG48">
        <f t="shared" si="20"/>
        <v>5.822500000000002E-2</v>
      </c>
      <c r="AH48">
        <f t="shared" si="20"/>
        <v>5.822500000000002E-2</v>
      </c>
      <c r="AI48">
        <f t="shared" si="20"/>
        <v>5.822500000000002E-2</v>
      </c>
      <c r="AJ48">
        <f t="shared" si="20"/>
        <v>5.822500000000002E-2</v>
      </c>
      <c r="AK48">
        <f t="shared" si="20"/>
        <v>5.822500000000002E-2</v>
      </c>
      <c r="AL48">
        <f t="shared" si="20"/>
        <v>5.822500000000002E-2</v>
      </c>
      <c r="AM48">
        <f t="shared" si="20"/>
        <v>5.822500000000002E-2</v>
      </c>
      <c r="AN48">
        <f t="shared" si="20"/>
        <v>5.822500000000002E-2</v>
      </c>
      <c r="AO48">
        <f t="shared" si="20"/>
        <v>5.822500000000002E-2</v>
      </c>
      <c r="AP48">
        <f t="shared" si="20"/>
        <v>5.822500000000002E-2</v>
      </c>
      <c r="AQ48">
        <f t="shared" si="21"/>
        <v>5.822500000000002E-2</v>
      </c>
      <c r="AR48">
        <f t="shared" si="21"/>
        <v>5.822500000000002E-2</v>
      </c>
      <c r="AS48">
        <f t="shared" si="21"/>
        <v>5.822500000000002E-2</v>
      </c>
      <c r="AT48">
        <f t="shared" si="21"/>
        <v>5.822500000000002E-2</v>
      </c>
      <c r="AU48">
        <f t="shared" si="21"/>
        <v>5.822500000000002E-2</v>
      </c>
      <c r="AV48">
        <f t="shared" si="21"/>
        <v>5.822500000000002E-2</v>
      </c>
      <c r="AW48">
        <f t="shared" si="21"/>
        <v>5.822500000000002E-2</v>
      </c>
      <c r="AX48">
        <f t="shared" si="21"/>
        <v>5.822500000000002E-2</v>
      </c>
      <c r="AY48">
        <f t="shared" si="21"/>
        <v>5.822500000000002E-2</v>
      </c>
      <c r="AZ48">
        <f t="shared" si="21"/>
        <v>5.822500000000002E-2</v>
      </c>
      <c r="BA48" s="6"/>
    </row>
    <row r="49" spans="1:53" x14ac:dyDescent="0.2">
      <c r="A49">
        <f t="shared" si="6"/>
        <v>16</v>
      </c>
      <c r="B49" s="3">
        <f t="shared" si="22"/>
        <v>32</v>
      </c>
      <c r="C49">
        <f t="shared" si="17"/>
        <v>5.1600000000000014E-2</v>
      </c>
      <c r="D49">
        <f t="shared" si="17"/>
        <v>5.1600000000000014E-2</v>
      </c>
      <c r="E49">
        <f t="shared" si="17"/>
        <v>5.1600000000000014E-2</v>
      </c>
      <c r="F49">
        <f t="shared" si="17"/>
        <v>5.1600000000000014E-2</v>
      </c>
      <c r="G49">
        <f t="shared" si="17"/>
        <v>5.1600000000000014E-2</v>
      </c>
      <c r="H49">
        <f t="shared" si="17"/>
        <v>5.1600000000000014E-2</v>
      </c>
      <c r="I49">
        <f t="shared" si="17"/>
        <v>5.1600000000000014E-2</v>
      </c>
      <c r="J49">
        <f t="shared" si="17"/>
        <v>5.1600000000000014E-2</v>
      </c>
      <c r="K49">
        <f t="shared" si="17"/>
        <v>5.1600000000000014E-2</v>
      </c>
      <c r="L49">
        <f t="shared" si="17"/>
        <v>5.1600000000000014E-2</v>
      </c>
      <c r="M49">
        <f t="shared" si="18"/>
        <v>5.1600000000000014E-2</v>
      </c>
      <c r="N49">
        <f t="shared" si="18"/>
        <v>5.1600000000000014E-2</v>
      </c>
      <c r="O49">
        <f t="shared" si="18"/>
        <v>5.1600000000000014E-2</v>
      </c>
      <c r="P49">
        <f t="shared" si="18"/>
        <v>5.1600000000000014E-2</v>
      </c>
      <c r="Q49">
        <f t="shared" si="18"/>
        <v>5.1600000000000014E-2</v>
      </c>
      <c r="R49">
        <f t="shared" si="18"/>
        <v>5.1600000000000014E-2</v>
      </c>
      <c r="S49">
        <f t="shared" si="18"/>
        <v>5.1600000000000014E-2</v>
      </c>
      <c r="T49">
        <f t="shared" si="18"/>
        <v>5.1600000000000014E-2</v>
      </c>
      <c r="U49">
        <f t="shared" si="18"/>
        <v>5.1600000000000014E-2</v>
      </c>
      <c r="V49">
        <f t="shared" si="18"/>
        <v>5.1600000000000014E-2</v>
      </c>
      <c r="W49">
        <f t="shared" si="19"/>
        <v>5.1600000000000014E-2</v>
      </c>
      <c r="X49">
        <f t="shared" si="19"/>
        <v>5.1600000000000014E-2</v>
      </c>
      <c r="Y49">
        <f t="shared" si="19"/>
        <v>5.1600000000000014E-2</v>
      </c>
      <c r="Z49">
        <f t="shared" si="19"/>
        <v>5.1600000000000014E-2</v>
      </c>
      <c r="AA49">
        <f t="shared" si="19"/>
        <v>5.1600000000000014E-2</v>
      </c>
      <c r="AB49">
        <f t="shared" si="19"/>
        <v>5.1600000000000014E-2</v>
      </c>
      <c r="AC49">
        <f t="shared" si="19"/>
        <v>5.1600000000000014E-2</v>
      </c>
      <c r="AD49">
        <f t="shared" si="19"/>
        <v>5.1600000000000014E-2</v>
      </c>
      <c r="AE49">
        <f t="shared" si="19"/>
        <v>5.1600000000000014E-2</v>
      </c>
      <c r="AF49">
        <f t="shared" si="19"/>
        <v>5.1600000000000014E-2</v>
      </c>
      <c r="AG49">
        <f t="shared" si="20"/>
        <v>5.1600000000000014E-2</v>
      </c>
      <c r="AH49">
        <f t="shared" si="20"/>
        <v>5.1600000000000014E-2</v>
      </c>
      <c r="AI49">
        <f t="shared" si="20"/>
        <v>5.1600000000000014E-2</v>
      </c>
      <c r="AJ49">
        <f t="shared" si="20"/>
        <v>5.1600000000000014E-2</v>
      </c>
      <c r="AK49">
        <f t="shared" si="20"/>
        <v>5.1600000000000014E-2</v>
      </c>
      <c r="AL49">
        <f t="shared" si="20"/>
        <v>5.1600000000000014E-2</v>
      </c>
      <c r="AM49">
        <f t="shared" si="20"/>
        <v>5.1600000000000014E-2</v>
      </c>
      <c r="AN49">
        <f t="shared" si="20"/>
        <v>5.1600000000000014E-2</v>
      </c>
      <c r="AO49">
        <f t="shared" si="20"/>
        <v>5.1600000000000014E-2</v>
      </c>
      <c r="AP49">
        <f t="shared" si="20"/>
        <v>5.1600000000000014E-2</v>
      </c>
      <c r="AQ49">
        <f t="shared" si="21"/>
        <v>5.1600000000000014E-2</v>
      </c>
      <c r="AR49">
        <f t="shared" si="21"/>
        <v>5.1600000000000014E-2</v>
      </c>
      <c r="AS49">
        <f t="shared" si="21"/>
        <v>5.1600000000000014E-2</v>
      </c>
      <c r="AT49">
        <f t="shared" si="21"/>
        <v>5.1600000000000014E-2</v>
      </c>
      <c r="AU49">
        <f t="shared" si="21"/>
        <v>5.1600000000000014E-2</v>
      </c>
      <c r="AV49">
        <f t="shared" si="21"/>
        <v>5.1600000000000014E-2</v>
      </c>
      <c r="AW49">
        <f t="shared" si="21"/>
        <v>5.1600000000000014E-2</v>
      </c>
      <c r="AX49">
        <f t="shared" si="21"/>
        <v>5.1600000000000014E-2</v>
      </c>
      <c r="AY49">
        <f t="shared" si="21"/>
        <v>5.1600000000000014E-2</v>
      </c>
      <c r="AZ49">
        <f t="shared" si="21"/>
        <v>5.1600000000000014E-2</v>
      </c>
      <c r="BA49" s="6"/>
    </row>
    <row r="50" spans="1:53" x14ac:dyDescent="0.2">
      <c r="A50">
        <f t="shared" si="6"/>
        <v>15</v>
      </c>
      <c r="B50" s="3">
        <f t="shared" si="22"/>
        <v>30</v>
      </c>
      <c r="C50">
        <f t="shared" si="17"/>
        <v>4.5375000000000006E-2</v>
      </c>
      <c r="D50">
        <f t="shared" si="17"/>
        <v>4.5375000000000006E-2</v>
      </c>
      <c r="E50">
        <f t="shared" si="17"/>
        <v>4.5375000000000006E-2</v>
      </c>
      <c r="F50">
        <f t="shared" si="17"/>
        <v>4.5375000000000006E-2</v>
      </c>
      <c r="G50">
        <f t="shared" si="17"/>
        <v>4.5375000000000006E-2</v>
      </c>
      <c r="H50">
        <f t="shared" si="17"/>
        <v>4.5375000000000006E-2</v>
      </c>
      <c r="I50">
        <f t="shared" si="17"/>
        <v>4.5375000000000006E-2</v>
      </c>
      <c r="J50">
        <f t="shared" si="17"/>
        <v>4.5375000000000006E-2</v>
      </c>
      <c r="K50">
        <f t="shared" si="17"/>
        <v>4.5375000000000006E-2</v>
      </c>
      <c r="L50">
        <f t="shared" si="17"/>
        <v>4.5375000000000006E-2</v>
      </c>
      <c r="M50">
        <f t="shared" si="18"/>
        <v>4.5375000000000006E-2</v>
      </c>
      <c r="N50">
        <f t="shared" si="18"/>
        <v>4.5375000000000006E-2</v>
      </c>
      <c r="O50">
        <f t="shared" si="18"/>
        <v>4.5375000000000006E-2</v>
      </c>
      <c r="P50">
        <f t="shared" si="18"/>
        <v>4.5375000000000006E-2</v>
      </c>
      <c r="Q50">
        <f t="shared" si="18"/>
        <v>4.5375000000000006E-2</v>
      </c>
      <c r="R50">
        <f t="shared" si="18"/>
        <v>4.5375000000000006E-2</v>
      </c>
      <c r="S50">
        <f t="shared" si="18"/>
        <v>4.5375000000000006E-2</v>
      </c>
      <c r="T50">
        <f t="shared" si="18"/>
        <v>4.5375000000000006E-2</v>
      </c>
      <c r="U50">
        <f t="shared" si="18"/>
        <v>4.5375000000000006E-2</v>
      </c>
      <c r="V50">
        <f t="shared" si="18"/>
        <v>4.5375000000000006E-2</v>
      </c>
      <c r="W50">
        <f t="shared" si="19"/>
        <v>4.5375000000000006E-2</v>
      </c>
      <c r="X50">
        <f t="shared" si="19"/>
        <v>4.5375000000000006E-2</v>
      </c>
      <c r="Y50">
        <f t="shared" si="19"/>
        <v>4.5375000000000006E-2</v>
      </c>
      <c r="Z50">
        <f t="shared" si="19"/>
        <v>4.5375000000000006E-2</v>
      </c>
      <c r="AA50">
        <f t="shared" si="19"/>
        <v>4.5375000000000006E-2</v>
      </c>
      <c r="AB50">
        <f t="shared" si="19"/>
        <v>4.5375000000000006E-2</v>
      </c>
      <c r="AC50">
        <f t="shared" si="19"/>
        <v>4.5375000000000006E-2</v>
      </c>
      <c r="AD50">
        <f t="shared" si="19"/>
        <v>4.5375000000000006E-2</v>
      </c>
      <c r="AE50">
        <f t="shared" si="19"/>
        <v>4.5375000000000006E-2</v>
      </c>
      <c r="AF50">
        <f t="shared" si="19"/>
        <v>4.5375000000000006E-2</v>
      </c>
      <c r="AG50">
        <f t="shared" si="20"/>
        <v>4.5375000000000006E-2</v>
      </c>
      <c r="AH50">
        <f t="shared" si="20"/>
        <v>4.5375000000000006E-2</v>
      </c>
      <c r="AI50">
        <f t="shared" si="20"/>
        <v>4.5375000000000006E-2</v>
      </c>
      <c r="AJ50">
        <f t="shared" si="20"/>
        <v>4.5375000000000006E-2</v>
      </c>
      <c r="AK50">
        <f t="shared" si="20"/>
        <v>4.5375000000000006E-2</v>
      </c>
      <c r="AL50">
        <f t="shared" si="20"/>
        <v>4.5375000000000006E-2</v>
      </c>
      <c r="AM50">
        <f t="shared" si="20"/>
        <v>4.5375000000000006E-2</v>
      </c>
      <c r="AN50">
        <f t="shared" si="20"/>
        <v>4.5375000000000006E-2</v>
      </c>
      <c r="AO50">
        <f t="shared" si="20"/>
        <v>4.5375000000000006E-2</v>
      </c>
      <c r="AP50">
        <f t="shared" si="20"/>
        <v>4.5375000000000006E-2</v>
      </c>
      <c r="AQ50">
        <f t="shared" si="21"/>
        <v>4.5375000000000006E-2</v>
      </c>
      <c r="AR50">
        <f t="shared" si="21"/>
        <v>4.5375000000000006E-2</v>
      </c>
      <c r="AS50">
        <f t="shared" si="21"/>
        <v>4.5375000000000006E-2</v>
      </c>
      <c r="AT50">
        <f t="shared" si="21"/>
        <v>4.5375000000000006E-2</v>
      </c>
      <c r="AU50">
        <f t="shared" si="21"/>
        <v>4.5375000000000006E-2</v>
      </c>
      <c r="AV50">
        <f t="shared" si="21"/>
        <v>4.5375000000000006E-2</v>
      </c>
      <c r="AW50">
        <f t="shared" si="21"/>
        <v>4.5375000000000006E-2</v>
      </c>
      <c r="AX50">
        <f t="shared" si="21"/>
        <v>4.5375000000000006E-2</v>
      </c>
      <c r="AY50">
        <f t="shared" si="21"/>
        <v>4.5375000000000006E-2</v>
      </c>
      <c r="AZ50">
        <f t="shared" si="21"/>
        <v>4.5375000000000006E-2</v>
      </c>
      <c r="BA50" s="6"/>
    </row>
    <row r="51" spans="1:53" x14ac:dyDescent="0.2">
      <c r="A51">
        <f t="shared" si="6"/>
        <v>14</v>
      </c>
      <c r="B51" s="3">
        <f t="shared" si="22"/>
        <v>28</v>
      </c>
      <c r="C51">
        <f t="shared" si="17"/>
        <v>3.9550000000000009E-2</v>
      </c>
      <c r="D51">
        <f t="shared" si="17"/>
        <v>3.9550000000000009E-2</v>
      </c>
      <c r="E51">
        <f t="shared" si="17"/>
        <v>3.9550000000000009E-2</v>
      </c>
      <c r="F51">
        <f t="shared" si="17"/>
        <v>3.9550000000000009E-2</v>
      </c>
      <c r="G51">
        <f t="shared" si="17"/>
        <v>3.9550000000000009E-2</v>
      </c>
      <c r="H51">
        <f t="shared" si="17"/>
        <v>3.9550000000000009E-2</v>
      </c>
      <c r="I51">
        <f t="shared" si="17"/>
        <v>3.9550000000000009E-2</v>
      </c>
      <c r="J51">
        <f t="shared" si="17"/>
        <v>3.9550000000000009E-2</v>
      </c>
      <c r="K51">
        <f t="shared" si="17"/>
        <v>3.9550000000000009E-2</v>
      </c>
      <c r="L51">
        <f t="shared" si="17"/>
        <v>3.9550000000000009E-2</v>
      </c>
      <c r="M51">
        <f t="shared" si="18"/>
        <v>3.9550000000000009E-2</v>
      </c>
      <c r="N51">
        <f t="shared" si="18"/>
        <v>3.9550000000000009E-2</v>
      </c>
      <c r="O51">
        <f t="shared" si="18"/>
        <v>3.9550000000000009E-2</v>
      </c>
      <c r="P51">
        <f t="shared" si="18"/>
        <v>3.9550000000000009E-2</v>
      </c>
      <c r="Q51">
        <f t="shared" si="18"/>
        <v>3.9550000000000009E-2</v>
      </c>
      <c r="R51">
        <f t="shared" si="18"/>
        <v>3.9550000000000009E-2</v>
      </c>
      <c r="S51">
        <f t="shared" si="18"/>
        <v>3.9550000000000009E-2</v>
      </c>
      <c r="T51">
        <f t="shared" si="18"/>
        <v>3.9550000000000009E-2</v>
      </c>
      <c r="U51">
        <f t="shared" si="18"/>
        <v>3.9550000000000009E-2</v>
      </c>
      <c r="V51">
        <f t="shared" si="18"/>
        <v>3.9550000000000009E-2</v>
      </c>
      <c r="W51">
        <f t="shared" si="19"/>
        <v>3.9550000000000009E-2</v>
      </c>
      <c r="X51">
        <f t="shared" si="19"/>
        <v>3.9550000000000009E-2</v>
      </c>
      <c r="Y51">
        <f t="shared" si="19"/>
        <v>3.9550000000000009E-2</v>
      </c>
      <c r="Z51">
        <f t="shared" si="19"/>
        <v>3.9550000000000009E-2</v>
      </c>
      <c r="AA51">
        <f t="shared" si="19"/>
        <v>3.9550000000000009E-2</v>
      </c>
      <c r="AB51">
        <f t="shared" si="19"/>
        <v>3.9550000000000009E-2</v>
      </c>
      <c r="AC51">
        <f t="shared" si="19"/>
        <v>3.9550000000000009E-2</v>
      </c>
      <c r="AD51">
        <f t="shared" si="19"/>
        <v>3.9550000000000009E-2</v>
      </c>
      <c r="AE51">
        <f t="shared" si="19"/>
        <v>3.9550000000000009E-2</v>
      </c>
      <c r="AF51">
        <f t="shared" si="19"/>
        <v>3.9550000000000009E-2</v>
      </c>
      <c r="AG51">
        <f t="shared" si="20"/>
        <v>3.9550000000000009E-2</v>
      </c>
      <c r="AH51">
        <f t="shared" si="20"/>
        <v>3.9550000000000009E-2</v>
      </c>
      <c r="AI51">
        <f t="shared" si="20"/>
        <v>3.9550000000000009E-2</v>
      </c>
      <c r="AJ51">
        <f t="shared" si="20"/>
        <v>3.9550000000000009E-2</v>
      </c>
      <c r="AK51">
        <f t="shared" si="20"/>
        <v>3.9550000000000009E-2</v>
      </c>
      <c r="AL51">
        <f t="shared" si="20"/>
        <v>3.9550000000000009E-2</v>
      </c>
      <c r="AM51">
        <f t="shared" si="20"/>
        <v>3.9550000000000009E-2</v>
      </c>
      <c r="AN51">
        <f t="shared" si="20"/>
        <v>3.9550000000000009E-2</v>
      </c>
      <c r="AO51">
        <f t="shared" si="20"/>
        <v>3.9550000000000009E-2</v>
      </c>
      <c r="AP51">
        <f t="shared" si="20"/>
        <v>3.9550000000000009E-2</v>
      </c>
      <c r="AQ51">
        <f t="shared" si="21"/>
        <v>3.9550000000000009E-2</v>
      </c>
      <c r="AR51">
        <f t="shared" si="21"/>
        <v>3.9550000000000009E-2</v>
      </c>
      <c r="AS51">
        <f t="shared" si="21"/>
        <v>3.9550000000000009E-2</v>
      </c>
      <c r="AT51">
        <f t="shared" si="21"/>
        <v>3.9550000000000009E-2</v>
      </c>
      <c r="AU51">
        <f t="shared" si="21"/>
        <v>3.9550000000000009E-2</v>
      </c>
      <c r="AV51">
        <f t="shared" si="21"/>
        <v>3.9550000000000009E-2</v>
      </c>
      <c r="AW51">
        <f t="shared" si="21"/>
        <v>3.9550000000000009E-2</v>
      </c>
      <c r="AX51">
        <f t="shared" si="21"/>
        <v>3.9550000000000009E-2</v>
      </c>
      <c r="AY51">
        <f t="shared" si="21"/>
        <v>3.9550000000000009E-2</v>
      </c>
      <c r="AZ51">
        <f t="shared" si="21"/>
        <v>3.9550000000000009E-2</v>
      </c>
      <c r="BA51" s="6"/>
    </row>
    <row r="52" spans="1:53" x14ac:dyDescent="0.2">
      <c r="A52">
        <f t="shared" si="6"/>
        <v>13</v>
      </c>
      <c r="B52" s="3">
        <f t="shared" si="22"/>
        <v>26</v>
      </c>
      <c r="C52">
        <f t="shared" si="17"/>
        <v>3.4125000000000009E-2</v>
      </c>
      <c r="D52">
        <f t="shared" si="17"/>
        <v>3.4125000000000009E-2</v>
      </c>
      <c r="E52">
        <f t="shared" si="17"/>
        <v>3.4125000000000009E-2</v>
      </c>
      <c r="F52">
        <f t="shared" si="17"/>
        <v>3.4125000000000009E-2</v>
      </c>
      <c r="G52">
        <f t="shared" si="17"/>
        <v>3.4125000000000009E-2</v>
      </c>
      <c r="H52">
        <f t="shared" si="17"/>
        <v>3.4125000000000009E-2</v>
      </c>
      <c r="I52">
        <f t="shared" si="17"/>
        <v>3.4125000000000009E-2</v>
      </c>
      <c r="J52">
        <f t="shared" si="17"/>
        <v>3.4125000000000009E-2</v>
      </c>
      <c r="K52">
        <f t="shared" si="17"/>
        <v>3.4125000000000009E-2</v>
      </c>
      <c r="L52">
        <f t="shared" si="17"/>
        <v>3.4125000000000009E-2</v>
      </c>
      <c r="M52">
        <f t="shared" si="18"/>
        <v>3.4125000000000009E-2</v>
      </c>
      <c r="N52">
        <f t="shared" si="18"/>
        <v>3.4125000000000009E-2</v>
      </c>
      <c r="O52">
        <f t="shared" si="18"/>
        <v>3.4125000000000009E-2</v>
      </c>
      <c r="P52">
        <f t="shared" si="18"/>
        <v>3.4125000000000009E-2</v>
      </c>
      <c r="Q52">
        <f t="shared" si="18"/>
        <v>3.4125000000000009E-2</v>
      </c>
      <c r="R52">
        <f t="shared" si="18"/>
        <v>3.4125000000000009E-2</v>
      </c>
      <c r="S52">
        <f t="shared" si="18"/>
        <v>3.4125000000000009E-2</v>
      </c>
      <c r="T52">
        <f t="shared" si="18"/>
        <v>3.4125000000000009E-2</v>
      </c>
      <c r="U52">
        <f t="shared" si="18"/>
        <v>3.4125000000000009E-2</v>
      </c>
      <c r="V52">
        <f t="shared" si="18"/>
        <v>3.4125000000000009E-2</v>
      </c>
      <c r="W52">
        <f t="shared" si="19"/>
        <v>3.4125000000000009E-2</v>
      </c>
      <c r="X52">
        <f t="shared" si="19"/>
        <v>3.4125000000000009E-2</v>
      </c>
      <c r="Y52">
        <f t="shared" si="19"/>
        <v>3.4125000000000009E-2</v>
      </c>
      <c r="Z52">
        <f t="shared" si="19"/>
        <v>3.4125000000000009E-2</v>
      </c>
      <c r="AA52">
        <f t="shared" si="19"/>
        <v>3.4125000000000009E-2</v>
      </c>
      <c r="AB52">
        <f t="shared" si="19"/>
        <v>3.4125000000000009E-2</v>
      </c>
      <c r="AC52">
        <f t="shared" si="19"/>
        <v>3.4125000000000009E-2</v>
      </c>
      <c r="AD52">
        <f t="shared" si="19"/>
        <v>3.4125000000000009E-2</v>
      </c>
      <c r="AE52">
        <f t="shared" si="19"/>
        <v>3.4125000000000009E-2</v>
      </c>
      <c r="AF52">
        <f t="shared" si="19"/>
        <v>3.4125000000000009E-2</v>
      </c>
      <c r="AG52">
        <f t="shared" si="20"/>
        <v>3.4125000000000009E-2</v>
      </c>
      <c r="AH52">
        <f t="shared" si="20"/>
        <v>3.4125000000000009E-2</v>
      </c>
      <c r="AI52">
        <f t="shared" si="20"/>
        <v>3.4125000000000009E-2</v>
      </c>
      <c r="AJ52">
        <f t="shared" si="20"/>
        <v>3.4125000000000009E-2</v>
      </c>
      <c r="AK52">
        <f t="shared" si="20"/>
        <v>3.4125000000000009E-2</v>
      </c>
      <c r="AL52">
        <f t="shared" si="20"/>
        <v>3.4125000000000009E-2</v>
      </c>
      <c r="AM52">
        <f t="shared" si="20"/>
        <v>3.4125000000000009E-2</v>
      </c>
      <c r="AN52">
        <f t="shared" si="20"/>
        <v>3.4125000000000009E-2</v>
      </c>
      <c r="AO52">
        <f t="shared" si="20"/>
        <v>3.4125000000000009E-2</v>
      </c>
      <c r="AP52">
        <f t="shared" si="20"/>
        <v>3.4125000000000009E-2</v>
      </c>
      <c r="AQ52">
        <f t="shared" si="21"/>
        <v>3.4125000000000009E-2</v>
      </c>
      <c r="AR52">
        <f t="shared" si="21"/>
        <v>3.4125000000000009E-2</v>
      </c>
      <c r="AS52">
        <f t="shared" si="21"/>
        <v>3.4125000000000009E-2</v>
      </c>
      <c r="AT52">
        <f t="shared" si="21"/>
        <v>3.4125000000000009E-2</v>
      </c>
      <c r="AU52">
        <f t="shared" si="21"/>
        <v>3.4125000000000009E-2</v>
      </c>
      <c r="AV52">
        <f t="shared" si="21"/>
        <v>3.4125000000000009E-2</v>
      </c>
      <c r="AW52">
        <f t="shared" si="21"/>
        <v>3.4125000000000009E-2</v>
      </c>
      <c r="AX52">
        <f t="shared" si="21"/>
        <v>3.4125000000000009E-2</v>
      </c>
      <c r="AY52">
        <f t="shared" si="21"/>
        <v>3.4125000000000009E-2</v>
      </c>
      <c r="AZ52">
        <f t="shared" si="21"/>
        <v>3.4125000000000009E-2</v>
      </c>
      <c r="BA52" s="6"/>
    </row>
    <row r="53" spans="1:53" x14ac:dyDescent="0.2">
      <c r="A53">
        <f t="shared" si="6"/>
        <v>12</v>
      </c>
      <c r="B53" s="3">
        <f t="shared" si="22"/>
        <v>24</v>
      </c>
      <c r="C53">
        <f t="shared" si="17"/>
        <v>2.9100000000000008E-2</v>
      </c>
      <c r="D53">
        <f t="shared" si="17"/>
        <v>2.9100000000000008E-2</v>
      </c>
      <c r="E53">
        <f t="shared" si="17"/>
        <v>2.9100000000000008E-2</v>
      </c>
      <c r="F53">
        <f t="shared" si="17"/>
        <v>2.9100000000000008E-2</v>
      </c>
      <c r="G53">
        <f t="shared" si="17"/>
        <v>2.9100000000000008E-2</v>
      </c>
      <c r="H53">
        <f t="shared" si="17"/>
        <v>2.9100000000000008E-2</v>
      </c>
      <c r="I53">
        <f t="shared" si="17"/>
        <v>2.9100000000000008E-2</v>
      </c>
      <c r="J53">
        <f t="shared" si="17"/>
        <v>2.9100000000000008E-2</v>
      </c>
      <c r="K53">
        <f t="shared" si="17"/>
        <v>2.9100000000000008E-2</v>
      </c>
      <c r="L53">
        <f t="shared" si="17"/>
        <v>2.9100000000000008E-2</v>
      </c>
      <c r="M53">
        <f t="shared" si="18"/>
        <v>2.9100000000000008E-2</v>
      </c>
      <c r="N53">
        <f t="shared" si="18"/>
        <v>2.9100000000000008E-2</v>
      </c>
      <c r="O53">
        <f t="shared" si="18"/>
        <v>2.9100000000000008E-2</v>
      </c>
      <c r="P53">
        <f t="shared" si="18"/>
        <v>2.9100000000000008E-2</v>
      </c>
      <c r="Q53">
        <f t="shared" si="18"/>
        <v>2.9100000000000008E-2</v>
      </c>
      <c r="R53">
        <f t="shared" si="18"/>
        <v>2.9100000000000008E-2</v>
      </c>
      <c r="S53">
        <f t="shared" si="18"/>
        <v>2.9100000000000008E-2</v>
      </c>
      <c r="T53">
        <f t="shared" si="18"/>
        <v>2.9100000000000008E-2</v>
      </c>
      <c r="U53">
        <f t="shared" si="18"/>
        <v>2.9100000000000008E-2</v>
      </c>
      <c r="V53">
        <f t="shared" si="18"/>
        <v>2.9100000000000008E-2</v>
      </c>
      <c r="W53">
        <f t="shared" si="19"/>
        <v>2.9100000000000008E-2</v>
      </c>
      <c r="X53">
        <f t="shared" si="19"/>
        <v>2.9100000000000008E-2</v>
      </c>
      <c r="Y53">
        <f t="shared" si="19"/>
        <v>2.9100000000000008E-2</v>
      </c>
      <c r="Z53">
        <f t="shared" si="19"/>
        <v>2.9100000000000008E-2</v>
      </c>
      <c r="AA53">
        <f t="shared" si="19"/>
        <v>2.9100000000000008E-2</v>
      </c>
      <c r="AB53">
        <f t="shared" si="19"/>
        <v>2.9100000000000008E-2</v>
      </c>
      <c r="AC53">
        <f t="shared" si="19"/>
        <v>2.9100000000000008E-2</v>
      </c>
      <c r="AD53">
        <f t="shared" si="19"/>
        <v>2.9100000000000008E-2</v>
      </c>
      <c r="AE53">
        <f t="shared" si="19"/>
        <v>2.9100000000000008E-2</v>
      </c>
      <c r="AF53">
        <f t="shared" si="19"/>
        <v>2.9100000000000008E-2</v>
      </c>
      <c r="AG53">
        <f t="shared" si="20"/>
        <v>2.9100000000000008E-2</v>
      </c>
      <c r="AH53">
        <f t="shared" si="20"/>
        <v>2.9100000000000008E-2</v>
      </c>
      <c r="AI53">
        <f t="shared" si="20"/>
        <v>2.9100000000000008E-2</v>
      </c>
      <c r="AJ53">
        <f t="shared" si="20"/>
        <v>2.9100000000000008E-2</v>
      </c>
      <c r="AK53">
        <f t="shared" si="20"/>
        <v>2.9100000000000008E-2</v>
      </c>
      <c r="AL53">
        <f t="shared" si="20"/>
        <v>2.9100000000000008E-2</v>
      </c>
      <c r="AM53">
        <f t="shared" si="20"/>
        <v>2.9100000000000008E-2</v>
      </c>
      <c r="AN53">
        <f t="shared" si="20"/>
        <v>2.9100000000000008E-2</v>
      </c>
      <c r="AO53">
        <f t="shared" si="20"/>
        <v>2.9100000000000008E-2</v>
      </c>
      <c r="AP53">
        <f t="shared" si="20"/>
        <v>2.9100000000000008E-2</v>
      </c>
      <c r="AQ53">
        <f t="shared" si="21"/>
        <v>2.9100000000000008E-2</v>
      </c>
      <c r="AR53">
        <f t="shared" si="21"/>
        <v>2.9100000000000008E-2</v>
      </c>
      <c r="AS53">
        <f t="shared" si="21"/>
        <v>2.9100000000000008E-2</v>
      </c>
      <c r="AT53">
        <f t="shared" si="21"/>
        <v>2.9100000000000008E-2</v>
      </c>
      <c r="AU53">
        <f t="shared" si="21"/>
        <v>2.9100000000000008E-2</v>
      </c>
      <c r="AV53">
        <f t="shared" si="21"/>
        <v>2.9100000000000008E-2</v>
      </c>
      <c r="AW53">
        <f t="shared" si="21"/>
        <v>2.9100000000000008E-2</v>
      </c>
      <c r="AX53">
        <f t="shared" si="21"/>
        <v>2.9100000000000008E-2</v>
      </c>
      <c r="AY53">
        <f t="shared" si="21"/>
        <v>2.9100000000000008E-2</v>
      </c>
      <c r="AZ53">
        <f t="shared" si="21"/>
        <v>2.9100000000000008E-2</v>
      </c>
      <c r="BA53" s="6"/>
    </row>
    <row r="54" spans="1:53" x14ac:dyDescent="0.2">
      <c r="A54">
        <f t="shared" si="6"/>
        <v>11</v>
      </c>
      <c r="B54" s="3">
        <f t="shared" si="22"/>
        <v>22</v>
      </c>
      <c r="C54">
        <f t="shared" si="17"/>
        <v>2.4475000000000004E-2</v>
      </c>
      <c r="D54">
        <f t="shared" si="17"/>
        <v>2.4475000000000004E-2</v>
      </c>
      <c r="E54">
        <f t="shared" si="17"/>
        <v>2.4475000000000004E-2</v>
      </c>
      <c r="F54">
        <f t="shared" si="17"/>
        <v>2.4475000000000004E-2</v>
      </c>
      <c r="G54">
        <f t="shared" si="17"/>
        <v>2.4475000000000004E-2</v>
      </c>
      <c r="H54">
        <f t="shared" si="17"/>
        <v>2.4475000000000004E-2</v>
      </c>
      <c r="I54">
        <f t="shared" si="17"/>
        <v>2.4475000000000004E-2</v>
      </c>
      <c r="J54">
        <f t="shared" si="17"/>
        <v>2.4475000000000004E-2</v>
      </c>
      <c r="K54">
        <f t="shared" si="17"/>
        <v>2.4475000000000004E-2</v>
      </c>
      <c r="L54">
        <f t="shared" si="17"/>
        <v>2.4475000000000004E-2</v>
      </c>
      <c r="M54">
        <f t="shared" si="18"/>
        <v>2.4475000000000004E-2</v>
      </c>
      <c r="N54">
        <f t="shared" si="18"/>
        <v>2.4475000000000004E-2</v>
      </c>
      <c r="O54">
        <f t="shared" si="18"/>
        <v>2.4475000000000004E-2</v>
      </c>
      <c r="P54">
        <f t="shared" si="18"/>
        <v>2.4475000000000004E-2</v>
      </c>
      <c r="Q54">
        <f t="shared" si="18"/>
        <v>2.4475000000000004E-2</v>
      </c>
      <c r="R54">
        <f t="shared" si="18"/>
        <v>2.4475000000000004E-2</v>
      </c>
      <c r="S54">
        <f t="shared" si="18"/>
        <v>2.4475000000000004E-2</v>
      </c>
      <c r="T54">
        <f t="shared" si="18"/>
        <v>2.4475000000000004E-2</v>
      </c>
      <c r="U54">
        <f t="shared" si="18"/>
        <v>2.4475000000000004E-2</v>
      </c>
      <c r="V54">
        <f t="shared" si="18"/>
        <v>2.4475000000000004E-2</v>
      </c>
      <c r="W54">
        <f t="shared" si="19"/>
        <v>2.4475000000000004E-2</v>
      </c>
      <c r="X54">
        <f t="shared" si="19"/>
        <v>2.4475000000000004E-2</v>
      </c>
      <c r="Y54">
        <f t="shared" si="19"/>
        <v>2.4475000000000004E-2</v>
      </c>
      <c r="Z54">
        <f t="shared" si="19"/>
        <v>2.4475000000000004E-2</v>
      </c>
      <c r="AA54">
        <f t="shared" si="19"/>
        <v>2.4475000000000004E-2</v>
      </c>
      <c r="AB54">
        <f t="shared" si="19"/>
        <v>2.4475000000000004E-2</v>
      </c>
      <c r="AC54">
        <f t="shared" si="19"/>
        <v>2.4475000000000004E-2</v>
      </c>
      <c r="AD54">
        <f t="shared" si="19"/>
        <v>2.4475000000000004E-2</v>
      </c>
      <c r="AE54">
        <f t="shared" si="19"/>
        <v>2.4475000000000004E-2</v>
      </c>
      <c r="AF54">
        <f t="shared" si="19"/>
        <v>2.4475000000000004E-2</v>
      </c>
      <c r="AG54">
        <f t="shared" si="20"/>
        <v>2.4475000000000004E-2</v>
      </c>
      <c r="AH54">
        <f t="shared" si="20"/>
        <v>2.4475000000000004E-2</v>
      </c>
      <c r="AI54">
        <f t="shared" si="20"/>
        <v>2.4475000000000004E-2</v>
      </c>
      <c r="AJ54">
        <f t="shared" si="20"/>
        <v>2.4475000000000004E-2</v>
      </c>
      <c r="AK54">
        <f t="shared" si="20"/>
        <v>2.4475000000000004E-2</v>
      </c>
      <c r="AL54">
        <f t="shared" si="20"/>
        <v>2.4475000000000004E-2</v>
      </c>
      <c r="AM54">
        <f t="shared" si="20"/>
        <v>2.4475000000000004E-2</v>
      </c>
      <c r="AN54">
        <f t="shared" si="20"/>
        <v>2.4475000000000004E-2</v>
      </c>
      <c r="AO54">
        <f t="shared" si="20"/>
        <v>2.4475000000000004E-2</v>
      </c>
      <c r="AP54">
        <f t="shared" si="20"/>
        <v>2.4475000000000004E-2</v>
      </c>
      <c r="AQ54">
        <f t="shared" si="21"/>
        <v>2.4475000000000004E-2</v>
      </c>
      <c r="AR54">
        <f t="shared" si="21"/>
        <v>2.4475000000000004E-2</v>
      </c>
      <c r="AS54">
        <f t="shared" si="21"/>
        <v>2.4475000000000004E-2</v>
      </c>
      <c r="AT54">
        <f t="shared" si="21"/>
        <v>2.4475000000000004E-2</v>
      </c>
      <c r="AU54">
        <f t="shared" si="21"/>
        <v>2.4475000000000004E-2</v>
      </c>
      <c r="AV54">
        <f t="shared" si="21"/>
        <v>2.4475000000000004E-2</v>
      </c>
      <c r="AW54">
        <f t="shared" si="21"/>
        <v>2.4475000000000004E-2</v>
      </c>
      <c r="AX54">
        <f t="shared" si="21"/>
        <v>2.4475000000000004E-2</v>
      </c>
      <c r="AY54">
        <f t="shared" si="21"/>
        <v>2.4475000000000004E-2</v>
      </c>
      <c r="AZ54">
        <f t="shared" si="21"/>
        <v>2.4475000000000004E-2</v>
      </c>
      <c r="BA54" s="6"/>
    </row>
    <row r="55" spans="1:53" x14ac:dyDescent="0.2">
      <c r="A55">
        <f t="shared" si="6"/>
        <v>10</v>
      </c>
      <c r="B55" s="3">
        <f t="shared" si="22"/>
        <v>20</v>
      </c>
      <c r="C55">
        <f t="shared" si="17"/>
        <v>2.0250000000000004E-2</v>
      </c>
      <c r="D55">
        <f t="shared" si="17"/>
        <v>2.0250000000000004E-2</v>
      </c>
      <c r="E55">
        <f t="shared" si="17"/>
        <v>2.0250000000000004E-2</v>
      </c>
      <c r="F55">
        <f t="shared" si="17"/>
        <v>2.0250000000000004E-2</v>
      </c>
      <c r="G55">
        <f t="shared" si="17"/>
        <v>2.0250000000000004E-2</v>
      </c>
      <c r="H55">
        <f t="shared" si="17"/>
        <v>2.0250000000000004E-2</v>
      </c>
      <c r="I55">
        <f t="shared" si="17"/>
        <v>2.0250000000000004E-2</v>
      </c>
      <c r="J55">
        <f t="shared" si="17"/>
        <v>2.0250000000000004E-2</v>
      </c>
      <c r="K55">
        <f t="shared" si="17"/>
        <v>2.0250000000000004E-2</v>
      </c>
      <c r="L55">
        <f t="shared" si="17"/>
        <v>2.0250000000000004E-2</v>
      </c>
      <c r="M55">
        <f t="shared" si="18"/>
        <v>2.0250000000000004E-2</v>
      </c>
      <c r="N55">
        <f t="shared" si="18"/>
        <v>2.0250000000000004E-2</v>
      </c>
      <c r="O55">
        <f t="shared" si="18"/>
        <v>2.0250000000000004E-2</v>
      </c>
      <c r="P55">
        <f t="shared" si="18"/>
        <v>2.0250000000000004E-2</v>
      </c>
      <c r="Q55">
        <f t="shared" si="18"/>
        <v>2.0250000000000004E-2</v>
      </c>
      <c r="R55">
        <f t="shared" si="18"/>
        <v>2.0250000000000004E-2</v>
      </c>
      <c r="S55">
        <f t="shared" si="18"/>
        <v>2.0250000000000004E-2</v>
      </c>
      <c r="T55">
        <f t="shared" si="18"/>
        <v>2.0250000000000004E-2</v>
      </c>
      <c r="U55">
        <f t="shared" si="18"/>
        <v>2.0250000000000004E-2</v>
      </c>
      <c r="V55">
        <f t="shared" si="18"/>
        <v>2.0250000000000004E-2</v>
      </c>
      <c r="W55">
        <f t="shared" si="19"/>
        <v>2.0250000000000004E-2</v>
      </c>
      <c r="X55">
        <f t="shared" si="19"/>
        <v>2.0250000000000004E-2</v>
      </c>
      <c r="Y55">
        <f t="shared" si="19"/>
        <v>2.0250000000000004E-2</v>
      </c>
      <c r="Z55">
        <f t="shared" si="19"/>
        <v>2.0250000000000004E-2</v>
      </c>
      <c r="AA55">
        <f t="shared" si="19"/>
        <v>2.0250000000000004E-2</v>
      </c>
      <c r="AB55">
        <f t="shared" si="19"/>
        <v>2.0250000000000004E-2</v>
      </c>
      <c r="AC55">
        <f t="shared" si="19"/>
        <v>2.0250000000000004E-2</v>
      </c>
      <c r="AD55">
        <f t="shared" si="19"/>
        <v>2.0250000000000004E-2</v>
      </c>
      <c r="AE55">
        <f t="shared" si="19"/>
        <v>2.0250000000000004E-2</v>
      </c>
      <c r="AF55">
        <f t="shared" si="19"/>
        <v>2.0250000000000004E-2</v>
      </c>
      <c r="AG55">
        <f t="shared" si="20"/>
        <v>2.0250000000000004E-2</v>
      </c>
      <c r="AH55">
        <f t="shared" si="20"/>
        <v>2.0250000000000004E-2</v>
      </c>
      <c r="AI55">
        <f t="shared" si="20"/>
        <v>2.0250000000000004E-2</v>
      </c>
      <c r="AJ55">
        <f t="shared" si="20"/>
        <v>2.0250000000000004E-2</v>
      </c>
      <c r="AK55">
        <f t="shared" si="20"/>
        <v>2.0250000000000004E-2</v>
      </c>
      <c r="AL55">
        <f t="shared" si="20"/>
        <v>2.0250000000000004E-2</v>
      </c>
      <c r="AM55">
        <f t="shared" si="20"/>
        <v>2.0250000000000004E-2</v>
      </c>
      <c r="AN55">
        <f t="shared" si="20"/>
        <v>2.0250000000000004E-2</v>
      </c>
      <c r="AO55">
        <f t="shared" si="20"/>
        <v>2.0250000000000004E-2</v>
      </c>
      <c r="AP55">
        <f t="shared" si="20"/>
        <v>2.0250000000000004E-2</v>
      </c>
      <c r="AQ55">
        <f t="shared" si="21"/>
        <v>2.0250000000000004E-2</v>
      </c>
      <c r="AR55">
        <f t="shared" si="21"/>
        <v>2.0250000000000004E-2</v>
      </c>
      <c r="AS55">
        <f t="shared" si="21"/>
        <v>2.0250000000000004E-2</v>
      </c>
      <c r="AT55">
        <f t="shared" si="21"/>
        <v>2.0250000000000004E-2</v>
      </c>
      <c r="AU55">
        <f t="shared" si="21"/>
        <v>2.0250000000000004E-2</v>
      </c>
      <c r="AV55">
        <f t="shared" si="21"/>
        <v>2.0250000000000004E-2</v>
      </c>
      <c r="AW55">
        <f t="shared" si="21"/>
        <v>2.0250000000000004E-2</v>
      </c>
      <c r="AX55">
        <f t="shared" si="21"/>
        <v>2.0250000000000004E-2</v>
      </c>
      <c r="AY55">
        <f t="shared" si="21"/>
        <v>2.0250000000000004E-2</v>
      </c>
      <c r="AZ55">
        <f t="shared" si="21"/>
        <v>2.0250000000000004E-2</v>
      </c>
      <c r="BA55" s="6"/>
    </row>
    <row r="56" spans="1:53" x14ac:dyDescent="0.2">
      <c r="A56">
        <f t="shared" si="6"/>
        <v>9</v>
      </c>
      <c r="B56" s="3">
        <f t="shared" si="22"/>
        <v>18</v>
      </c>
      <c r="C56">
        <f t="shared" ref="C56:L64" si="23">(0.5*sigma^2*$A56^2+0.5*(rate -d)*$A56)*dt</f>
        <v>1.6425000000000002E-2</v>
      </c>
      <c r="D56">
        <f t="shared" si="23"/>
        <v>1.6425000000000002E-2</v>
      </c>
      <c r="E56">
        <f t="shared" si="23"/>
        <v>1.6425000000000002E-2</v>
      </c>
      <c r="F56">
        <f t="shared" si="23"/>
        <v>1.6425000000000002E-2</v>
      </c>
      <c r="G56">
        <f t="shared" si="23"/>
        <v>1.6425000000000002E-2</v>
      </c>
      <c r="H56">
        <f t="shared" si="23"/>
        <v>1.6425000000000002E-2</v>
      </c>
      <c r="I56">
        <f t="shared" si="23"/>
        <v>1.6425000000000002E-2</v>
      </c>
      <c r="J56">
        <f t="shared" si="23"/>
        <v>1.6425000000000002E-2</v>
      </c>
      <c r="K56">
        <f t="shared" si="23"/>
        <v>1.6425000000000002E-2</v>
      </c>
      <c r="L56">
        <f t="shared" si="23"/>
        <v>1.6425000000000002E-2</v>
      </c>
      <c r="M56">
        <f t="shared" ref="M56:V64" si="24">(0.5*sigma^2*$A56^2+0.5*(rate -d)*$A56)*dt</f>
        <v>1.6425000000000002E-2</v>
      </c>
      <c r="N56">
        <f t="shared" si="24"/>
        <v>1.6425000000000002E-2</v>
      </c>
      <c r="O56">
        <f t="shared" si="24"/>
        <v>1.6425000000000002E-2</v>
      </c>
      <c r="P56">
        <f t="shared" si="24"/>
        <v>1.6425000000000002E-2</v>
      </c>
      <c r="Q56">
        <f t="shared" si="24"/>
        <v>1.6425000000000002E-2</v>
      </c>
      <c r="R56">
        <f t="shared" si="24"/>
        <v>1.6425000000000002E-2</v>
      </c>
      <c r="S56">
        <f t="shared" si="24"/>
        <v>1.6425000000000002E-2</v>
      </c>
      <c r="T56">
        <f t="shared" si="24"/>
        <v>1.6425000000000002E-2</v>
      </c>
      <c r="U56">
        <f t="shared" si="24"/>
        <v>1.6425000000000002E-2</v>
      </c>
      <c r="V56">
        <f t="shared" si="24"/>
        <v>1.6425000000000002E-2</v>
      </c>
      <c r="W56">
        <f t="shared" ref="W56:AF64" si="25">(0.5*sigma^2*$A56^2+0.5*(rate -d)*$A56)*dt</f>
        <v>1.6425000000000002E-2</v>
      </c>
      <c r="X56">
        <f t="shared" si="25"/>
        <v>1.6425000000000002E-2</v>
      </c>
      <c r="Y56">
        <f t="shared" si="25"/>
        <v>1.6425000000000002E-2</v>
      </c>
      <c r="Z56">
        <f t="shared" si="25"/>
        <v>1.6425000000000002E-2</v>
      </c>
      <c r="AA56">
        <f t="shared" si="25"/>
        <v>1.6425000000000002E-2</v>
      </c>
      <c r="AB56">
        <f t="shared" si="25"/>
        <v>1.6425000000000002E-2</v>
      </c>
      <c r="AC56">
        <f t="shared" si="25"/>
        <v>1.6425000000000002E-2</v>
      </c>
      <c r="AD56">
        <f t="shared" si="25"/>
        <v>1.6425000000000002E-2</v>
      </c>
      <c r="AE56">
        <f t="shared" si="25"/>
        <v>1.6425000000000002E-2</v>
      </c>
      <c r="AF56">
        <f t="shared" si="25"/>
        <v>1.6425000000000002E-2</v>
      </c>
      <c r="AG56">
        <f t="shared" ref="AG56:AP64" si="26">(0.5*sigma^2*$A56^2+0.5*(rate -d)*$A56)*dt</f>
        <v>1.6425000000000002E-2</v>
      </c>
      <c r="AH56">
        <f t="shared" si="26"/>
        <v>1.6425000000000002E-2</v>
      </c>
      <c r="AI56">
        <f t="shared" si="26"/>
        <v>1.6425000000000002E-2</v>
      </c>
      <c r="AJ56">
        <f t="shared" si="26"/>
        <v>1.6425000000000002E-2</v>
      </c>
      <c r="AK56">
        <f t="shared" si="26"/>
        <v>1.6425000000000002E-2</v>
      </c>
      <c r="AL56">
        <f t="shared" si="26"/>
        <v>1.6425000000000002E-2</v>
      </c>
      <c r="AM56">
        <f t="shared" si="26"/>
        <v>1.6425000000000002E-2</v>
      </c>
      <c r="AN56">
        <f t="shared" si="26"/>
        <v>1.6425000000000002E-2</v>
      </c>
      <c r="AO56">
        <f t="shared" si="26"/>
        <v>1.6425000000000002E-2</v>
      </c>
      <c r="AP56">
        <f t="shared" si="26"/>
        <v>1.6425000000000002E-2</v>
      </c>
      <c r="AQ56">
        <f t="shared" ref="AQ56:AZ64" si="27">(0.5*sigma^2*$A56^2+0.5*(rate -d)*$A56)*dt</f>
        <v>1.6425000000000002E-2</v>
      </c>
      <c r="AR56">
        <f t="shared" si="27"/>
        <v>1.6425000000000002E-2</v>
      </c>
      <c r="AS56">
        <f t="shared" si="27"/>
        <v>1.6425000000000002E-2</v>
      </c>
      <c r="AT56">
        <f t="shared" si="27"/>
        <v>1.6425000000000002E-2</v>
      </c>
      <c r="AU56">
        <f t="shared" si="27"/>
        <v>1.6425000000000002E-2</v>
      </c>
      <c r="AV56">
        <f t="shared" si="27"/>
        <v>1.6425000000000002E-2</v>
      </c>
      <c r="AW56">
        <f t="shared" si="27"/>
        <v>1.6425000000000002E-2</v>
      </c>
      <c r="AX56">
        <f t="shared" si="27"/>
        <v>1.6425000000000002E-2</v>
      </c>
      <c r="AY56">
        <f t="shared" si="27"/>
        <v>1.6425000000000002E-2</v>
      </c>
      <c r="AZ56">
        <f t="shared" si="27"/>
        <v>1.6425000000000002E-2</v>
      </c>
      <c r="BA56" s="6"/>
    </row>
    <row r="57" spans="1:53" x14ac:dyDescent="0.2">
      <c r="A57">
        <f t="shared" si="6"/>
        <v>8</v>
      </c>
      <c r="B57" s="3">
        <f t="shared" si="22"/>
        <v>16</v>
      </c>
      <c r="C57">
        <f t="shared" si="23"/>
        <v>1.3000000000000003E-2</v>
      </c>
      <c r="D57">
        <f t="shared" si="23"/>
        <v>1.3000000000000003E-2</v>
      </c>
      <c r="E57">
        <f t="shared" si="23"/>
        <v>1.3000000000000003E-2</v>
      </c>
      <c r="F57">
        <f t="shared" si="23"/>
        <v>1.3000000000000003E-2</v>
      </c>
      <c r="G57">
        <f t="shared" si="23"/>
        <v>1.3000000000000003E-2</v>
      </c>
      <c r="H57">
        <f t="shared" si="23"/>
        <v>1.3000000000000003E-2</v>
      </c>
      <c r="I57">
        <f t="shared" si="23"/>
        <v>1.3000000000000003E-2</v>
      </c>
      <c r="J57">
        <f t="shared" si="23"/>
        <v>1.3000000000000003E-2</v>
      </c>
      <c r="K57">
        <f t="shared" si="23"/>
        <v>1.3000000000000003E-2</v>
      </c>
      <c r="L57">
        <f t="shared" si="23"/>
        <v>1.3000000000000003E-2</v>
      </c>
      <c r="M57">
        <f t="shared" si="24"/>
        <v>1.3000000000000003E-2</v>
      </c>
      <c r="N57">
        <f t="shared" si="24"/>
        <v>1.3000000000000003E-2</v>
      </c>
      <c r="O57">
        <f t="shared" si="24"/>
        <v>1.3000000000000003E-2</v>
      </c>
      <c r="P57">
        <f t="shared" si="24"/>
        <v>1.3000000000000003E-2</v>
      </c>
      <c r="Q57">
        <f t="shared" si="24"/>
        <v>1.3000000000000003E-2</v>
      </c>
      <c r="R57">
        <f t="shared" si="24"/>
        <v>1.3000000000000003E-2</v>
      </c>
      <c r="S57">
        <f t="shared" si="24"/>
        <v>1.3000000000000003E-2</v>
      </c>
      <c r="T57">
        <f t="shared" si="24"/>
        <v>1.3000000000000003E-2</v>
      </c>
      <c r="U57">
        <f t="shared" si="24"/>
        <v>1.3000000000000003E-2</v>
      </c>
      <c r="V57">
        <f t="shared" si="24"/>
        <v>1.3000000000000003E-2</v>
      </c>
      <c r="W57">
        <f t="shared" si="25"/>
        <v>1.3000000000000003E-2</v>
      </c>
      <c r="X57">
        <f t="shared" si="25"/>
        <v>1.3000000000000003E-2</v>
      </c>
      <c r="Y57">
        <f t="shared" si="25"/>
        <v>1.3000000000000003E-2</v>
      </c>
      <c r="Z57">
        <f t="shared" si="25"/>
        <v>1.3000000000000003E-2</v>
      </c>
      <c r="AA57">
        <f t="shared" si="25"/>
        <v>1.3000000000000003E-2</v>
      </c>
      <c r="AB57">
        <f t="shared" si="25"/>
        <v>1.3000000000000003E-2</v>
      </c>
      <c r="AC57">
        <f t="shared" si="25"/>
        <v>1.3000000000000003E-2</v>
      </c>
      <c r="AD57">
        <f t="shared" si="25"/>
        <v>1.3000000000000003E-2</v>
      </c>
      <c r="AE57">
        <f t="shared" si="25"/>
        <v>1.3000000000000003E-2</v>
      </c>
      <c r="AF57">
        <f t="shared" si="25"/>
        <v>1.3000000000000003E-2</v>
      </c>
      <c r="AG57">
        <f t="shared" si="26"/>
        <v>1.3000000000000003E-2</v>
      </c>
      <c r="AH57">
        <f t="shared" si="26"/>
        <v>1.3000000000000003E-2</v>
      </c>
      <c r="AI57">
        <f t="shared" si="26"/>
        <v>1.3000000000000003E-2</v>
      </c>
      <c r="AJ57">
        <f t="shared" si="26"/>
        <v>1.3000000000000003E-2</v>
      </c>
      <c r="AK57">
        <f t="shared" si="26"/>
        <v>1.3000000000000003E-2</v>
      </c>
      <c r="AL57">
        <f t="shared" si="26"/>
        <v>1.3000000000000003E-2</v>
      </c>
      <c r="AM57">
        <f t="shared" si="26"/>
        <v>1.3000000000000003E-2</v>
      </c>
      <c r="AN57">
        <f t="shared" si="26"/>
        <v>1.3000000000000003E-2</v>
      </c>
      <c r="AO57">
        <f t="shared" si="26"/>
        <v>1.3000000000000003E-2</v>
      </c>
      <c r="AP57">
        <f t="shared" si="26"/>
        <v>1.3000000000000003E-2</v>
      </c>
      <c r="AQ57">
        <f t="shared" si="27"/>
        <v>1.3000000000000003E-2</v>
      </c>
      <c r="AR57">
        <f t="shared" si="27"/>
        <v>1.3000000000000003E-2</v>
      </c>
      <c r="AS57">
        <f t="shared" si="27"/>
        <v>1.3000000000000003E-2</v>
      </c>
      <c r="AT57">
        <f t="shared" si="27"/>
        <v>1.3000000000000003E-2</v>
      </c>
      <c r="AU57">
        <f t="shared" si="27"/>
        <v>1.3000000000000003E-2</v>
      </c>
      <c r="AV57">
        <f t="shared" si="27"/>
        <v>1.3000000000000003E-2</v>
      </c>
      <c r="AW57">
        <f t="shared" si="27"/>
        <v>1.3000000000000003E-2</v>
      </c>
      <c r="AX57">
        <f t="shared" si="27"/>
        <v>1.3000000000000003E-2</v>
      </c>
      <c r="AY57">
        <f t="shared" si="27"/>
        <v>1.3000000000000003E-2</v>
      </c>
      <c r="AZ57">
        <f t="shared" si="27"/>
        <v>1.3000000000000003E-2</v>
      </c>
      <c r="BA57" s="6"/>
    </row>
    <row r="58" spans="1:53" x14ac:dyDescent="0.2">
      <c r="A58">
        <f t="shared" si="6"/>
        <v>7</v>
      </c>
      <c r="B58" s="3">
        <f t="shared" si="22"/>
        <v>14</v>
      </c>
      <c r="C58">
        <f t="shared" si="23"/>
        <v>9.9750000000000012E-3</v>
      </c>
      <c r="D58">
        <f t="shared" si="23"/>
        <v>9.9750000000000012E-3</v>
      </c>
      <c r="E58">
        <f t="shared" si="23"/>
        <v>9.9750000000000012E-3</v>
      </c>
      <c r="F58">
        <f t="shared" si="23"/>
        <v>9.9750000000000012E-3</v>
      </c>
      <c r="G58">
        <f t="shared" si="23"/>
        <v>9.9750000000000012E-3</v>
      </c>
      <c r="H58">
        <f t="shared" si="23"/>
        <v>9.9750000000000012E-3</v>
      </c>
      <c r="I58">
        <f t="shared" si="23"/>
        <v>9.9750000000000012E-3</v>
      </c>
      <c r="J58">
        <f t="shared" si="23"/>
        <v>9.9750000000000012E-3</v>
      </c>
      <c r="K58">
        <f t="shared" si="23"/>
        <v>9.9750000000000012E-3</v>
      </c>
      <c r="L58">
        <f t="shared" si="23"/>
        <v>9.9750000000000012E-3</v>
      </c>
      <c r="M58">
        <f t="shared" si="24"/>
        <v>9.9750000000000012E-3</v>
      </c>
      <c r="N58">
        <f t="shared" si="24"/>
        <v>9.9750000000000012E-3</v>
      </c>
      <c r="O58">
        <f t="shared" si="24"/>
        <v>9.9750000000000012E-3</v>
      </c>
      <c r="P58">
        <f t="shared" si="24"/>
        <v>9.9750000000000012E-3</v>
      </c>
      <c r="Q58">
        <f t="shared" si="24"/>
        <v>9.9750000000000012E-3</v>
      </c>
      <c r="R58">
        <f t="shared" si="24"/>
        <v>9.9750000000000012E-3</v>
      </c>
      <c r="S58">
        <f t="shared" si="24"/>
        <v>9.9750000000000012E-3</v>
      </c>
      <c r="T58">
        <f t="shared" si="24"/>
        <v>9.9750000000000012E-3</v>
      </c>
      <c r="U58">
        <f t="shared" si="24"/>
        <v>9.9750000000000012E-3</v>
      </c>
      <c r="V58">
        <f t="shared" si="24"/>
        <v>9.9750000000000012E-3</v>
      </c>
      <c r="W58">
        <f t="shared" si="25"/>
        <v>9.9750000000000012E-3</v>
      </c>
      <c r="X58">
        <f t="shared" si="25"/>
        <v>9.9750000000000012E-3</v>
      </c>
      <c r="Y58">
        <f t="shared" si="25"/>
        <v>9.9750000000000012E-3</v>
      </c>
      <c r="Z58">
        <f t="shared" si="25"/>
        <v>9.9750000000000012E-3</v>
      </c>
      <c r="AA58">
        <f t="shared" si="25"/>
        <v>9.9750000000000012E-3</v>
      </c>
      <c r="AB58">
        <f t="shared" si="25"/>
        <v>9.9750000000000012E-3</v>
      </c>
      <c r="AC58">
        <f t="shared" si="25"/>
        <v>9.9750000000000012E-3</v>
      </c>
      <c r="AD58">
        <f t="shared" si="25"/>
        <v>9.9750000000000012E-3</v>
      </c>
      <c r="AE58">
        <f t="shared" si="25"/>
        <v>9.9750000000000012E-3</v>
      </c>
      <c r="AF58">
        <f t="shared" si="25"/>
        <v>9.9750000000000012E-3</v>
      </c>
      <c r="AG58">
        <f t="shared" si="26"/>
        <v>9.9750000000000012E-3</v>
      </c>
      <c r="AH58">
        <f t="shared" si="26"/>
        <v>9.9750000000000012E-3</v>
      </c>
      <c r="AI58">
        <f t="shared" si="26"/>
        <v>9.9750000000000012E-3</v>
      </c>
      <c r="AJ58">
        <f t="shared" si="26"/>
        <v>9.9750000000000012E-3</v>
      </c>
      <c r="AK58">
        <f t="shared" si="26"/>
        <v>9.9750000000000012E-3</v>
      </c>
      <c r="AL58">
        <f t="shared" si="26"/>
        <v>9.9750000000000012E-3</v>
      </c>
      <c r="AM58">
        <f t="shared" si="26"/>
        <v>9.9750000000000012E-3</v>
      </c>
      <c r="AN58">
        <f t="shared" si="26"/>
        <v>9.9750000000000012E-3</v>
      </c>
      <c r="AO58">
        <f t="shared" si="26"/>
        <v>9.9750000000000012E-3</v>
      </c>
      <c r="AP58">
        <f t="shared" si="26"/>
        <v>9.9750000000000012E-3</v>
      </c>
      <c r="AQ58">
        <f t="shared" si="27"/>
        <v>9.9750000000000012E-3</v>
      </c>
      <c r="AR58">
        <f t="shared" si="27"/>
        <v>9.9750000000000012E-3</v>
      </c>
      <c r="AS58">
        <f t="shared" si="27"/>
        <v>9.9750000000000012E-3</v>
      </c>
      <c r="AT58">
        <f t="shared" si="27"/>
        <v>9.9750000000000012E-3</v>
      </c>
      <c r="AU58">
        <f t="shared" si="27"/>
        <v>9.9750000000000012E-3</v>
      </c>
      <c r="AV58">
        <f t="shared" si="27"/>
        <v>9.9750000000000012E-3</v>
      </c>
      <c r="AW58">
        <f t="shared" si="27"/>
        <v>9.9750000000000012E-3</v>
      </c>
      <c r="AX58">
        <f t="shared" si="27"/>
        <v>9.9750000000000012E-3</v>
      </c>
      <c r="AY58">
        <f t="shared" si="27"/>
        <v>9.9750000000000012E-3</v>
      </c>
      <c r="AZ58">
        <f t="shared" si="27"/>
        <v>9.9750000000000012E-3</v>
      </c>
      <c r="BA58" s="6"/>
    </row>
    <row r="59" spans="1:53" x14ac:dyDescent="0.2">
      <c r="A59">
        <f t="shared" si="6"/>
        <v>6</v>
      </c>
      <c r="B59" s="3">
        <f t="shared" si="22"/>
        <v>12</v>
      </c>
      <c r="C59">
        <f t="shared" si="23"/>
        <v>7.3500000000000024E-3</v>
      </c>
      <c r="D59">
        <f t="shared" si="23"/>
        <v>7.3500000000000024E-3</v>
      </c>
      <c r="E59">
        <f t="shared" si="23"/>
        <v>7.3500000000000024E-3</v>
      </c>
      <c r="F59">
        <f t="shared" si="23"/>
        <v>7.3500000000000024E-3</v>
      </c>
      <c r="G59">
        <f t="shared" si="23"/>
        <v>7.3500000000000024E-3</v>
      </c>
      <c r="H59">
        <f t="shared" si="23"/>
        <v>7.3500000000000024E-3</v>
      </c>
      <c r="I59">
        <f t="shared" si="23"/>
        <v>7.3500000000000024E-3</v>
      </c>
      <c r="J59">
        <f t="shared" si="23"/>
        <v>7.3500000000000024E-3</v>
      </c>
      <c r="K59">
        <f t="shared" si="23"/>
        <v>7.3500000000000024E-3</v>
      </c>
      <c r="L59">
        <f t="shared" si="23"/>
        <v>7.3500000000000024E-3</v>
      </c>
      <c r="M59">
        <f t="shared" si="24"/>
        <v>7.3500000000000024E-3</v>
      </c>
      <c r="N59">
        <f t="shared" si="24"/>
        <v>7.3500000000000024E-3</v>
      </c>
      <c r="O59">
        <f t="shared" si="24"/>
        <v>7.3500000000000024E-3</v>
      </c>
      <c r="P59">
        <f t="shared" si="24"/>
        <v>7.3500000000000024E-3</v>
      </c>
      <c r="Q59">
        <f t="shared" si="24"/>
        <v>7.3500000000000024E-3</v>
      </c>
      <c r="R59">
        <f t="shared" si="24"/>
        <v>7.3500000000000024E-3</v>
      </c>
      <c r="S59">
        <f t="shared" si="24"/>
        <v>7.3500000000000024E-3</v>
      </c>
      <c r="T59">
        <f t="shared" si="24"/>
        <v>7.3500000000000024E-3</v>
      </c>
      <c r="U59">
        <f t="shared" si="24"/>
        <v>7.3500000000000024E-3</v>
      </c>
      <c r="V59">
        <f t="shared" si="24"/>
        <v>7.3500000000000024E-3</v>
      </c>
      <c r="W59">
        <f t="shared" si="25"/>
        <v>7.3500000000000024E-3</v>
      </c>
      <c r="X59">
        <f t="shared" si="25"/>
        <v>7.3500000000000024E-3</v>
      </c>
      <c r="Y59">
        <f t="shared" si="25"/>
        <v>7.3500000000000024E-3</v>
      </c>
      <c r="Z59">
        <f t="shared" si="25"/>
        <v>7.3500000000000024E-3</v>
      </c>
      <c r="AA59">
        <f t="shared" si="25"/>
        <v>7.3500000000000024E-3</v>
      </c>
      <c r="AB59">
        <f t="shared" si="25"/>
        <v>7.3500000000000024E-3</v>
      </c>
      <c r="AC59">
        <f t="shared" si="25"/>
        <v>7.3500000000000024E-3</v>
      </c>
      <c r="AD59">
        <f t="shared" si="25"/>
        <v>7.3500000000000024E-3</v>
      </c>
      <c r="AE59">
        <f t="shared" si="25"/>
        <v>7.3500000000000024E-3</v>
      </c>
      <c r="AF59">
        <f t="shared" si="25"/>
        <v>7.3500000000000024E-3</v>
      </c>
      <c r="AG59">
        <f t="shared" si="26"/>
        <v>7.3500000000000024E-3</v>
      </c>
      <c r="AH59">
        <f t="shared" si="26"/>
        <v>7.3500000000000024E-3</v>
      </c>
      <c r="AI59">
        <f t="shared" si="26"/>
        <v>7.3500000000000024E-3</v>
      </c>
      <c r="AJ59">
        <f t="shared" si="26"/>
        <v>7.3500000000000024E-3</v>
      </c>
      <c r="AK59">
        <f t="shared" si="26"/>
        <v>7.3500000000000024E-3</v>
      </c>
      <c r="AL59">
        <f t="shared" si="26"/>
        <v>7.3500000000000024E-3</v>
      </c>
      <c r="AM59">
        <f t="shared" si="26"/>
        <v>7.3500000000000024E-3</v>
      </c>
      <c r="AN59">
        <f t="shared" si="26"/>
        <v>7.3500000000000024E-3</v>
      </c>
      <c r="AO59">
        <f t="shared" si="26"/>
        <v>7.3500000000000024E-3</v>
      </c>
      <c r="AP59">
        <f t="shared" si="26"/>
        <v>7.3500000000000024E-3</v>
      </c>
      <c r="AQ59">
        <f t="shared" si="27"/>
        <v>7.3500000000000024E-3</v>
      </c>
      <c r="AR59">
        <f t="shared" si="27"/>
        <v>7.3500000000000024E-3</v>
      </c>
      <c r="AS59">
        <f t="shared" si="27"/>
        <v>7.3500000000000024E-3</v>
      </c>
      <c r="AT59">
        <f t="shared" si="27"/>
        <v>7.3500000000000024E-3</v>
      </c>
      <c r="AU59">
        <f t="shared" si="27"/>
        <v>7.3500000000000024E-3</v>
      </c>
      <c r="AV59">
        <f t="shared" si="27"/>
        <v>7.3500000000000024E-3</v>
      </c>
      <c r="AW59">
        <f t="shared" si="27"/>
        <v>7.3500000000000024E-3</v>
      </c>
      <c r="AX59">
        <f t="shared" si="27"/>
        <v>7.3500000000000024E-3</v>
      </c>
      <c r="AY59">
        <f t="shared" si="27"/>
        <v>7.3500000000000024E-3</v>
      </c>
      <c r="AZ59">
        <f t="shared" si="27"/>
        <v>7.3500000000000024E-3</v>
      </c>
      <c r="BA59" s="6"/>
    </row>
    <row r="60" spans="1:53" x14ac:dyDescent="0.2">
      <c r="A60">
        <f t="shared" si="6"/>
        <v>5</v>
      </c>
      <c r="B60" s="3">
        <f t="shared" si="22"/>
        <v>10</v>
      </c>
      <c r="C60">
        <f t="shared" si="23"/>
        <v>5.1250000000000011E-3</v>
      </c>
      <c r="D60">
        <f t="shared" si="23"/>
        <v>5.1250000000000011E-3</v>
      </c>
      <c r="E60">
        <f t="shared" si="23"/>
        <v>5.1250000000000011E-3</v>
      </c>
      <c r="F60">
        <f t="shared" si="23"/>
        <v>5.1250000000000011E-3</v>
      </c>
      <c r="G60">
        <f t="shared" si="23"/>
        <v>5.1250000000000011E-3</v>
      </c>
      <c r="H60">
        <f t="shared" si="23"/>
        <v>5.1250000000000011E-3</v>
      </c>
      <c r="I60">
        <f t="shared" si="23"/>
        <v>5.1250000000000011E-3</v>
      </c>
      <c r="J60">
        <f t="shared" si="23"/>
        <v>5.1250000000000011E-3</v>
      </c>
      <c r="K60">
        <f t="shared" si="23"/>
        <v>5.1250000000000011E-3</v>
      </c>
      <c r="L60">
        <f t="shared" si="23"/>
        <v>5.1250000000000011E-3</v>
      </c>
      <c r="M60">
        <f t="shared" si="24"/>
        <v>5.1250000000000011E-3</v>
      </c>
      <c r="N60">
        <f t="shared" si="24"/>
        <v>5.1250000000000011E-3</v>
      </c>
      <c r="O60">
        <f t="shared" si="24"/>
        <v>5.1250000000000011E-3</v>
      </c>
      <c r="P60">
        <f t="shared" si="24"/>
        <v>5.1250000000000011E-3</v>
      </c>
      <c r="Q60">
        <f t="shared" si="24"/>
        <v>5.1250000000000011E-3</v>
      </c>
      <c r="R60">
        <f t="shared" si="24"/>
        <v>5.1250000000000011E-3</v>
      </c>
      <c r="S60">
        <f t="shared" si="24"/>
        <v>5.1250000000000011E-3</v>
      </c>
      <c r="T60">
        <f t="shared" si="24"/>
        <v>5.1250000000000011E-3</v>
      </c>
      <c r="U60">
        <f t="shared" si="24"/>
        <v>5.1250000000000011E-3</v>
      </c>
      <c r="V60">
        <f t="shared" si="24"/>
        <v>5.1250000000000011E-3</v>
      </c>
      <c r="W60">
        <f t="shared" si="25"/>
        <v>5.1250000000000011E-3</v>
      </c>
      <c r="X60">
        <f t="shared" si="25"/>
        <v>5.1250000000000011E-3</v>
      </c>
      <c r="Y60">
        <f t="shared" si="25"/>
        <v>5.1250000000000011E-3</v>
      </c>
      <c r="Z60">
        <f t="shared" si="25"/>
        <v>5.1250000000000011E-3</v>
      </c>
      <c r="AA60">
        <f t="shared" si="25"/>
        <v>5.1250000000000011E-3</v>
      </c>
      <c r="AB60">
        <f t="shared" si="25"/>
        <v>5.1250000000000011E-3</v>
      </c>
      <c r="AC60">
        <f t="shared" si="25"/>
        <v>5.1250000000000011E-3</v>
      </c>
      <c r="AD60">
        <f t="shared" si="25"/>
        <v>5.1250000000000011E-3</v>
      </c>
      <c r="AE60">
        <f t="shared" si="25"/>
        <v>5.1250000000000011E-3</v>
      </c>
      <c r="AF60">
        <f t="shared" si="25"/>
        <v>5.1250000000000011E-3</v>
      </c>
      <c r="AG60">
        <f t="shared" si="26"/>
        <v>5.1250000000000011E-3</v>
      </c>
      <c r="AH60">
        <f t="shared" si="26"/>
        <v>5.1250000000000011E-3</v>
      </c>
      <c r="AI60">
        <f t="shared" si="26"/>
        <v>5.1250000000000011E-3</v>
      </c>
      <c r="AJ60">
        <f t="shared" si="26"/>
        <v>5.1250000000000011E-3</v>
      </c>
      <c r="AK60">
        <f t="shared" si="26"/>
        <v>5.1250000000000011E-3</v>
      </c>
      <c r="AL60">
        <f t="shared" si="26"/>
        <v>5.1250000000000011E-3</v>
      </c>
      <c r="AM60">
        <f t="shared" si="26"/>
        <v>5.1250000000000011E-3</v>
      </c>
      <c r="AN60">
        <f t="shared" si="26"/>
        <v>5.1250000000000011E-3</v>
      </c>
      <c r="AO60">
        <f t="shared" si="26"/>
        <v>5.1250000000000011E-3</v>
      </c>
      <c r="AP60">
        <f t="shared" si="26"/>
        <v>5.1250000000000011E-3</v>
      </c>
      <c r="AQ60">
        <f t="shared" si="27"/>
        <v>5.1250000000000011E-3</v>
      </c>
      <c r="AR60">
        <f t="shared" si="27"/>
        <v>5.1250000000000011E-3</v>
      </c>
      <c r="AS60">
        <f t="shared" si="27"/>
        <v>5.1250000000000011E-3</v>
      </c>
      <c r="AT60">
        <f t="shared" si="27"/>
        <v>5.1250000000000011E-3</v>
      </c>
      <c r="AU60">
        <f t="shared" si="27"/>
        <v>5.1250000000000011E-3</v>
      </c>
      <c r="AV60">
        <f t="shared" si="27"/>
        <v>5.1250000000000011E-3</v>
      </c>
      <c r="AW60">
        <f t="shared" si="27"/>
        <v>5.1250000000000011E-3</v>
      </c>
      <c r="AX60">
        <f t="shared" si="27"/>
        <v>5.1250000000000011E-3</v>
      </c>
      <c r="AY60">
        <f t="shared" si="27"/>
        <v>5.1250000000000011E-3</v>
      </c>
      <c r="AZ60">
        <f t="shared" si="27"/>
        <v>5.1250000000000011E-3</v>
      </c>
      <c r="BA60" s="6"/>
    </row>
    <row r="61" spans="1:53" x14ac:dyDescent="0.2">
      <c r="A61">
        <f t="shared" si="6"/>
        <v>4</v>
      </c>
      <c r="B61" s="3">
        <f t="shared" si="22"/>
        <v>8</v>
      </c>
      <c r="C61">
        <f t="shared" si="23"/>
        <v>3.3000000000000008E-3</v>
      </c>
      <c r="D61">
        <f t="shared" si="23"/>
        <v>3.3000000000000008E-3</v>
      </c>
      <c r="E61">
        <f t="shared" si="23"/>
        <v>3.3000000000000008E-3</v>
      </c>
      <c r="F61">
        <f t="shared" si="23"/>
        <v>3.3000000000000008E-3</v>
      </c>
      <c r="G61">
        <f t="shared" si="23"/>
        <v>3.3000000000000008E-3</v>
      </c>
      <c r="H61">
        <f t="shared" si="23"/>
        <v>3.3000000000000008E-3</v>
      </c>
      <c r="I61">
        <f t="shared" si="23"/>
        <v>3.3000000000000008E-3</v>
      </c>
      <c r="J61">
        <f t="shared" si="23"/>
        <v>3.3000000000000008E-3</v>
      </c>
      <c r="K61">
        <f t="shared" si="23"/>
        <v>3.3000000000000008E-3</v>
      </c>
      <c r="L61">
        <f t="shared" si="23"/>
        <v>3.3000000000000008E-3</v>
      </c>
      <c r="M61">
        <f t="shared" si="24"/>
        <v>3.3000000000000008E-3</v>
      </c>
      <c r="N61">
        <f t="shared" si="24"/>
        <v>3.3000000000000008E-3</v>
      </c>
      <c r="O61">
        <f t="shared" si="24"/>
        <v>3.3000000000000008E-3</v>
      </c>
      <c r="P61">
        <f t="shared" si="24"/>
        <v>3.3000000000000008E-3</v>
      </c>
      <c r="Q61">
        <f t="shared" si="24"/>
        <v>3.3000000000000008E-3</v>
      </c>
      <c r="R61">
        <f t="shared" si="24"/>
        <v>3.3000000000000008E-3</v>
      </c>
      <c r="S61">
        <f t="shared" si="24"/>
        <v>3.3000000000000008E-3</v>
      </c>
      <c r="T61">
        <f t="shared" si="24"/>
        <v>3.3000000000000008E-3</v>
      </c>
      <c r="U61">
        <f t="shared" si="24"/>
        <v>3.3000000000000008E-3</v>
      </c>
      <c r="V61">
        <f t="shared" si="24"/>
        <v>3.3000000000000008E-3</v>
      </c>
      <c r="W61">
        <f t="shared" si="25"/>
        <v>3.3000000000000008E-3</v>
      </c>
      <c r="X61">
        <f t="shared" si="25"/>
        <v>3.3000000000000008E-3</v>
      </c>
      <c r="Y61">
        <f t="shared" si="25"/>
        <v>3.3000000000000008E-3</v>
      </c>
      <c r="Z61">
        <f t="shared" si="25"/>
        <v>3.3000000000000008E-3</v>
      </c>
      <c r="AA61">
        <f t="shared" si="25"/>
        <v>3.3000000000000008E-3</v>
      </c>
      <c r="AB61">
        <f t="shared" si="25"/>
        <v>3.3000000000000008E-3</v>
      </c>
      <c r="AC61">
        <f t="shared" si="25"/>
        <v>3.3000000000000008E-3</v>
      </c>
      <c r="AD61">
        <f t="shared" si="25"/>
        <v>3.3000000000000008E-3</v>
      </c>
      <c r="AE61">
        <f t="shared" si="25"/>
        <v>3.3000000000000008E-3</v>
      </c>
      <c r="AF61">
        <f t="shared" si="25"/>
        <v>3.3000000000000008E-3</v>
      </c>
      <c r="AG61">
        <f t="shared" si="26"/>
        <v>3.3000000000000008E-3</v>
      </c>
      <c r="AH61">
        <f t="shared" si="26"/>
        <v>3.3000000000000008E-3</v>
      </c>
      <c r="AI61">
        <f t="shared" si="26"/>
        <v>3.3000000000000008E-3</v>
      </c>
      <c r="AJ61">
        <f t="shared" si="26"/>
        <v>3.3000000000000008E-3</v>
      </c>
      <c r="AK61">
        <f t="shared" si="26"/>
        <v>3.3000000000000008E-3</v>
      </c>
      <c r="AL61">
        <f t="shared" si="26"/>
        <v>3.3000000000000008E-3</v>
      </c>
      <c r="AM61">
        <f t="shared" si="26"/>
        <v>3.3000000000000008E-3</v>
      </c>
      <c r="AN61">
        <f t="shared" si="26"/>
        <v>3.3000000000000008E-3</v>
      </c>
      <c r="AO61">
        <f t="shared" si="26"/>
        <v>3.3000000000000008E-3</v>
      </c>
      <c r="AP61">
        <f t="shared" si="26"/>
        <v>3.3000000000000008E-3</v>
      </c>
      <c r="AQ61">
        <f t="shared" si="27"/>
        <v>3.3000000000000008E-3</v>
      </c>
      <c r="AR61">
        <f t="shared" si="27"/>
        <v>3.3000000000000008E-3</v>
      </c>
      <c r="AS61">
        <f t="shared" si="27"/>
        <v>3.3000000000000008E-3</v>
      </c>
      <c r="AT61">
        <f t="shared" si="27"/>
        <v>3.3000000000000008E-3</v>
      </c>
      <c r="AU61">
        <f t="shared" si="27"/>
        <v>3.3000000000000008E-3</v>
      </c>
      <c r="AV61">
        <f t="shared" si="27"/>
        <v>3.3000000000000008E-3</v>
      </c>
      <c r="AW61">
        <f t="shared" si="27"/>
        <v>3.3000000000000008E-3</v>
      </c>
      <c r="AX61">
        <f t="shared" si="27"/>
        <v>3.3000000000000008E-3</v>
      </c>
      <c r="AY61">
        <f t="shared" si="27"/>
        <v>3.3000000000000008E-3</v>
      </c>
      <c r="AZ61">
        <f t="shared" si="27"/>
        <v>3.3000000000000008E-3</v>
      </c>
      <c r="BA61" s="6"/>
    </row>
    <row r="62" spans="1:53" x14ac:dyDescent="0.2">
      <c r="A62">
        <f t="shared" si="6"/>
        <v>3</v>
      </c>
      <c r="B62" s="3">
        <f t="shared" si="22"/>
        <v>6</v>
      </c>
      <c r="C62">
        <f t="shared" si="23"/>
        <v>1.8750000000000006E-3</v>
      </c>
      <c r="D62">
        <f t="shared" si="23"/>
        <v>1.8750000000000006E-3</v>
      </c>
      <c r="E62">
        <f t="shared" si="23"/>
        <v>1.8750000000000006E-3</v>
      </c>
      <c r="F62">
        <f t="shared" si="23"/>
        <v>1.8750000000000006E-3</v>
      </c>
      <c r="G62">
        <f t="shared" si="23"/>
        <v>1.8750000000000006E-3</v>
      </c>
      <c r="H62">
        <f t="shared" si="23"/>
        <v>1.8750000000000006E-3</v>
      </c>
      <c r="I62">
        <f t="shared" si="23"/>
        <v>1.8750000000000006E-3</v>
      </c>
      <c r="J62">
        <f t="shared" si="23"/>
        <v>1.8750000000000006E-3</v>
      </c>
      <c r="K62">
        <f t="shared" si="23"/>
        <v>1.8750000000000006E-3</v>
      </c>
      <c r="L62">
        <f t="shared" si="23"/>
        <v>1.8750000000000006E-3</v>
      </c>
      <c r="M62">
        <f t="shared" si="24"/>
        <v>1.8750000000000006E-3</v>
      </c>
      <c r="N62">
        <f t="shared" si="24"/>
        <v>1.8750000000000006E-3</v>
      </c>
      <c r="O62">
        <f t="shared" si="24"/>
        <v>1.8750000000000006E-3</v>
      </c>
      <c r="P62">
        <f t="shared" si="24"/>
        <v>1.8750000000000006E-3</v>
      </c>
      <c r="Q62">
        <f t="shared" si="24"/>
        <v>1.8750000000000006E-3</v>
      </c>
      <c r="R62">
        <f t="shared" si="24"/>
        <v>1.8750000000000006E-3</v>
      </c>
      <c r="S62">
        <f t="shared" si="24"/>
        <v>1.8750000000000006E-3</v>
      </c>
      <c r="T62">
        <f t="shared" si="24"/>
        <v>1.8750000000000006E-3</v>
      </c>
      <c r="U62">
        <f t="shared" si="24"/>
        <v>1.8750000000000006E-3</v>
      </c>
      <c r="V62">
        <f t="shared" si="24"/>
        <v>1.8750000000000006E-3</v>
      </c>
      <c r="W62">
        <f t="shared" si="25"/>
        <v>1.8750000000000006E-3</v>
      </c>
      <c r="X62">
        <f t="shared" si="25"/>
        <v>1.8750000000000006E-3</v>
      </c>
      <c r="Y62">
        <f t="shared" si="25"/>
        <v>1.8750000000000006E-3</v>
      </c>
      <c r="Z62">
        <f t="shared" si="25"/>
        <v>1.8750000000000006E-3</v>
      </c>
      <c r="AA62">
        <f t="shared" si="25"/>
        <v>1.8750000000000006E-3</v>
      </c>
      <c r="AB62">
        <f t="shared" si="25"/>
        <v>1.8750000000000006E-3</v>
      </c>
      <c r="AC62">
        <f t="shared" si="25"/>
        <v>1.8750000000000006E-3</v>
      </c>
      <c r="AD62">
        <f t="shared" si="25"/>
        <v>1.8750000000000006E-3</v>
      </c>
      <c r="AE62">
        <f t="shared" si="25"/>
        <v>1.8750000000000006E-3</v>
      </c>
      <c r="AF62">
        <f t="shared" si="25"/>
        <v>1.8750000000000006E-3</v>
      </c>
      <c r="AG62">
        <f t="shared" si="26"/>
        <v>1.8750000000000006E-3</v>
      </c>
      <c r="AH62">
        <f t="shared" si="26"/>
        <v>1.8750000000000006E-3</v>
      </c>
      <c r="AI62">
        <f t="shared" si="26"/>
        <v>1.8750000000000006E-3</v>
      </c>
      <c r="AJ62">
        <f t="shared" si="26"/>
        <v>1.8750000000000006E-3</v>
      </c>
      <c r="AK62">
        <f t="shared" si="26"/>
        <v>1.8750000000000006E-3</v>
      </c>
      <c r="AL62">
        <f t="shared" si="26"/>
        <v>1.8750000000000006E-3</v>
      </c>
      <c r="AM62">
        <f t="shared" si="26"/>
        <v>1.8750000000000006E-3</v>
      </c>
      <c r="AN62">
        <f t="shared" si="26"/>
        <v>1.8750000000000006E-3</v>
      </c>
      <c r="AO62">
        <f t="shared" si="26"/>
        <v>1.8750000000000006E-3</v>
      </c>
      <c r="AP62">
        <f t="shared" si="26"/>
        <v>1.8750000000000006E-3</v>
      </c>
      <c r="AQ62">
        <f t="shared" si="27"/>
        <v>1.8750000000000006E-3</v>
      </c>
      <c r="AR62">
        <f t="shared" si="27"/>
        <v>1.8750000000000006E-3</v>
      </c>
      <c r="AS62">
        <f t="shared" si="27"/>
        <v>1.8750000000000006E-3</v>
      </c>
      <c r="AT62">
        <f t="shared" si="27"/>
        <v>1.8750000000000006E-3</v>
      </c>
      <c r="AU62">
        <f t="shared" si="27"/>
        <v>1.8750000000000006E-3</v>
      </c>
      <c r="AV62">
        <f t="shared" si="27"/>
        <v>1.8750000000000006E-3</v>
      </c>
      <c r="AW62">
        <f t="shared" si="27"/>
        <v>1.8750000000000006E-3</v>
      </c>
      <c r="AX62">
        <f t="shared" si="27"/>
        <v>1.8750000000000006E-3</v>
      </c>
      <c r="AY62">
        <f t="shared" si="27"/>
        <v>1.8750000000000006E-3</v>
      </c>
      <c r="AZ62">
        <f t="shared" si="27"/>
        <v>1.8750000000000006E-3</v>
      </c>
      <c r="BA62" s="6"/>
    </row>
    <row r="63" spans="1:53" x14ac:dyDescent="0.2">
      <c r="A63">
        <f t="shared" si="6"/>
        <v>2</v>
      </c>
      <c r="B63" s="3">
        <f t="shared" si="22"/>
        <v>4</v>
      </c>
      <c r="C63">
        <f t="shared" si="23"/>
        <v>8.5000000000000017E-4</v>
      </c>
      <c r="D63">
        <f t="shared" si="23"/>
        <v>8.5000000000000017E-4</v>
      </c>
      <c r="E63">
        <f t="shared" si="23"/>
        <v>8.5000000000000017E-4</v>
      </c>
      <c r="F63">
        <f t="shared" si="23"/>
        <v>8.5000000000000017E-4</v>
      </c>
      <c r="G63">
        <f t="shared" si="23"/>
        <v>8.5000000000000017E-4</v>
      </c>
      <c r="H63">
        <f t="shared" si="23"/>
        <v>8.5000000000000017E-4</v>
      </c>
      <c r="I63">
        <f t="shared" si="23"/>
        <v>8.5000000000000017E-4</v>
      </c>
      <c r="J63">
        <f t="shared" si="23"/>
        <v>8.5000000000000017E-4</v>
      </c>
      <c r="K63">
        <f t="shared" si="23"/>
        <v>8.5000000000000017E-4</v>
      </c>
      <c r="L63">
        <f t="shared" si="23"/>
        <v>8.5000000000000017E-4</v>
      </c>
      <c r="M63">
        <f t="shared" si="24"/>
        <v>8.5000000000000017E-4</v>
      </c>
      <c r="N63">
        <f t="shared" si="24"/>
        <v>8.5000000000000017E-4</v>
      </c>
      <c r="O63">
        <f t="shared" si="24"/>
        <v>8.5000000000000017E-4</v>
      </c>
      <c r="P63">
        <f t="shared" si="24"/>
        <v>8.5000000000000017E-4</v>
      </c>
      <c r="Q63">
        <f t="shared" si="24"/>
        <v>8.5000000000000017E-4</v>
      </c>
      <c r="R63">
        <f t="shared" si="24"/>
        <v>8.5000000000000017E-4</v>
      </c>
      <c r="S63">
        <f t="shared" si="24"/>
        <v>8.5000000000000017E-4</v>
      </c>
      <c r="T63">
        <f t="shared" si="24"/>
        <v>8.5000000000000017E-4</v>
      </c>
      <c r="U63">
        <f t="shared" si="24"/>
        <v>8.5000000000000017E-4</v>
      </c>
      <c r="V63">
        <f t="shared" si="24"/>
        <v>8.5000000000000017E-4</v>
      </c>
      <c r="W63">
        <f t="shared" si="25"/>
        <v>8.5000000000000017E-4</v>
      </c>
      <c r="X63">
        <f t="shared" si="25"/>
        <v>8.5000000000000017E-4</v>
      </c>
      <c r="Y63">
        <f t="shared" si="25"/>
        <v>8.5000000000000017E-4</v>
      </c>
      <c r="Z63">
        <f t="shared" si="25"/>
        <v>8.5000000000000017E-4</v>
      </c>
      <c r="AA63">
        <f t="shared" si="25"/>
        <v>8.5000000000000017E-4</v>
      </c>
      <c r="AB63">
        <f t="shared" si="25"/>
        <v>8.5000000000000017E-4</v>
      </c>
      <c r="AC63">
        <f t="shared" si="25"/>
        <v>8.5000000000000017E-4</v>
      </c>
      <c r="AD63">
        <f t="shared" si="25"/>
        <v>8.5000000000000017E-4</v>
      </c>
      <c r="AE63">
        <f t="shared" si="25"/>
        <v>8.5000000000000017E-4</v>
      </c>
      <c r="AF63">
        <f t="shared" si="25"/>
        <v>8.5000000000000017E-4</v>
      </c>
      <c r="AG63">
        <f t="shared" si="26"/>
        <v>8.5000000000000017E-4</v>
      </c>
      <c r="AH63">
        <f t="shared" si="26"/>
        <v>8.5000000000000017E-4</v>
      </c>
      <c r="AI63">
        <f t="shared" si="26"/>
        <v>8.5000000000000017E-4</v>
      </c>
      <c r="AJ63">
        <f t="shared" si="26"/>
        <v>8.5000000000000017E-4</v>
      </c>
      <c r="AK63">
        <f t="shared" si="26"/>
        <v>8.5000000000000017E-4</v>
      </c>
      <c r="AL63">
        <f t="shared" si="26"/>
        <v>8.5000000000000017E-4</v>
      </c>
      <c r="AM63">
        <f t="shared" si="26"/>
        <v>8.5000000000000017E-4</v>
      </c>
      <c r="AN63">
        <f t="shared" si="26"/>
        <v>8.5000000000000017E-4</v>
      </c>
      <c r="AO63">
        <f t="shared" si="26"/>
        <v>8.5000000000000017E-4</v>
      </c>
      <c r="AP63">
        <f t="shared" si="26"/>
        <v>8.5000000000000017E-4</v>
      </c>
      <c r="AQ63">
        <f t="shared" si="27"/>
        <v>8.5000000000000017E-4</v>
      </c>
      <c r="AR63">
        <f t="shared" si="27"/>
        <v>8.5000000000000017E-4</v>
      </c>
      <c r="AS63">
        <f t="shared" si="27"/>
        <v>8.5000000000000017E-4</v>
      </c>
      <c r="AT63">
        <f t="shared" si="27"/>
        <v>8.5000000000000017E-4</v>
      </c>
      <c r="AU63">
        <f t="shared" si="27"/>
        <v>8.5000000000000017E-4</v>
      </c>
      <c r="AV63">
        <f t="shared" si="27"/>
        <v>8.5000000000000017E-4</v>
      </c>
      <c r="AW63">
        <f t="shared" si="27"/>
        <v>8.5000000000000017E-4</v>
      </c>
      <c r="AX63">
        <f t="shared" si="27"/>
        <v>8.5000000000000017E-4</v>
      </c>
      <c r="AY63">
        <f t="shared" si="27"/>
        <v>8.5000000000000017E-4</v>
      </c>
      <c r="AZ63">
        <f t="shared" si="27"/>
        <v>8.5000000000000017E-4</v>
      </c>
      <c r="BA63" s="6"/>
    </row>
    <row r="64" spans="1:53" x14ac:dyDescent="0.2">
      <c r="A64">
        <f t="shared" si="6"/>
        <v>1</v>
      </c>
      <c r="B64" s="3">
        <f t="shared" si="22"/>
        <v>2</v>
      </c>
      <c r="C64">
        <f t="shared" si="23"/>
        <v>2.2500000000000002E-4</v>
      </c>
      <c r="D64">
        <f t="shared" si="23"/>
        <v>2.2500000000000002E-4</v>
      </c>
      <c r="E64">
        <f t="shared" si="23"/>
        <v>2.2500000000000002E-4</v>
      </c>
      <c r="F64">
        <f t="shared" si="23"/>
        <v>2.2500000000000002E-4</v>
      </c>
      <c r="G64">
        <f t="shared" si="23"/>
        <v>2.2500000000000002E-4</v>
      </c>
      <c r="H64">
        <f t="shared" si="23"/>
        <v>2.2500000000000002E-4</v>
      </c>
      <c r="I64">
        <f t="shared" si="23"/>
        <v>2.2500000000000002E-4</v>
      </c>
      <c r="J64">
        <f t="shared" si="23"/>
        <v>2.2500000000000002E-4</v>
      </c>
      <c r="K64">
        <f t="shared" si="23"/>
        <v>2.2500000000000002E-4</v>
      </c>
      <c r="L64">
        <f t="shared" si="23"/>
        <v>2.2500000000000002E-4</v>
      </c>
      <c r="M64">
        <f t="shared" si="24"/>
        <v>2.2500000000000002E-4</v>
      </c>
      <c r="N64">
        <f t="shared" si="24"/>
        <v>2.2500000000000002E-4</v>
      </c>
      <c r="O64">
        <f t="shared" si="24"/>
        <v>2.2500000000000002E-4</v>
      </c>
      <c r="P64">
        <f t="shared" si="24"/>
        <v>2.2500000000000002E-4</v>
      </c>
      <c r="Q64">
        <f t="shared" si="24"/>
        <v>2.2500000000000002E-4</v>
      </c>
      <c r="R64">
        <f t="shared" si="24"/>
        <v>2.2500000000000002E-4</v>
      </c>
      <c r="S64">
        <f t="shared" si="24"/>
        <v>2.2500000000000002E-4</v>
      </c>
      <c r="T64">
        <f t="shared" si="24"/>
        <v>2.2500000000000002E-4</v>
      </c>
      <c r="U64">
        <f t="shared" si="24"/>
        <v>2.2500000000000002E-4</v>
      </c>
      <c r="V64">
        <f t="shared" si="24"/>
        <v>2.2500000000000002E-4</v>
      </c>
      <c r="W64">
        <f t="shared" si="25"/>
        <v>2.2500000000000002E-4</v>
      </c>
      <c r="X64">
        <f t="shared" si="25"/>
        <v>2.2500000000000002E-4</v>
      </c>
      <c r="Y64">
        <f t="shared" si="25"/>
        <v>2.2500000000000002E-4</v>
      </c>
      <c r="Z64">
        <f t="shared" si="25"/>
        <v>2.2500000000000002E-4</v>
      </c>
      <c r="AA64">
        <f t="shared" si="25"/>
        <v>2.2500000000000002E-4</v>
      </c>
      <c r="AB64">
        <f t="shared" si="25"/>
        <v>2.2500000000000002E-4</v>
      </c>
      <c r="AC64">
        <f t="shared" si="25"/>
        <v>2.2500000000000002E-4</v>
      </c>
      <c r="AD64">
        <f t="shared" si="25"/>
        <v>2.2500000000000002E-4</v>
      </c>
      <c r="AE64">
        <f t="shared" si="25"/>
        <v>2.2500000000000002E-4</v>
      </c>
      <c r="AF64">
        <f t="shared" si="25"/>
        <v>2.2500000000000002E-4</v>
      </c>
      <c r="AG64">
        <f t="shared" si="26"/>
        <v>2.2500000000000002E-4</v>
      </c>
      <c r="AH64">
        <f t="shared" si="26"/>
        <v>2.2500000000000002E-4</v>
      </c>
      <c r="AI64">
        <f t="shared" si="26"/>
        <v>2.2500000000000002E-4</v>
      </c>
      <c r="AJ64">
        <f t="shared" si="26"/>
        <v>2.2500000000000002E-4</v>
      </c>
      <c r="AK64">
        <f t="shared" si="26"/>
        <v>2.2500000000000002E-4</v>
      </c>
      <c r="AL64">
        <f t="shared" si="26"/>
        <v>2.2500000000000002E-4</v>
      </c>
      <c r="AM64">
        <f t="shared" si="26"/>
        <v>2.2500000000000002E-4</v>
      </c>
      <c r="AN64">
        <f t="shared" si="26"/>
        <v>2.2500000000000002E-4</v>
      </c>
      <c r="AO64">
        <f t="shared" si="26"/>
        <v>2.2500000000000002E-4</v>
      </c>
      <c r="AP64">
        <f t="shared" si="26"/>
        <v>2.2500000000000002E-4</v>
      </c>
      <c r="AQ64">
        <f t="shared" si="27"/>
        <v>2.2500000000000002E-4</v>
      </c>
      <c r="AR64">
        <f t="shared" si="27"/>
        <v>2.2500000000000002E-4</v>
      </c>
      <c r="AS64">
        <f t="shared" si="27"/>
        <v>2.2500000000000002E-4</v>
      </c>
      <c r="AT64">
        <f t="shared" si="27"/>
        <v>2.2500000000000002E-4</v>
      </c>
      <c r="AU64">
        <f t="shared" si="27"/>
        <v>2.2500000000000002E-4</v>
      </c>
      <c r="AV64">
        <f t="shared" si="27"/>
        <v>2.2500000000000002E-4</v>
      </c>
      <c r="AW64">
        <f t="shared" si="27"/>
        <v>2.2500000000000002E-4</v>
      </c>
      <c r="AX64">
        <f t="shared" si="27"/>
        <v>2.2500000000000002E-4</v>
      </c>
      <c r="AY64">
        <f t="shared" si="27"/>
        <v>2.2500000000000002E-4</v>
      </c>
      <c r="AZ64">
        <f t="shared" si="27"/>
        <v>2.2500000000000002E-4</v>
      </c>
      <c r="BA64" s="6"/>
    </row>
    <row r="65" spans="1:53" x14ac:dyDescent="0.2">
      <c r="A65">
        <f t="shared" si="6"/>
        <v>0</v>
      </c>
      <c r="B65" s="3">
        <f t="shared" si="22"/>
        <v>0</v>
      </c>
      <c r="C65" s="2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</row>
    <row r="66" spans="1:53" x14ac:dyDescent="0.2">
      <c r="A66" s="1" t="s">
        <v>3</v>
      </c>
      <c r="B66" s="4">
        <v>0</v>
      </c>
      <c r="C66" s="1">
        <v>0</v>
      </c>
      <c r="D66" s="5">
        <f t="shared" ref="D66:AI66" si="28">D67*dt</f>
        <v>0.01</v>
      </c>
      <c r="E66" s="5">
        <f t="shared" si="28"/>
        <v>0.02</v>
      </c>
      <c r="F66" s="5">
        <f t="shared" si="28"/>
        <v>0.03</v>
      </c>
      <c r="G66" s="5">
        <f t="shared" si="28"/>
        <v>0.04</v>
      </c>
      <c r="H66" s="5">
        <f t="shared" si="28"/>
        <v>0.05</v>
      </c>
      <c r="I66" s="5">
        <f t="shared" si="28"/>
        <v>0.06</v>
      </c>
      <c r="J66" s="5">
        <f t="shared" si="28"/>
        <v>7.0000000000000007E-2</v>
      </c>
      <c r="K66" s="5">
        <f t="shared" si="28"/>
        <v>0.08</v>
      </c>
      <c r="L66" s="5">
        <f t="shared" si="28"/>
        <v>0.09</v>
      </c>
      <c r="M66" s="5">
        <f t="shared" si="28"/>
        <v>0.1</v>
      </c>
      <c r="N66" s="5">
        <f t="shared" si="28"/>
        <v>0.11</v>
      </c>
      <c r="O66" s="5">
        <f t="shared" si="28"/>
        <v>0.12</v>
      </c>
      <c r="P66" s="5">
        <f t="shared" si="28"/>
        <v>0.13</v>
      </c>
      <c r="Q66" s="5">
        <f t="shared" si="28"/>
        <v>0.14000000000000001</v>
      </c>
      <c r="R66" s="5">
        <f t="shared" si="28"/>
        <v>0.15</v>
      </c>
      <c r="S66" s="5">
        <f t="shared" si="28"/>
        <v>0.16</v>
      </c>
      <c r="T66" s="5">
        <f t="shared" si="28"/>
        <v>0.17</v>
      </c>
      <c r="U66" s="5">
        <f t="shared" si="28"/>
        <v>0.18</v>
      </c>
      <c r="V66" s="5">
        <f t="shared" si="28"/>
        <v>0.19</v>
      </c>
      <c r="W66" s="5">
        <f t="shared" si="28"/>
        <v>0.2</v>
      </c>
      <c r="X66" s="5">
        <f t="shared" si="28"/>
        <v>0.21</v>
      </c>
      <c r="Y66" s="5">
        <f t="shared" si="28"/>
        <v>0.22</v>
      </c>
      <c r="Z66" s="5">
        <f t="shared" si="28"/>
        <v>0.23</v>
      </c>
      <c r="AA66" s="5">
        <f t="shared" si="28"/>
        <v>0.24</v>
      </c>
      <c r="AB66" s="5">
        <f t="shared" si="28"/>
        <v>0.25</v>
      </c>
      <c r="AC66" s="5">
        <f t="shared" si="28"/>
        <v>0.26</v>
      </c>
      <c r="AD66" s="5">
        <f t="shared" si="28"/>
        <v>0.27</v>
      </c>
      <c r="AE66" s="5">
        <f t="shared" si="28"/>
        <v>0.28000000000000003</v>
      </c>
      <c r="AF66" s="5">
        <f t="shared" si="28"/>
        <v>0.28999999999999998</v>
      </c>
      <c r="AG66" s="5">
        <f t="shared" si="28"/>
        <v>0.3</v>
      </c>
      <c r="AH66" s="5">
        <f t="shared" si="28"/>
        <v>0.31</v>
      </c>
      <c r="AI66" s="5">
        <f t="shared" si="28"/>
        <v>0.32</v>
      </c>
      <c r="AJ66" s="5">
        <f t="shared" ref="AJ66:BA66" si="29">AJ67*dt</f>
        <v>0.33</v>
      </c>
      <c r="AK66" s="5">
        <f t="shared" si="29"/>
        <v>0.34</v>
      </c>
      <c r="AL66" s="5">
        <f t="shared" si="29"/>
        <v>0.35000000000000003</v>
      </c>
      <c r="AM66" s="5">
        <f t="shared" si="29"/>
        <v>0.36</v>
      </c>
      <c r="AN66" s="5">
        <f t="shared" si="29"/>
        <v>0.37</v>
      </c>
      <c r="AO66" s="5">
        <f t="shared" si="29"/>
        <v>0.38</v>
      </c>
      <c r="AP66" s="5">
        <f t="shared" si="29"/>
        <v>0.39</v>
      </c>
      <c r="AQ66" s="5">
        <f t="shared" si="29"/>
        <v>0.4</v>
      </c>
      <c r="AR66" s="5">
        <f t="shared" si="29"/>
        <v>0.41000000000000003</v>
      </c>
      <c r="AS66" s="5">
        <f t="shared" si="29"/>
        <v>0.42</v>
      </c>
      <c r="AT66" s="5">
        <f t="shared" si="29"/>
        <v>0.43</v>
      </c>
      <c r="AU66" s="5">
        <f t="shared" si="29"/>
        <v>0.44</v>
      </c>
      <c r="AV66" s="5">
        <f t="shared" si="29"/>
        <v>0.45</v>
      </c>
      <c r="AW66" s="5">
        <f t="shared" si="29"/>
        <v>0.46</v>
      </c>
      <c r="AX66" s="5">
        <f t="shared" si="29"/>
        <v>0.47000000000000003</v>
      </c>
      <c r="AY66" s="5">
        <f t="shared" si="29"/>
        <v>0.48</v>
      </c>
      <c r="AZ66" s="5">
        <f t="shared" si="29"/>
        <v>0.49</v>
      </c>
      <c r="BA66" s="5">
        <f t="shared" si="29"/>
        <v>0.5</v>
      </c>
    </row>
    <row r="67" spans="1:53" x14ac:dyDescent="0.2">
      <c r="A67" s="2" t="s">
        <v>4</v>
      </c>
      <c r="B67" s="3">
        <v>0</v>
      </c>
      <c r="C67" s="2">
        <v>0</v>
      </c>
      <c r="D67" s="2">
        <f>B67+1</f>
        <v>1</v>
      </c>
      <c r="E67" s="2">
        <f>D67+1</f>
        <v>2</v>
      </c>
      <c r="F67" s="2">
        <f>E67+1</f>
        <v>3</v>
      </c>
      <c r="G67" s="2">
        <f t="shared" ref="G67:BA67" si="30">F67+1</f>
        <v>4</v>
      </c>
      <c r="H67" s="2">
        <f t="shared" si="30"/>
        <v>5</v>
      </c>
      <c r="I67" s="2">
        <f t="shared" si="30"/>
        <v>6</v>
      </c>
      <c r="J67" s="2">
        <f t="shared" si="30"/>
        <v>7</v>
      </c>
      <c r="K67" s="2">
        <f t="shared" si="30"/>
        <v>8</v>
      </c>
      <c r="L67" s="2">
        <f t="shared" si="30"/>
        <v>9</v>
      </c>
      <c r="M67" s="2">
        <f t="shared" si="30"/>
        <v>10</v>
      </c>
      <c r="N67" s="2">
        <f t="shared" si="30"/>
        <v>11</v>
      </c>
      <c r="O67" s="2">
        <f t="shared" si="30"/>
        <v>12</v>
      </c>
      <c r="P67" s="2">
        <f t="shared" si="30"/>
        <v>13</v>
      </c>
      <c r="Q67" s="2">
        <f t="shared" si="30"/>
        <v>14</v>
      </c>
      <c r="R67" s="2">
        <f t="shared" si="30"/>
        <v>15</v>
      </c>
      <c r="S67" s="2">
        <f t="shared" si="30"/>
        <v>16</v>
      </c>
      <c r="T67" s="2">
        <f t="shared" si="30"/>
        <v>17</v>
      </c>
      <c r="U67" s="2">
        <f t="shared" si="30"/>
        <v>18</v>
      </c>
      <c r="V67" s="2">
        <f t="shared" si="30"/>
        <v>19</v>
      </c>
      <c r="W67" s="2">
        <f t="shared" si="30"/>
        <v>20</v>
      </c>
      <c r="X67" s="2">
        <f t="shared" si="30"/>
        <v>21</v>
      </c>
      <c r="Y67" s="2">
        <f t="shared" si="30"/>
        <v>22</v>
      </c>
      <c r="Z67" s="2">
        <f t="shared" si="30"/>
        <v>23</v>
      </c>
      <c r="AA67" s="2">
        <f t="shared" si="30"/>
        <v>24</v>
      </c>
      <c r="AB67" s="2">
        <f t="shared" si="30"/>
        <v>25</v>
      </c>
      <c r="AC67" s="2">
        <f t="shared" si="30"/>
        <v>26</v>
      </c>
      <c r="AD67" s="2">
        <f t="shared" si="30"/>
        <v>27</v>
      </c>
      <c r="AE67" s="2">
        <f t="shared" si="30"/>
        <v>28</v>
      </c>
      <c r="AF67" s="2">
        <f t="shared" si="30"/>
        <v>29</v>
      </c>
      <c r="AG67" s="2">
        <f t="shared" si="30"/>
        <v>30</v>
      </c>
      <c r="AH67" s="2">
        <f t="shared" si="30"/>
        <v>31</v>
      </c>
      <c r="AI67" s="2">
        <f t="shared" si="30"/>
        <v>32</v>
      </c>
      <c r="AJ67" s="2">
        <f t="shared" si="30"/>
        <v>33</v>
      </c>
      <c r="AK67" s="2">
        <f t="shared" si="30"/>
        <v>34</v>
      </c>
      <c r="AL67" s="2">
        <f t="shared" si="30"/>
        <v>35</v>
      </c>
      <c r="AM67" s="2">
        <f t="shared" si="30"/>
        <v>36</v>
      </c>
      <c r="AN67" s="2">
        <f t="shared" si="30"/>
        <v>37</v>
      </c>
      <c r="AO67" s="2">
        <f t="shared" si="30"/>
        <v>38</v>
      </c>
      <c r="AP67" s="2">
        <f t="shared" si="30"/>
        <v>39</v>
      </c>
      <c r="AQ67" s="2">
        <f t="shared" si="30"/>
        <v>40</v>
      </c>
      <c r="AR67" s="2">
        <f t="shared" si="30"/>
        <v>41</v>
      </c>
      <c r="AS67" s="2">
        <f t="shared" si="30"/>
        <v>42</v>
      </c>
      <c r="AT67" s="2">
        <f t="shared" si="30"/>
        <v>43</v>
      </c>
      <c r="AU67" s="2">
        <f t="shared" si="30"/>
        <v>44</v>
      </c>
      <c r="AV67" s="2">
        <f t="shared" si="30"/>
        <v>45</v>
      </c>
      <c r="AW67" s="2">
        <f t="shared" si="30"/>
        <v>46</v>
      </c>
      <c r="AX67" s="2">
        <f t="shared" si="30"/>
        <v>47</v>
      </c>
      <c r="AY67" s="2">
        <f t="shared" si="30"/>
        <v>48</v>
      </c>
      <c r="AZ67" s="2">
        <f t="shared" si="30"/>
        <v>49</v>
      </c>
      <c r="BA67" s="2">
        <f t="shared" si="30"/>
        <v>50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4:BA67"/>
  <sheetViews>
    <sheetView workbookViewId="0">
      <selection activeCell="C16" sqref="C16:AZ64"/>
    </sheetView>
  </sheetViews>
  <sheetFormatPr defaultColWidth="8.85546875" defaultRowHeight="12.75" x14ac:dyDescent="0.2"/>
  <sheetData>
    <row r="14" spans="1:53" x14ac:dyDescent="0.2">
      <c r="A14" t="s">
        <v>12</v>
      </c>
      <c r="B14" t="s">
        <v>11</v>
      </c>
    </row>
    <row r="15" spans="1:53" x14ac:dyDescent="0.2">
      <c r="A15">
        <v>50</v>
      </c>
      <c r="B15" s="3">
        <f t="shared" ref="B15:B46" si="0">Smin+dS*A15</f>
        <v>100</v>
      </c>
      <c r="C15" s="2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</row>
    <row r="16" spans="1:53" x14ac:dyDescent="0.2">
      <c r="A16">
        <f>A15-1</f>
        <v>49</v>
      </c>
      <c r="B16" s="3">
        <f t="shared" si="0"/>
        <v>98</v>
      </c>
      <c r="C16">
        <f t="shared" ref="C16:L25" si="1">1-sigma^2*$A16^2*dt</f>
        <v>3.9599999999999747E-2</v>
      </c>
      <c r="D16">
        <f t="shared" si="1"/>
        <v>3.9599999999999747E-2</v>
      </c>
      <c r="E16">
        <f t="shared" si="1"/>
        <v>3.9599999999999747E-2</v>
      </c>
      <c r="F16">
        <f t="shared" si="1"/>
        <v>3.9599999999999747E-2</v>
      </c>
      <c r="G16">
        <f t="shared" si="1"/>
        <v>3.9599999999999747E-2</v>
      </c>
      <c r="H16">
        <f t="shared" si="1"/>
        <v>3.9599999999999747E-2</v>
      </c>
      <c r="I16">
        <f t="shared" si="1"/>
        <v>3.9599999999999747E-2</v>
      </c>
      <c r="J16">
        <f t="shared" si="1"/>
        <v>3.9599999999999747E-2</v>
      </c>
      <c r="K16">
        <f t="shared" si="1"/>
        <v>3.9599999999999747E-2</v>
      </c>
      <c r="L16">
        <f t="shared" si="1"/>
        <v>3.9599999999999747E-2</v>
      </c>
      <c r="M16">
        <f t="shared" ref="M16:V25" si="2">1-sigma^2*$A16^2*dt</f>
        <v>3.9599999999999747E-2</v>
      </c>
      <c r="N16">
        <f t="shared" si="2"/>
        <v>3.9599999999999747E-2</v>
      </c>
      <c r="O16">
        <f t="shared" si="2"/>
        <v>3.9599999999999747E-2</v>
      </c>
      <c r="P16">
        <f t="shared" si="2"/>
        <v>3.9599999999999747E-2</v>
      </c>
      <c r="Q16">
        <f t="shared" si="2"/>
        <v>3.9599999999999747E-2</v>
      </c>
      <c r="R16">
        <f t="shared" si="2"/>
        <v>3.9599999999999747E-2</v>
      </c>
      <c r="S16">
        <f t="shared" si="2"/>
        <v>3.9599999999999747E-2</v>
      </c>
      <c r="T16">
        <f t="shared" si="2"/>
        <v>3.9599999999999747E-2</v>
      </c>
      <c r="U16">
        <f t="shared" si="2"/>
        <v>3.9599999999999747E-2</v>
      </c>
      <c r="V16">
        <f t="shared" si="2"/>
        <v>3.9599999999999747E-2</v>
      </c>
      <c r="W16">
        <f t="shared" ref="W16:AF25" si="3">1-sigma^2*$A16^2*dt</f>
        <v>3.9599999999999747E-2</v>
      </c>
      <c r="X16">
        <f t="shared" si="3"/>
        <v>3.9599999999999747E-2</v>
      </c>
      <c r="Y16">
        <f t="shared" si="3"/>
        <v>3.9599999999999747E-2</v>
      </c>
      <c r="Z16">
        <f t="shared" si="3"/>
        <v>3.9599999999999747E-2</v>
      </c>
      <c r="AA16">
        <f t="shared" si="3"/>
        <v>3.9599999999999747E-2</v>
      </c>
      <c r="AB16">
        <f t="shared" si="3"/>
        <v>3.9599999999999747E-2</v>
      </c>
      <c r="AC16">
        <f t="shared" si="3"/>
        <v>3.9599999999999747E-2</v>
      </c>
      <c r="AD16">
        <f t="shared" si="3"/>
        <v>3.9599999999999747E-2</v>
      </c>
      <c r="AE16">
        <f t="shared" si="3"/>
        <v>3.9599999999999747E-2</v>
      </c>
      <c r="AF16">
        <f t="shared" si="3"/>
        <v>3.9599999999999747E-2</v>
      </c>
      <c r="AG16">
        <f t="shared" ref="AG16:AP25" si="4">1-sigma^2*$A16^2*dt</f>
        <v>3.9599999999999747E-2</v>
      </c>
      <c r="AH16">
        <f t="shared" si="4"/>
        <v>3.9599999999999747E-2</v>
      </c>
      <c r="AI16">
        <f t="shared" si="4"/>
        <v>3.9599999999999747E-2</v>
      </c>
      <c r="AJ16">
        <f t="shared" si="4"/>
        <v>3.9599999999999747E-2</v>
      </c>
      <c r="AK16">
        <f t="shared" si="4"/>
        <v>3.9599999999999747E-2</v>
      </c>
      <c r="AL16">
        <f t="shared" si="4"/>
        <v>3.9599999999999747E-2</v>
      </c>
      <c r="AM16">
        <f t="shared" si="4"/>
        <v>3.9599999999999747E-2</v>
      </c>
      <c r="AN16">
        <f t="shared" si="4"/>
        <v>3.9599999999999747E-2</v>
      </c>
      <c r="AO16">
        <f t="shared" si="4"/>
        <v>3.9599999999999747E-2</v>
      </c>
      <c r="AP16">
        <f t="shared" si="4"/>
        <v>3.9599999999999747E-2</v>
      </c>
      <c r="AQ16">
        <f t="shared" ref="AQ16:AZ25" si="5">1-sigma^2*$A16^2*dt</f>
        <v>3.9599999999999747E-2</v>
      </c>
      <c r="AR16">
        <f t="shared" si="5"/>
        <v>3.9599999999999747E-2</v>
      </c>
      <c r="AS16">
        <f t="shared" si="5"/>
        <v>3.9599999999999747E-2</v>
      </c>
      <c r="AT16">
        <f t="shared" si="5"/>
        <v>3.9599999999999747E-2</v>
      </c>
      <c r="AU16">
        <f t="shared" si="5"/>
        <v>3.9599999999999747E-2</v>
      </c>
      <c r="AV16">
        <f t="shared" si="5"/>
        <v>3.9599999999999747E-2</v>
      </c>
      <c r="AW16">
        <f t="shared" si="5"/>
        <v>3.9599999999999747E-2</v>
      </c>
      <c r="AX16">
        <f t="shared" si="5"/>
        <v>3.9599999999999747E-2</v>
      </c>
      <c r="AY16">
        <f t="shared" si="5"/>
        <v>3.9599999999999747E-2</v>
      </c>
      <c r="AZ16">
        <f t="shared" si="5"/>
        <v>3.9599999999999747E-2</v>
      </c>
      <c r="BA16" s="6"/>
    </row>
    <row r="17" spans="1:53" x14ac:dyDescent="0.2">
      <c r="A17">
        <f t="shared" ref="A17:A65" si="6">A16-1</f>
        <v>48</v>
      </c>
      <c r="B17" s="3">
        <f t="shared" si="0"/>
        <v>96</v>
      </c>
      <c r="C17">
        <f t="shared" si="1"/>
        <v>7.8399999999999692E-2</v>
      </c>
      <c r="D17">
        <f t="shared" si="1"/>
        <v>7.8399999999999692E-2</v>
      </c>
      <c r="E17">
        <f t="shared" si="1"/>
        <v>7.8399999999999692E-2</v>
      </c>
      <c r="F17">
        <f t="shared" si="1"/>
        <v>7.8399999999999692E-2</v>
      </c>
      <c r="G17">
        <f t="shared" si="1"/>
        <v>7.8399999999999692E-2</v>
      </c>
      <c r="H17">
        <f t="shared" si="1"/>
        <v>7.8399999999999692E-2</v>
      </c>
      <c r="I17">
        <f t="shared" si="1"/>
        <v>7.8399999999999692E-2</v>
      </c>
      <c r="J17">
        <f t="shared" si="1"/>
        <v>7.8399999999999692E-2</v>
      </c>
      <c r="K17">
        <f t="shared" si="1"/>
        <v>7.8399999999999692E-2</v>
      </c>
      <c r="L17">
        <f t="shared" si="1"/>
        <v>7.8399999999999692E-2</v>
      </c>
      <c r="M17">
        <f t="shared" si="2"/>
        <v>7.8399999999999692E-2</v>
      </c>
      <c r="N17">
        <f t="shared" si="2"/>
        <v>7.8399999999999692E-2</v>
      </c>
      <c r="O17">
        <f t="shared" si="2"/>
        <v>7.8399999999999692E-2</v>
      </c>
      <c r="P17">
        <f t="shared" si="2"/>
        <v>7.8399999999999692E-2</v>
      </c>
      <c r="Q17">
        <f t="shared" si="2"/>
        <v>7.8399999999999692E-2</v>
      </c>
      <c r="R17">
        <f t="shared" si="2"/>
        <v>7.8399999999999692E-2</v>
      </c>
      <c r="S17">
        <f t="shared" si="2"/>
        <v>7.8399999999999692E-2</v>
      </c>
      <c r="T17">
        <f t="shared" si="2"/>
        <v>7.8399999999999692E-2</v>
      </c>
      <c r="U17">
        <f t="shared" si="2"/>
        <v>7.8399999999999692E-2</v>
      </c>
      <c r="V17">
        <f t="shared" si="2"/>
        <v>7.8399999999999692E-2</v>
      </c>
      <c r="W17">
        <f t="shared" si="3"/>
        <v>7.8399999999999692E-2</v>
      </c>
      <c r="X17">
        <f t="shared" si="3"/>
        <v>7.8399999999999692E-2</v>
      </c>
      <c r="Y17">
        <f t="shared" si="3"/>
        <v>7.8399999999999692E-2</v>
      </c>
      <c r="Z17">
        <f t="shared" si="3"/>
        <v>7.8399999999999692E-2</v>
      </c>
      <c r="AA17">
        <f t="shared" si="3"/>
        <v>7.8399999999999692E-2</v>
      </c>
      <c r="AB17">
        <f t="shared" si="3"/>
        <v>7.8399999999999692E-2</v>
      </c>
      <c r="AC17">
        <f t="shared" si="3"/>
        <v>7.8399999999999692E-2</v>
      </c>
      <c r="AD17">
        <f t="shared" si="3"/>
        <v>7.8399999999999692E-2</v>
      </c>
      <c r="AE17">
        <f t="shared" si="3"/>
        <v>7.8399999999999692E-2</v>
      </c>
      <c r="AF17">
        <f t="shared" si="3"/>
        <v>7.8399999999999692E-2</v>
      </c>
      <c r="AG17">
        <f t="shared" si="4"/>
        <v>7.8399999999999692E-2</v>
      </c>
      <c r="AH17">
        <f t="shared" si="4"/>
        <v>7.8399999999999692E-2</v>
      </c>
      <c r="AI17">
        <f t="shared" si="4"/>
        <v>7.8399999999999692E-2</v>
      </c>
      <c r="AJ17">
        <f t="shared" si="4"/>
        <v>7.8399999999999692E-2</v>
      </c>
      <c r="AK17">
        <f t="shared" si="4"/>
        <v>7.8399999999999692E-2</v>
      </c>
      <c r="AL17">
        <f t="shared" si="4"/>
        <v>7.8399999999999692E-2</v>
      </c>
      <c r="AM17">
        <f t="shared" si="4"/>
        <v>7.8399999999999692E-2</v>
      </c>
      <c r="AN17">
        <f t="shared" si="4"/>
        <v>7.8399999999999692E-2</v>
      </c>
      <c r="AO17">
        <f t="shared" si="4"/>
        <v>7.8399999999999692E-2</v>
      </c>
      <c r="AP17">
        <f t="shared" si="4"/>
        <v>7.8399999999999692E-2</v>
      </c>
      <c r="AQ17">
        <f t="shared" si="5"/>
        <v>7.8399999999999692E-2</v>
      </c>
      <c r="AR17">
        <f t="shared" si="5"/>
        <v>7.8399999999999692E-2</v>
      </c>
      <c r="AS17">
        <f t="shared" si="5"/>
        <v>7.8399999999999692E-2</v>
      </c>
      <c r="AT17">
        <f t="shared" si="5"/>
        <v>7.8399999999999692E-2</v>
      </c>
      <c r="AU17">
        <f t="shared" si="5"/>
        <v>7.8399999999999692E-2</v>
      </c>
      <c r="AV17">
        <f t="shared" si="5"/>
        <v>7.8399999999999692E-2</v>
      </c>
      <c r="AW17">
        <f t="shared" si="5"/>
        <v>7.8399999999999692E-2</v>
      </c>
      <c r="AX17">
        <f t="shared" si="5"/>
        <v>7.8399999999999692E-2</v>
      </c>
      <c r="AY17">
        <f t="shared" si="5"/>
        <v>7.8399999999999692E-2</v>
      </c>
      <c r="AZ17">
        <f t="shared" si="5"/>
        <v>7.8399999999999692E-2</v>
      </c>
      <c r="BA17" s="6"/>
    </row>
    <row r="18" spans="1:53" x14ac:dyDescent="0.2">
      <c r="A18">
        <f t="shared" si="6"/>
        <v>47</v>
      </c>
      <c r="B18" s="3">
        <f t="shared" si="0"/>
        <v>94</v>
      </c>
      <c r="C18">
        <f t="shared" si="1"/>
        <v>0.11639999999999984</v>
      </c>
      <c r="D18">
        <f t="shared" si="1"/>
        <v>0.11639999999999984</v>
      </c>
      <c r="E18">
        <f t="shared" si="1"/>
        <v>0.11639999999999984</v>
      </c>
      <c r="F18">
        <f t="shared" si="1"/>
        <v>0.11639999999999984</v>
      </c>
      <c r="G18">
        <f t="shared" si="1"/>
        <v>0.11639999999999984</v>
      </c>
      <c r="H18">
        <f t="shared" si="1"/>
        <v>0.11639999999999984</v>
      </c>
      <c r="I18">
        <f t="shared" si="1"/>
        <v>0.11639999999999984</v>
      </c>
      <c r="J18">
        <f t="shared" si="1"/>
        <v>0.11639999999999984</v>
      </c>
      <c r="K18">
        <f t="shared" si="1"/>
        <v>0.11639999999999984</v>
      </c>
      <c r="L18">
        <f t="shared" si="1"/>
        <v>0.11639999999999984</v>
      </c>
      <c r="M18">
        <f t="shared" si="2"/>
        <v>0.11639999999999984</v>
      </c>
      <c r="N18">
        <f t="shared" si="2"/>
        <v>0.11639999999999984</v>
      </c>
      <c r="O18">
        <f t="shared" si="2"/>
        <v>0.11639999999999984</v>
      </c>
      <c r="P18">
        <f t="shared" si="2"/>
        <v>0.11639999999999984</v>
      </c>
      <c r="Q18">
        <f t="shared" si="2"/>
        <v>0.11639999999999984</v>
      </c>
      <c r="R18">
        <f t="shared" si="2"/>
        <v>0.11639999999999984</v>
      </c>
      <c r="S18">
        <f t="shared" si="2"/>
        <v>0.11639999999999984</v>
      </c>
      <c r="T18">
        <f t="shared" si="2"/>
        <v>0.11639999999999984</v>
      </c>
      <c r="U18">
        <f t="shared" si="2"/>
        <v>0.11639999999999984</v>
      </c>
      <c r="V18">
        <f t="shared" si="2"/>
        <v>0.11639999999999984</v>
      </c>
      <c r="W18">
        <f t="shared" si="3"/>
        <v>0.11639999999999984</v>
      </c>
      <c r="X18">
        <f t="shared" si="3"/>
        <v>0.11639999999999984</v>
      </c>
      <c r="Y18">
        <f t="shared" si="3"/>
        <v>0.11639999999999984</v>
      </c>
      <c r="Z18">
        <f t="shared" si="3"/>
        <v>0.11639999999999984</v>
      </c>
      <c r="AA18">
        <f t="shared" si="3"/>
        <v>0.11639999999999984</v>
      </c>
      <c r="AB18">
        <f t="shared" si="3"/>
        <v>0.11639999999999984</v>
      </c>
      <c r="AC18">
        <f t="shared" si="3"/>
        <v>0.11639999999999984</v>
      </c>
      <c r="AD18">
        <f t="shared" si="3"/>
        <v>0.11639999999999984</v>
      </c>
      <c r="AE18">
        <f t="shared" si="3"/>
        <v>0.11639999999999984</v>
      </c>
      <c r="AF18">
        <f t="shared" si="3"/>
        <v>0.11639999999999984</v>
      </c>
      <c r="AG18">
        <f t="shared" si="4"/>
        <v>0.11639999999999984</v>
      </c>
      <c r="AH18">
        <f t="shared" si="4"/>
        <v>0.11639999999999984</v>
      </c>
      <c r="AI18">
        <f t="shared" si="4"/>
        <v>0.11639999999999984</v>
      </c>
      <c r="AJ18">
        <f t="shared" si="4"/>
        <v>0.11639999999999984</v>
      </c>
      <c r="AK18">
        <f t="shared" si="4"/>
        <v>0.11639999999999984</v>
      </c>
      <c r="AL18">
        <f t="shared" si="4"/>
        <v>0.11639999999999984</v>
      </c>
      <c r="AM18">
        <f t="shared" si="4"/>
        <v>0.11639999999999984</v>
      </c>
      <c r="AN18">
        <f t="shared" si="4"/>
        <v>0.11639999999999984</v>
      </c>
      <c r="AO18">
        <f t="shared" si="4"/>
        <v>0.11639999999999984</v>
      </c>
      <c r="AP18">
        <f t="shared" si="4"/>
        <v>0.11639999999999984</v>
      </c>
      <c r="AQ18">
        <f t="shared" si="5"/>
        <v>0.11639999999999984</v>
      </c>
      <c r="AR18">
        <f t="shared" si="5"/>
        <v>0.11639999999999984</v>
      </c>
      <c r="AS18">
        <f t="shared" si="5"/>
        <v>0.11639999999999984</v>
      </c>
      <c r="AT18">
        <f t="shared" si="5"/>
        <v>0.11639999999999984</v>
      </c>
      <c r="AU18">
        <f t="shared" si="5"/>
        <v>0.11639999999999984</v>
      </c>
      <c r="AV18">
        <f t="shared" si="5"/>
        <v>0.11639999999999984</v>
      </c>
      <c r="AW18">
        <f t="shared" si="5"/>
        <v>0.11639999999999984</v>
      </c>
      <c r="AX18">
        <f t="shared" si="5"/>
        <v>0.11639999999999984</v>
      </c>
      <c r="AY18">
        <f t="shared" si="5"/>
        <v>0.11639999999999984</v>
      </c>
      <c r="AZ18">
        <f t="shared" si="5"/>
        <v>0.11639999999999984</v>
      </c>
      <c r="BA18" s="6"/>
    </row>
    <row r="19" spans="1:53" x14ac:dyDescent="0.2">
      <c r="A19">
        <f t="shared" si="6"/>
        <v>46</v>
      </c>
      <c r="B19" s="3">
        <f t="shared" si="0"/>
        <v>92</v>
      </c>
      <c r="C19">
        <f t="shared" si="1"/>
        <v>0.15359999999999985</v>
      </c>
      <c r="D19">
        <f t="shared" si="1"/>
        <v>0.15359999999999985</v>
      </c>
      <c r="E19">
        <f t="shared" si="1"/>
        <v>0.15359999999999985</v>
      </c>
      <c r="F19">
        <f t="shared" si="1"/>
        <v>0.15359999999999985</v>
      </c>
      <c r="G19">
        <f t="shared" si="1"/>
        <v>0.15359999999999985</v>
      </c>
      <c r="H19">
        <f t="shared" si="1"/>
        <v>0.15359999999999985</v>
      </c>
      <c r="I19">
        <f t="shared" si="1"/>
        <v>0.15359999999999985</v>
      </c>
      <c r="J19">
        <f t="shared" si="1"/>
        <v>0.15359999999999985</v>
      </c>
      <c r="K19">
        <f t="shared" si="1"/>
        <v>0.15359999999999985</v>
      </c>
      <c r="L19">
        <f t="shared" si="1"/>
        <v>0.15359999999999985</v>
      </c>
      <c r="M19">
        <f t="shared" si="2"/>
        <v>0.15359999999999985</v>
      </c>
      <c r="N19">
        <f t="shared" si="2"/>
        <v>0.15359999999999985</v>
      </c>
      <c r="O19">
        <f t="shared" si="2"/>
        <v>0.15359999999999985</v>
      </c>
      <c r="P19">
        <f t="shared" si="2"/>
        <v>0.15359999999999985</v>
      </c>
      <c r="Q19">
        <f t="shared" si="2"/>
        <v>0.15359999999999985</v>
      </c>
      <c r="R19">
        <f t="shared" si="2"/>
        <v>0.15359999999999985</v>
      </c>
      <c r="S19">
        <f t="shared" si="2"/>
        <v>0.15359999999999985</v>
      </c>
      <c r="T19">
        <f t="shared" si="2"/>
        <v>0.15359999999999985</v>
      </c>
      <c r="U19">
        <f t="shared" si="2"/>
        <v>0.15359999999999985</v>
      </c>
      <c r="V19">
        <f t="shared" si="2"/>
        <v>0.15359999999999985</v>
      </c>
      <c r="W19">
        <f t="shared" si="3"/>
        <v>0.15359999999999985</v>
      </c>
      <c r="X19">
        <f t="shared" si="3"/>
        <v>0.15359999999999985</v>
      </c>
      <c r="Y19">
        <f t="shared" si="3"/>
        <v>0.15359999999999985</v>
      </c>
      <c r="Z19">
        <f t="shared" si="3"/>
        <v>0.15359999999999985</v>
      </c>
      <c r="AA19">
        <f t="shared" si="3"/>
        <v>0.15359999999999985</v>
      </c>
      <c r="AB19">
        <f t="shared" si="3"/>
        <v>0.15359999999999985</v>
      </c>
      <c r="AC19">
        <f t="shared" si="3"/>
        <v>0.15359999999999985</v>
      </c>
      <c r="AD19">
        <f t="shared" si="3"/>
        <v>0.15359999999999985</v>
      </c>
      <c r="AE19">
        <f t="shared" si="3"/>
        <v>0.15359999999999985</v>
      </c>
      <c r="AF19">
        <f t="shared" si="3"/>
        <v>0.15359999999999985</v>
      </c>
      <c r="AG19">
        <f t="shared" si="4"/>
        <v>0.15359999999999985</v>
      </c>
      <c r="AH19">
        <f t="shared" si="4"/>
        <v>0.15359999999999985</v>
      </c>
      <c r="AI19">
        <f t="shared" si="4"/>
        <v>0.15359999999999985</v>
      </c>
      <c r="AJ19">
        <f t="shared" si="4"/>
        <v>0.15359999999999985</v>
      </c>
      <c r="AK19">
        <f t="shared" si="4"/>
        <v>0.15359999999999985</v>
      </c>
      <c r="AL19">
        <f t="shared" si="4"/>
        <v>0.15359999999999985</v>
      </c>
      <c r="AM19">
        <f t="shared" si="4"/>
        <v>0.15359999999999985</v>
      </c>
      <c r="AN19">
        <f t="shared" si="4"/>
        <v>0.15359999999999985</v>
      </c>
      <c r="AO19">
        <f t="shared" si="4"/>
        <v>0.15359999999999985</v>
      </c>
      <c r="AP19">
        <f t="shared" si="4"/>
        <v>0.15359999999999985</v>
      </c>
      <c r="AQ19">
        <f t="shared" si="5"/>
        <v>0.15359999999999985</v>
      </c>
      <c r="AR19">
        <f t="shared" si="5"/>
        <v>0.15359999999999985</v>
      </c>
      <c r="AS19">
        <f t="shared" si="5"/>
        <v>0.15359999999999985</v>
      </c>
      <c r="AT19">
        <f t="shared" si="5"/>
        <v>0.15359999999999985</v>
      </c>
      <c r="AU19">
        <f t="shared" si="5"/>
        <v>0.15359999999999985</v>
      </c>
      <c r="AV19">
        <f t="shared" si="5"/>
        <v>0.15359999999999985</v>
      </c>
      <c r="AW19">
        <f t="shared" si="5"/>
        <v>0.15359999999999985</v>
      </c>
      <c r="AX19">
        <f t="shared" si="5"/>
        <v>0.15359999999999985</v>
      </c>
      <c r="AY19">
        <f t="shared" si="5"/>
        <v>0.15359999999999985</v>
      </c>
      <c r="AZ19">
        <f t="shared" si="5"/>
        <v>0.15359999999999985</v>
      </c>
      <c r="BA19" s="6"/>
    </row>
    <row r="20" spans="1:53" x14ac:dyDescent="0.2">
      <c r="A20">
        <f t="shared" si="6"/>
        <v>45</v>
      </c>
      <c r="B20" s="3">
        <f t="shared" si="0"/>
        <v>90</v>
      </c>
      <c r="C20">
        <f t="shared" si="1"/>
        <v>0.18999999999999984</v>
      </c>
      <c r="D20">
        <f t="shared" si="1"/>
        <v>0.18999999999999984</v>
      </c>
      <c r="E20">
        <f t="shared" si="1"/>
        <v>0.18999999999999984</v>
      </c>
      <c r="F20">
        <f t="shared" si="1"/>
        <v>0.18999999999999984</v>
      </c>
      <c r="G20">
        <f t="shared" si="1"/>
        <v>0.18999999999999984</v>
      </c>
      <c r="H20">
        <f t="shared" si="1"/>
        <v>0.18999999999999984</v>
      </c>
      <c r="I20">
        <f t="shared" si="1"/>
        <v>0.18999999999999984</v>
      </c>
      <c r="J20">
        <f t="shared" si="1"/>
        <v>0.18999999999999984</v>
      </c>
      <c r="K20">
        <f t="shared" si="1"/>
        <v>0.18999999999999984</v>
      </c>
      <c r="L20">
        <f t="shared" si="1"/>
        <v>0.18999999999999984</v>
      </c>
      <c r="M20">
        <f t="shared" si="2"/>
        <v>0.18999999999999984</v>
      </c>
      <c r="N20">
        <f t="shared" si="2"/>
        <v>0.18999999999999984</v>
      </c>
      <c r="O20">
        <f t="shared" si="2"/>
        <v>0.18999999999999984</v>
      </c>
      <c r="P20">
        <f t="shared" si="2"/>
        <v>0.18999999999999984</v>
      </c>
      <c r="Q20">
        <f t="shared" si="2"/>
        <v>0.18999999999999984</v>
      </c>
      <c r="R20">
        <f t="shared" si="2"/>
        <v>0.18999999999999984</v>
      </c>
      <c r="S20">
        <f t="shared" si="2"/>
        <v>0.18999999999999984</v>
      </c>
      <c r="T20">
        <f t="shared" si="2"/>
        <v>0.18999999999999984</v>
      </c>
      <c r="U20">
        <f t="shared" si="2"/>
        <v>0.18999999999999984</v>
      </c>
      <c r="V20">
        <f t="shared" si="2"/>
        <v>0.18999999999999984</v>
      </c>
      <c r="W20">
        <f t="shared" si="3"/>
        <v>0.18999999999999984</v>
      </c>
      <c r="X20">
        <f t="shared" si="3"/>
        <v>0.18999999999999984</v>
      </c>
      <c r="Y20">
        <f t="shared" si="3"/>
        <v>0.18999999999999984</v>
      </c>
      <c r="Z20">
        <f t="shared" si="3"/>
        <v>0.18999999999999984</v>
      </c>
      <c r="AA20">
        <f t="shared" si="3"/>
        <v>0.18999999999999984</v>
      </c>
      <c r="AB20">
        <f t="shared" si="3"/>
        <v>0.18999999999999984</v>
      </c>
      <c r="AC20">
        <f t="shared" si="3"/>
        <v>0.18999999999999984</v>
      </c>
      <c r="AD20">
        <f t="shared" si="3"/>
        <v>0.18999999999999984</v>
      </c>
      <c r="AE20">
        <f t="shared" si="3"/>
        <v>0.18999999999999984</v>
      </c>
      <c r="AF20">
        <f t="shared" si="3"/>
        <v>0.18999999999999984</v>
      </c>
      <c r="AG20">
        <f t="shared" si="4"/>
        <v>0.18999999999999984</v>
      </c>
      <c r="AH20">
        <f t="shared" si="4"/>
        <v>0.18999999999999984</v>
      </c>
      <c r="AI20">
        <f t="shared" si="4"/>
        <v>0.18999999999999984</v>
      </c>
      <c r="AJ20">
        <f t="shared" si="4"/>
        <v>0.18999999999999984</v>
      </c>
      <c r="AK20">
        <f t="shared" si="4"/>
        <v>0.18999999999999984</v>
      </c>
      <c r="AL20">
        <f t="shared" si="4"/>
        <v>0.18999999999999984</v>
      </c>
      <c r="AM20">
        <f t="shared" si="4"/>
        <v>0.18999999999999984</v>
      </c>
      <c r="AN20">
        <f t="shared" si="4"/>
        <v>0.18999999999999984</v>
      </c>
      <c r="AO20">
        <f t="shared" si="4"/>
        <v>0.18999999999999984</v>
      </c>
      <c r="AP20">
        <f t="shared" si="4"/>
        <v>0.18999999999999984</v>
      </c>
      <c r="AQ20">
        <f t="shared" si="5"/>
        <v>0.18999999999999984</v>
      </c>
      <c r="AR20">
        <f t="shared" si="5"/>
        <v>0.18999999999999984</v>
      </c>
      <c r="AS20">
        <f t="shared" si="5"/>
        <v>0.18999999999999984</v>
      </c>
      <c r="AT20">
        <f t="shared" si="5"/>
        <v>0.18999999999999984</v>
      </c>
      <c r="AU20">
        <f t="shared" si="5"/>
        <v>0.18999999999999984</v>
      </c>
      <c r="AV20">
        <f t="shared" si="5"/>
        <v>0.18999999999999984</v>
      </c>
      <c r="AW20">
        <f t="shared" si="5"/>
        <v>0.18999999999999984</v>
      </c>
      <c r="AX20">
        <f t="shared" si="5"/>
        <v>0.18999999999999984</v>
      </c>
      <c r="AY20">
        <f t="shared" si="5"/>
        <v>0.18999999999999984</v>
      </c>
      <c r="AZ20">
        <f t="shared" si="5"/>
        <v>0.18999999999999984</v>
      </c>
      <c r="BA20" s="6"/>
    </row>
    <row r="21" spans="1:53" x14ac:dyDescent="0.2">
      <c r="A21">
        <f t="shared" si="6"/>
        <v>44</v>
      </c>
      <c r="B21" s="3">
        <f t="shared" si="0"/>
        <v>88</v>
      </c>
      <c r="C21">
        <f t="shared" si="1"/>
        <v>0.22559999999999991</v>
      </c>
      <c r="D21">
        <f t="shared" si="1"/>
        <v>0.22559999999999991</v>
      </c>
      <c r="E21">
        <f t="shared" si="1"/>
        <v>0.22559999999999991</v>
      </c>
      <c r="F21">
        <f t="shared" si="1"/>
        <v>0.22559999999999991</v>
      </c>
      <c r="G21">
        <f t="shared" si="1"/>
        <v>0.22559999999999991</v>
      </c>
      <c r="H21">
        <f t="shared" si="1"/>
        <v>0.22559999999999991</v>
      </c>
      <c r="I21">
        <f t="shared" si="1"/>
        <v>0.22559999999999991</v>
      </c>
      <c r="J21">
        <f t="shared" si="1"/>
        <v>0.22559999999999991</v>
      </c>
      <c r="K21">
        <f t="shared" si="1"/>
        <v>0.22559999999999991</v>
      </c>
      <c r="L21">
        <f t="shared" si="1"/>
        <v>0.22559999999999991</v>
      </c>
      <c r="M21">
        <f t="shared" si="2"/>
        <v>0.22559999999999991</v>
      </c>
      <c r="N21">
        <f t="shared" si="2"/>
        <v>0.22559999999999991</v>
      </c>
      <c r="O21">
        <f t="shared" si="2"/>
        <v>0.22559999999999991</v>
      </c>
      <c r="P21">
        <f t="shared" si="2"/>
        <v>0.22559999999999991</v>
      </c>
      <c r="Q21">
        <f t="shared" si="2"/>
        <v>0.22559999999999991</v>
      </c>
      <c r="R21">
        <f t="shared" si="2"/>
        <v>0.22559999999999991</v>
      </c>
      <c r="S21">
        <f t="shared" si="2"/>
        <v>0.22559999999999991</v>
      </c>
      <c r="T21">
        <f t="shared" si="2"/>
        <v>0.22559999999999991</v>
      </c>
      <c r="U21">
        <f t="shared" si="2"/>
        <v>0.22559999999999991</v>
      </c>
      <c r="V21">
        <f t="shared" si="2"/>
        <v>0.22559999999999991</v>
      </c>
      <c r="W21">
        <f t="shared" si="3"/>
        <v>0.22559999999999991</v>
      </c>
      <c r="X21">
        <f t="shared" si="3"/>
        <v>0.22559999999999991</v>
      </c>
      <c r="Y21">
        <f t="shared" si="3"/>
        <v>0.22559999999999991</v>
      </c>
      <c r="Z21">
        <f t="shared" si="3"/>
        <v>0.22559999999999991</v>
      </c>
      <c r="AA21">
        <f t="shared" si="3"/>
        <v>0.22559999999999991</v>
      </c>
      <c r="AB21">
        <f t="shared" si="3"/>
        <v>0.22559999999999991</v>
      </c>
      <c r="AC21">
        <f t="shared" si="3"/>
        <v>0.22559999999999991</v>
      </c>
      <c r="AD21">
        <f t="shared" si="3"/>
        <v>0.22559999999999991</v>
      </c>
      <c r="AE21">
        <f t="shared" si="3"/>
        <v>0.22559999999999991</v>
      </c>
      <c r="AF21">
        <f t="shared" si="3"/>
        <v>0.22559999999999991</v>
      </c>
      <c r="AG21">
        <f t="shared" si="4"/>
        <v>0.22559999999999991</v>
      </c>
      <c r="AH21">
        <f t="shared" si="4"/>
        <v>0.22559999999999991</v>
      </c>
      <c r="AI21">
        <f t="shared" si="4"/>
        <v>0.22559999999999991</v>
      </c>
      <c r="AJ21">
        <f t="shared" si="4"/>
        <v>0.22559999999999991</v>
      </c>
      <c r="AK21">
        <f t="shared" si="4"/>
        <v>0.22559999999999991</v>
      </c>
      <c r="AL21">
        <f t="shared" si="4"/>
        <v>0.22559999999999991</v>
      </c>
      <c r="AM21">
        <f t="shared" si="4"/>
        <v>0.22559999999999991</v>
      </c>
      <c r="AN21">
        <f t="shared" si="4"/>
        <v>0.22559999999999991</v>
      </c>
      <c r="AO21">
        <f t="shared" si="4"/>
        <v>0.22559999999999991</v>
      </c>
      <c r="AP21">
        <f t="shared" si="4"/>
        <v>0.22559999999999991</v>
      </c>
      <c r="AQ21">
        <f t="shared" si="5"/>
        <v>0.22559999999999991</v>
      </c>
      <c r="AR21">
        <f t="shared" si="5"/>
        <v>0.22559999999999991</v>
      </c>
      <c r="AS21">
        <f t="shared" si="5"/>
        <v>0.22559999999999991</v>
      </c>
      <c r="AT21">
        <f t="shared" si="5"/>
        <v>0.22559999999999991</v>
      </c>
      <c r="AU21">
        <f t="shared" si="5"/>
        <v>0.22559999999999991</v>
      </c>
      <c r="AV21">
        <f t="shared" si="5"/>
        <v>0.22559999999999991</v>
      </c>
      <c r="AW21">
        <f t="shared" si="5"/>
        <v>0.22559999999999991</v>
      </c>
      <c r="AX21">
        <f t="shared" si="5"/>
        <v>0.22559999999999991</v>
      </c>
      <c r="AY21">
        <f t="shared" si="5"/>
        <v>0.22559999999999991</v>
      </c>
      <c r="AZ21">
        <f t="shared" si="5"/>
        <v>0.22559999999999991</v>
      </c>
      <c r="BA21" s="6"/>
    </row>
    <row r="22" spans="1:53" x14ac:dyDescent="0.2">
      <c r="A22">
        <f t="shared" si="6"/>
        <v>43</v>
      </c>
      <c r="B22" s="3">
        <f t="shared" si="0"/>
        <v>86</v>
      </c>
      <c r="C22">
        <f t="shared" si="1"/>
        <v>0.26039999999999985</v>
      </c>
      <c r="D22">
        <f t="shared" si="1"/>
        <v>0.26039999999999985</v>
      </c>
      <c r="E22">
        <f t="shared" si="1"/>
        <v>0.26039999999999985</v>
      </c>
      <c r="F22">
        <f t="shared" si="1"/>
        <v>0.26039999999999985</v>
      </c>
      <c r="G22">
        <f t="shared" si="1"/>
        <v>0.26039999999999985</v>
      </c>
      <c r="H22">
        <f t="shared" si="1"/>
        <v>0.26039999999999985</v>
      </c>
      <c r="I22">
        <f t="shared" si="1"/>
        <v>0.26039999999999985</v>
      </c>
      <c r="J22">
        <f t="shared" si="1"/>
        <v>0.26039999999999985</v>
      </c>
      <c r="K22">
        <f t="shared" si="1"/>
        <v>0.26039999999999985</v>
      </c>
      <c r="L22">
        <f t="shared" si="1"/>
        <v>0.26039999999999985</v>
      </c>
      <c r="M22">
        <f t="shared" si="2"/>
        <v>0.26039999999999985</v>
      </c>
      <c r="N22">
        <f t="shared" si="2"/>
        <v>0.26039999999999985</v>
      </c>
      <c r="O22">
        <f t="shared" si="2"/>
        <v>0.26039999999999985</v>
      </c>
      <c r="P22">
        <f t="shared" si="2"/>
        <v>0.26039999999999985</v>
      </c>
      <c r="Q22">
        <f t="shared" si="2"/>
        <v>0.26039999999999985</v>
      </c>
      <c r="R22">
        <f t="shared" si="2"/>
        <v>0.26039999999999985</v>
      </c>
      <c r="S22">
        <f t="shared" si="2"/>
        <v>0.26039999999999985</v>
      </c>
      <c r="T22">
        <f t="shared" si="2"/>
        <v>0.26039999999999985</v>
      </c>
      <c r="U22">
        <f t="shared" si="2"/>
        <v>0.26039999999999985</v>
      </c>
      <c r="V22">
        <f t="shared" si="2"/>
        <v>0.26039999999999985</v>
      </c>
      <c r="W22">
        <f t="shared" si="3"/>
        <v>0.26039999999999985</v>
      </c>
      <c r="X22">
        <f t="shared" si="3"/>
        <v>0.26039999999999985</v>
      </c>
      <c r="Y22">
        <f t="shared" si="3"/>
        <v>0.26039999999999985</v>
      </c>
      <c r="Z22">
        <f t="shared" si="3"/>
        <v>0.26039999999999985</v>
      </c>
      <c r="AA22">
        <f t="shared" si="3"/>
        <v>0.26039999999999985</v>
      </c>
      <c r="AB22">
        <f t="shared" si="3"/>
        <v>0.26039999999999985</v>
      </c>
      <c r="AC22">
        <f t="shared" si="3"/>
        <v>0.26039999999999985</v>
      </c>
      <c r="AD22">
        <f t="shared" si="3"/>
        <v>0.26039999999999985</v>
      </c>
      <c r="AE22">
        <f t="shared" si="3"/>
        <v>0.26039999999999985</v>
      </c>
      <c r="AF22">
        <f t="shared" si="3"/>
        <v>0.26039999999999985</v>
      </c>
      <c r="AG22">
        <f t="shared" si="4"/>
        <v>0.26039999999999985</v>
      </c>
      <c r="AH22">
        <f t="shared" si="4"/>
        <v>0.26039999999999985</v>
      </c>
      <c r="AI22">
        <f t="shared" si="4"/>
        <v>0.26039999999999985</v>
      </c>
      <c r="AJ22">
        <f t="shared" si="4"/>
        <v>0.26039999999999985</v>
      </c>
      <c r="AK22">
        <f t="shared" si="4"/>
        <v>0.26039999999999985</v>
      </c>
      <c r="AL22">
        <f t="shared" si="4"/>
        <v>0.26039999999999985</v>
      </c>
      <c r="AM22">
        <f t="shared" si="4"/>
        <v>0.26039999999999985</v>
      </c>
      <c r="AN22">
        <f t="shared" si="4"/>
        <v>0.26039999999999985</v>
      </c>
      <c r="AO22">
        <f t="shared" si="4"/>
        <v>0.26039999999999985</v>
      </c>
      <c r="AP22">
        <f t="shared" si="4"/>
        <v>0.26039999999999985</v>
      </c>
      <c r="AQ22">
        <f t="shared" si="5"/>
        <v>0.26039999999999985</v>
      </c>
      <c r="AR22">
        <f t="shared" si="5"/>
        <v>0.26039999999999985</v>
      </c>
      <c r="AS22">
        <f t="shared" si="5"/>
        <v>0.26039999999999985</v>
      </c>
      <c r="AT22">
        <f t="shared" si="5"/>
        <v>0.26039999999999985</v>
      </c>
      <c r="AU22">
        <f t="shared" si="5"/>
        <v>0.26039999999999985</v>
      </c>
      <c r="AV22">
        <f t="shared" si="5"/>
        <v>0.26039999999999985</v>
      </c>
      <c r="AW22">
        <f t="shared" si="5"/>
        <v>0.26039999999999985</v>
      </c>
      <c r="AX22">
        <f t="shared" si="5"/>
        <v>0.26039999999999985</v>
      </c>
      <c r="AY22">
        <f t="shared" si="5"/>
        <v>0.26039999999999985</v>
      </c>
      <c r="AZ22">
        <f t="shared" si="5"/>
        <v>0.26039999999999985</v>
      </c>
      <c r="BA22" s="6"/>
    </row>
    <row r="23" spans="1:53" x14ac:dyDescent="0.2">
      <c r="A23">
        <f t="shared" si="6"/>
        <v>42</v>
      </c>
      <c r="B23" s="3">
        <f t="shared" si="0"/>
        <v>84</v>
      </c>
      <c r="C23">
        <f t="shared" si="1"/>
        <v>0.29439999999999977</v>
      </c>
      <c r="D23">
        <f t="shared" si="1"/>
        <v>0.29439999999999977</v>
      </c>
      <c r="E23">
        <f t="shared" si="1"/>
        <v>0.29439999999999977</v>
      </c>
      <c r="F23">
        <f t="shared" si="1"/>
        <v>0.29439999999999977</v>
      </c>
      <c r="G23">
        <f t="shared" si="1"/>
        <v>0.29439999999999977</v>
      </c>
      <c r="H23">
        <f t="shared" si="1"/>
        <v>0.29439999999999977</v>
      </c>
      <c r="I23">
        <f t="shared" si="1"/>
        <v>0.29439999999999977</v>
      </c>
      <c r="J23">
        <f t="shared" si="1"/>
        <v>0.29439999999999977</v>
      </c>
      <c r="K23">
        <f t="shared" si="1"/>
        <v>0.29439999999999977</v>
      </c>
      <c r="L23">
        <f t="shared" si="1"/>
        <v>0.29439999999999977</v>
      </c>
      <c r="M23">
        <f t="shared" si="2"/>
        <v>0.29439999999999977</v>
      </c>
      <c r="N23">
        <f t="shared" si="2"/>
        <v>0.29439999999999977</v>
      </c>
      <c r="O23">
        <f t="shared" si="2"/>
        <v>0.29439999999999977</v>
      </c>
      <c r="P23">
        <f t="shared" si="2"/>
        <v>0.29439999999999977</v>
      </c>
      <c r="Q23">
        <f t="shared" si="2"/>
        <v>0.29439999999999977</v>
      </c>
      <c r="R23">
        <f t="shared" si="2"/>
        <v>0.29439999999999977</v>
      </c>
      <c r="S23">
        <f t="shared" si="2"/>
        <v>0.29439999999999977</v>
      </c>
      <c r="T23">
        <f t="shared" si="2"/>
        <v>0.29439999999999977</v>
      </c>
      <c r="U23">
        <f t="shared" si="2"/>
        <v>0.29439999999999977</v>
      </c>
      <c r="V23">
        <f t="shared" si="2"/>
        <v>0.29439999999999977</v>
      </c>
      <c r="W23">
        <f t="shared" si="3"/>
        <v>0.29439999999999977</v>
      </c>
      <c r="X23">
        <f t="shared" si="3"/>
        <v>0.29439999999999977</v>
      </c>
      <c r="Y23">
        <f t="shared" si="3"/>
        <v>0.29439999999999977</v>
      </c>
      <c r="Z23">
        <f t="shared" si="3"/>
        <v>0.29439999999999977</v>
      </c>
      <c r="AA23">
        <f t="shared" si="3"/>
        <v>0.29439999999999977</v>
      </c>
      <c r="AB23">
        <f t="shared" si="3"/>
        <v>0.29439999999999977</v>
      </c>
      <c r="AC23">
        <f t="shared" si="3"/>
        <v>0.29439999999999977</v>
      </c>
      <c r="AD23">
        <f t="shared" si="3"/>
        <v>0.29439999999999977</v>
      </c>
      <c r="AE23">
        <f t="shared" si="3"/>
        <v>0.29439999999999977</v>
      </c>
      <c r="AF23">
        <f t="shared" si="3"/>
        <v>0.29439999999999977</v>
      </c>
      <c r="AG23">
        <f t="shared" si="4"/>
        <v>0.29439999999999977</v>
      </c>
      <c r="AH23">
        <f t="shared" si="4"/>
        <v>0.29439999999999977</v>
      </c>
      <c r="AI23">
        <f t="shared" si="4"/>
        <v>0.29439999999999977</v>
      </c>
      <c r="AJ23">
        <f t="shared" si="4"/>
        <v>0.29439999999999977</v>
      </c>
      <c r="AK23">
        <f t="shared" si="4"/>
        <v>0.29439999999999977</v>
      </c>
      <c r="AL23">
        <f t="shared" si="4"/>
        <v>0.29439999999999977</v>
      </c>
      <c r="AM23">
        <f t="shared" si="4"/>
        <v>0.29439999999999977</v>
      </c>
      <c r="AN23">
        <f t="shared" si="4"/>
        <v>0.29439999999999977</v>
      </c>
      <c r="AO23">
        <f t="shared" si="4"/>
        <v>0.29439999999999977</v>
      </c>
      <c r="AP23">
        <f t="shared" si="4"/>
        <v>0.29439999999999977</v>
      </c>
      <c r="AQ23">
        <f t="shared" si="5"/>
        <v>0.29439999999999977</v>
      </c>
      <c r="AR23">
        <f t="shared" si="5"/>
        <v>0.29439999999999977</v>
      </c>
      <c r="AS23">
        <f t="shared" si="5"/>
        <v>0.29439999999999977</v>
      </c>
      <c r="AT23">
        <f t="shared" si="5"/>
        <v>0.29439999999999977</v>
      </c>
      <c r="AU23">
        <f t="shared" si="5"/>
        <v>0.29439999999999977</v>
      </c>
      <c r="AV23">
        <f t="shared" si="5"/>
        <v>0.29439999999999977</v>
      </c>
      <c r="AW23">
        <f t="shared" si="5"/>
        <v>0.29439999999999977</v>
      </c>
      <c r="AX23">
        <f t="shared" si="5"/>
        <v>0.29439999999999977</v>
      </c>
      <c r="AY23">
        <f t="shared" si="5"/>
        <v>0.29439999999999977</v>
      </c>
      <c r="AZ23">
        <f t="shared" si="5"/>
        <v>0.29439999999999977</v>
      </c>
      <c r="BA23" s="6"/>
    </row>
    <row r="24" spans="1:53" x14ac:dyDescent="0.2">
      <c r="A24">
        <f t="shared" si="6"/>
        <v>41</v>
      </c>
      <c r="B24" s="3">
        <f t="shared" si="0"/>
        <v>82</v>
      </c>
      <c r="C24">
        <f t="shared" si="1"/>
        <v>0.32759999999999989</v>
      </c>
      <c r="D24">
        <f t="shared" si="1"/>
        <v>0.32759999999999989</v>
      </c>
      <c r="E24">
        <f t="shared" si="1"/>
        <v>0.32759999999999989</v>
      </c>
      <c r="F24">
        <f t="shared" si="1"/>
        <v>0.32759999999999989</v>
      </c>
      <c r="G24">
        <f t="shared" si="1"/>
        <v>0.32759999999999989</v>
      </c>
      <c r="H24">
        <f t="shared" si="1"/>
        <v>0.32759999999999989</v>
      </c>
      <c r="I24">
        <f t="shared" si="1"/>
        <v>0.32759999999999989</v>
      </c>
      <c r="J24">
        <f t="shared" si="1"/>
        <v>0.32759999999999989</v>
      </c>
      <c r="K24">
        <f t="shared" si="1"/>
        <v>0.32759999999999989</v>
      </c>
      <c r="L24">
        <f t="shared" si="1"/>
        <v>0.32759999999999989</v>
      </c>
      <c r="M24">
        <f t="shared" si="2"/>
        <v>0.32759999999999989</v>
      </c>
      <c r="N24">
        <f t="shared" si="2"/>
        <v>0.32759999999999989</v>
      </c>
      <c r="O24">
        <f t="shared" si="2"/>
        <v>0.32759999999999989</v>
      </c>
      <c r="P24">
        <f t="shared" si="2"/>
        <v>0.32759999999999989</v>
      </c>
      <c r="Q24">
        <f t="shared" si="2"/>
        <v>0.32759999999999989</v>
      </c>
      <c r="R24">
        <f t="shared" si="2"/>
        <v>0.32759999999999989</v>
      </c>
      <c r="S24">
        <f t="shared" si="2"/>
        <v>0.32759999999999989</v>
      </c>
      <c r="T24">
        <f t="shared" si="2"/>
        <v>0.32759999999999989</v>
      </c>
      <c r="U24">
        <f t="shared" si="2"/>
        <v>0.32759999999999989</v>
      </c>
      <c r="V24">
        <f t="shared" si="2"/>
        <v>0.32759999999999989</v>
      </c>
      <c r="W24">
        <f t="shared" si="3"/>
        <v>0.32759999999999989</v>
      </c>
      <c r="X24">
        <f t="shared" si="3"/>
        <v>0.32759999999999989</v>
      </c>
      <c r="Y24">
        <f t="shared" si="3"/>
        <v>0.32759999999999989</v>
      </c>
      <c r="Z24">
        <f t="shared" si="3"/>
        <v>0.32759999999999989</v>
      </c>
      <c r="AA24">
        <f t="shared" si="3"/>
        <v>0.32759999999999989</v>
      </c>
      <c r="AB24">
        <f t="shared" si="3"/>
        <v>0.32759999999999989</v>
      </c>
      <c r="AC24">
        <f t="shared" si="3"/>
        <v>0.32759999999999989</v>
      </c>
      <c r="AD24">
        <f t="shared" si="3"/>
        <v>0.32759999999999989</v>
      </c>
      <c r="AE24">
        <f t="shared" si="3"/>
        <v>0.32759999999999989</v>
      </c>
      <c r="AF24">
        <f t="shared" si="3"/>
        <v>0.32759999999999989</v>
      </c>
      <c r="AG24">
        <f t="shared" si="4"/>
        <v>0.32759999999999989</v>
      </c>
      <c r="AH24">
        <f t="shared" si="4"/>
        <v>0.32759999999999989</v>
      </c>
      <c r="AI24">
        <f t="shared" si="4"/>
        <v>0.32759999999999989</v>
      </c>
      <c r="AJ24">
        <f t="shared" si="4"/>
        <v>0.32759999999999989</v>
      </c>
      <c r="AK24">
        <f t="shared" si="4"/>
        <v>0.32759999999999989</v>
      </c>
      <c r="AL24">
        <f t="shared" si="4"/>
        <v>0.32759999999999989</v>
      </c>
      <c r="AM24">
        <f t="shared" si="4"/>
        <v>0.32759999999999989</v>
      </c>
      <c r="AN24">
        <f t="shared" si="4"/>
        <v>0.32759999999999989</v>
      </c>
      <c r="AO24">
        <f t="shared" si="4"/>
        <v>0.32759999999999989</v>
      </c>
      <c r="AP24">
        <f t="shared" si="4"/>
        <v>0.32759999999999989</v>
      </c>
      <c r="AQ24">
        <f t="shared" si="5"/>
        <v>0.32759999999999989</v>
      </c>
      <c r="AR24">
        <f t="shared" si="5"/>
        <v>0.32759999999999989</v>
      </c>
      <c r="AS24">
        <f t="shared" si="5"/>
        <v>0.32759999999999989</v>
      </c>
      <c r="AT24">
        <f t="shared" si="5"/>
        <v>0.32759999999999989</v>
      </c>
      <c r="AU24">
        <f t="shared" si="5"/>
        <v>0.32759999999999989</v>
      </c>
      <c r="AV24">
        <f t="shared" si="5"/>
        <v>0.32759999999999989</v>
      </c>
      <c r="AW24">
        <f t="shared" si="5"/>
        <v>0.32759999999999989</v>
      </c>
      <c r="AX24">
        <f t="shared" si="5"/>
        <v>0.32759999999999989</v>
      </c>
      <c r="AY24">
        <f t="shared" si="5"/>
        <v>0.32759999999999989</v>
      </c>
      <c r="AZ24">
        <f t="shared" si="5"/>
        <v>0.32759999999999989</v>
      </c>
      <c r="BA24" s="6"/>
    </row>
    <row r="25" spans="1:53" x14ac:dyDescent="0.2">
      <c r="A25">
        <f t="shared" si="6"/>
        <v>40</v>
      </c>
      <c r="B25" s="3">
        <f t="shared" si="0"/>
        <v>80</v>
      </c>
      <c r="C25">
        <f t="shared" si="1"/>
        <v>0.35999999999999988</v>
      </c>
      <c r="D25">
        <f t="shared" si="1"/>
        <v>0.35999999999999988</v>
      </c>
      <c r="E25">
        <f t="shared" si="1"/>
        <v>0.35999999999999988</v>
      </c>
      <c r="F25">
        <f t="shared" si="1"/>
        <v>0.35999999999999988</v>
      </c>
      <c r="G25">
        <f t="shared" si="1"/>
        <v>0.35999999999999988</v>
      </c>
      <c r="H25">
        <f t="shared" si="1"/>
        <v>0.35999999999999988</v>
      </c>
      <c r="I25">
        <f t="shared" si="1"/>
        <v>0.35999999999999988</v>
      </c>
      <c r="J25">
        <f t="shared" si="1"/>
        <v>0.35999999999999988</v>
      </c>
      <c r="K25">
        <f t="shared" si="1"/>
        <v>0.35999999999999988</v>
      </c>
      <c r="L25">
        <f t="shared" si="1"/>
        <v>0.35999999999999988</v>
      </c>
      <c r="M25">
        <f t="shared" si="2"/>
        <v>0.35999999999999988</v>
      </c>
      <c r="N25">
        <f t="shared" si="2"/>
        <v>0.35999999999999988</v>
      </c>
      <c r="O25">
        <f t="shared" si="2"/>
        <v>0.35999999999999988</v>
      </c>
      <c r="P25">
        <f t="shared" si="2"/>
        <v>0.35999999999999988</v>
      </c>
      <c r="Q25">
        <f t="shared" si="2"/>
        <v>0.35999999999999988</v>
      </c>
      <c r="R25">
        <f t="shared" si="2"/>
        <v>0.35999999999999988</v>
      </c>
      <c r="S25">
        <f t="shared" si="2"/>
        <v>0.35999999999999988</v>
      </c>
      <c r="T25">
        <f t="shared" si="2"/>
        <v>0.35999999999999988</v>
      </c>
      <c r="U25">
        <f t="shared" si="2"/>
        <v>0.35999999999999988</v>
      </c>
      <c r="V25">
        <f t="shared" si="2"/>
        <v>0.35999999999999988</v>
      </c>
      <c r="W25">
        <f t="shared" si="3"/>
        <v>0.35999999999999988</v>
      </c>
      <c r="X25">
        <f t="shared" si="3"/>
        <v>0.35999999999999988</v>
      </c>
      <c r="Y25">
        <f t="shared" si="3"/>
        <v>0.35999999999999988</v>
      </c>
      <c r="Z25">
        <f t="shared" si="3"/>
        <v>0.35999999999999988</v>
      </c>
      <c r="AA25">
        <f t="shared" si="3"/>
        <v>0.35999999999999988</v>
      </c>
      <c r="AB25">
        <f t="shared" si="3"/>
        <v>0.35999999999999988</v>
      </c>
      <c r="AC25">
        <f t="shared" si="3"/>
        <v>0.35999999999999988</v>
      </c>
      <c r="AD25">
        <f t="shared" si="3"/>
        <v>0.35999999999999988</v>
      </c>
      <c r="AE25">
        <f t="shared" si="3"/>
        <v>0.35999999999999988</v>
      </c>
      <c r="AF25">
        <f t="shared" si="3"/>
        <v>0.35999999999999988</v>
      </c>
      <c r="AG25">
        <f t="shared" si="4"/>
        <v>0.35999999999999988</v>
      </c>
      <c r="AH25">
        <f t="shared" si="4"/>
        <v>0.35999999999999988</v>
      </c>
      <c r="AI25">
        <f t="shared" si="4"/>
        <v>0.35999999999999988</v>
      </c>
      <c r="AJ25">
        <f t="shared" si="4"/>
        <v>0.35999999999999988</v>
      </c>
      <c r="AK25">
        <f t="shared" si="4"/>
        <v>0.35999999999999988</v>
      </c>
      <c r="AL25">
        <f t="shared" si="4"/>
        <v>0.35999999999999988</v>
      </c>
      <c r="AM25">
        <f t="shared" si="4"/>
        <v>0.35999999999999988</v>
      </c>
      <c r="AN25">
        <f t="shared" si="4"/>
        <v>0.35999999999999988</v>
      </c>
      <c r="AO25">
        <f t="shared" si="4"/>
        <v>0.35999999999999988</v>
      </c>
      <c r="AP25">
        <f t="shared" si="4"/>
        <v>0.35999999999999988</v>
      </c>
      <c r="AQ25">
        <f t="shared" si="5"/>
        <v>0.35999999999999988</v>
      </c>
      <c r="AR25">
        <f t="shared" si="5"/>
        <v>0.35999999999999988</v>
      </c>
      <c r="AS25">
        <f t="shared" si="5"/>
        <v>0.35999999999999988</v>
      </c>
      <c r="AT25">
        <f t="shared" si="5"/>
        <v>0.35999999999999988</v>
      </c>
      <c r="AU25">
        <f t="shared" si="5"/>
        <v>0.35999999999999988</v>
      </c>
      <c r="AV25">
        <f t="shared" si="5"/>
        <v>0.35999999999999988</v>
      </c>
      <c r="AW25">
        <f t="shared" si="5"/>
        <v>0.35999999999999988</v>
      </c>
      <c r="AX25">
        <f t="shared" si="5"/>
        <v>0.35999999999999988</v>
      </c>
      <c r="AY25">
        <f t="shared" si="5"/>
        <v>0.35999999999999988</v>
      </c>
      <c r="AZ25">
        <f t="shared" si="5"/>
        <v>0.35999999999999988</v>
      </c>
      <c r="BA25" s="6"/>
    </row>
    <row r="26" spans="1:53" x14ac:dyDescent="0.2">
      <c r="A26">
        <f t="shared" si="6"/>
        <v>39</v>
      </c>
      <c r="B26" s="3">
        <f t="shared" si="0"/>
        <v>78</v>
      </c>
      <c r="C26">
        <f t="shared" ref="C26:L35" si="7">1-sigma^2*$A26^2*dt</f>
        <v>0.39159999999999984</v>
      </c>
      <c r="D26">
        <f t="shared" si="7"/>
        <v>0.39159999999999984</v>
      </c>
      <c r="E26">
        <f t="shared" si="7"/>
        <v>0.39159999999999984</v>
      </c>
      <c r="F26">
        <f t="shared" si="7"/>
        <v>0.39159999999999984</v>
      </c>
      <c r="G26">
        <f t="shared" si="7"/>
        <v>0.39159999999999984</v>
      </c>
      <c r="H26">
        <f t="shared" si="7"/>
        <v>0.39159999999999984</v>
      </c>
      <c r="I26">
        <f t="shared" si="7"/>
        <v>0.39159999999999984</v>
      </c>
      <c r="J26">
        <f t="shared" si="7"/>
        <v>0.39159999999999984</v>
      </c>
      <c r="K26">
        <f t="shared" si="7"/>
        <v>0.39159999999999984</v>
      </c>
      <c r="L26">
        <f t="shared" si="7"/>
        <v>0.39159999999999984</v>
      </c>
      <c r="M26">
        <f t="shared" ref="M26:V35" si="8">1-sigma^2*$A26^2*dt</f>
        <v>0.39159999999999984</v>
      </c>
      <c r="N26">
        <f t="shared" si="8"/>
        <v>0.39159999999999984</v>
      </c>
      <c r="O26">
        <f t="shared" si="8"/>
        <v>0.39159999999999984</v>
      </c>
      <c r="P26">
        <f t="shared" si="8"/>
        <v>0.39159999999999984</v>
      </c>
      <c r="Q26">
        <f t="shared" si="8"/>
        <v>0.39159999999999984</v>
      </c>
      <c r="R26">
        <f t="shared" si="8"/>
        <v>0.39159999999999984</v>
      </c>
      <c r="S26">
        <f t="shared" si="8"/>
        <v>0.39159999999999984</v>
      </c>
      <c r="T26">
        <f t="shared" si="8"/>
        <v>0.39159999999999984</v>
      </c>
      <c r="U26">
        <f t="shared" si="8"/>
        <v>0.39159999999999984</v>
      </c>
      <c r="V26">
        <f t="shared" si="8"/>
        <v>0.39159999999999984</v>
      </c>
      <c r="W26">
        <f t="shared" ref="W26:AF35" si="9">1-sigma^2*$A26^2*dt</f>
        <v>0.39159999999999984</v>
      </c>
      <c r="X26">
        <f t="shared" si="9"/>
        <v>0.39159999999999984</v>
      </c>
      <c r="Y26">
        <f t="shared" si="9"/>
        <v>0.39159999999999984</v>
      </c>
      <c r="Z26">
        <f t="shared" si="9"/>
        <v>0.39159999999999984</v>
      </c>
      <c r="AA26">
        <f t="shared" si="9"/>
        <v>0.39159999999999984</v>
      </c>
      <c r="AB26">
        <f t="shared" si="9"/>
        <v>0.39159999999999984</v>
      </c>
      <c r="AC26">
        <f t="shared" si="9"/>
        <v>0.39159999999999984</v>
      </c>
      <c r="AD26">
        <f t="shared" si="9"/>
        <v>0.39159999999999984</v>
      </c>
      <c r="AE26">
        <f t="shared" si="9"/>
        <v>0.39159999999999984</v>
      </c>
      <c r="AF26">
        <f t="shared" si="9"/>
        <v>0.39159999999999984</v>
      </c>
      <c r="AG26">
        <f t="shared" ref="AG26:AP35" si="10">1-sigma^2*$A26^2*dt</f>
        <v>0.39159999999999984</v>
      </c>
      <c r="AH26">
        <f t="shared" si="10"/>
        <v>0.39159999999999984</v>
      </c>
      <c r="AI26">
        <f t="shared" si="10"/>
        <v>0.39159999999999984</v>
      </c>
      <c r="AJ26">
        <f t="shared" si="10"/>
        <v>0.39159999999999984</v>
      </c>
      <c r="AK26">
        <f t="shared" si="10"/>
        <v>0.39159999999999984</v>
      </c>
      <c r="AL26">
        <f t="shared" si="10"/>
        <v>0.39159999999999984</v>
      </c>
      <c r="AM26">
        <f t="shared" si="10"/>
        <v>0.39159999999999984</v>
      </c>
      <c r="AN26">
        <f t="shared" si="10"/>
        <v>0.39159999999999984</v>
      </c>
      <c r="AO26">
        <f t="shared" si="10"/>
        <v>0.39159999999999984</v>
      </c>
      <c r="AP26">
        <f t="shared" si="10"/>
        <v>0.39159999999999984</v>
      </c>
      <c r="AQ26">
        <f t="shared" ref="AQ26:AZ35" si="11">1-sigma^2*$A26^2*dt</f>
        <v>0.39159999999999984</v>
      </c>
      <c r="AR26">
        <f t="shared" si="11"/>
        <v>0.39159999999999984</v>
      </c>
      <c r="AS26">
        <f t="shared" si="11"/>
        <v>0.39159999999999984</v>
      </c>
      <c r="AT26">
        <f t="shared" si="11"/>
        <v>0.39159999999999984</v>
      </c>
      <c r="AU26">
        <f t="shared" si="11"/>
        <v>0.39159999999999984</v>
      </c>
      <c r="AV26">
        <f t="shared" si="11"/>
        <v>0.39159999999999984</v>
      </c>
      <c r="AW26">
        <f t="shared" si="11"/>
        <v>0.39159999999999984</v>
      </c>
      <c r="AX26">
        <f t="shared" si="11"/>
        <v>0.39159999999999984</v>
      </c>
      <c r="AY26">
        <f t="shared" si="11"/>
        <v>0.39159999999999984</v>
      </c>
      <c r="AZ26">
        <f t="shared" si="11"/>
        <v>0.39159999999999984</v>
      </c>
      <c r="BA26" s="6"/>
    </row>
    <row r="27" spans="1:53" x14ac:dyDescent="0.2">
      <c r="A27">
        <f t="shared" si="6"/>
        <v>38</v>
      </c>
      <c r="B27" s="3">
        <f t="shared" si="0"/>
        <v>76</v>
      </c>
      <c r="C27">
        <f t="shared" si="7"/>
        <v>0.42239999999999989</v>
      </c>
      <c r="D27">
        <f t="shared" si="7"/>
        <v>0.42239999999999989</v>
      </c>
      <c r="E27">
        <f t="shared" si="7"/>
        <v>0.42239999999999989</v>
      </c>
      <c r="F27">
        <f t="shared" si="7"/>
        <v>0.42239999999999989</v>
      </c>
      <c r="G27">
        <f t="shared" si="7"/>
        <v>0.42239999999999989</v>
      </c>
      <c r="H27">
        <f t="shared" si="7"/>
        <v>0.42239999999999989</v>
      </c>
      <c r="I27">
        <f t="shared" si="7"/>
        <v>0.42239999999999989</v>
      </c>
      <c r="J27">
        <f t="shared" si="7"/>
        <v>0.42239999999999989</v>
      </c>
      <c r="K27">
        <f t="shared" si="7"/>
        <v>0.42239999999999989</v>
      </c>
      <c r="L27">
        <f t="shared" si="7"/>
        <v>0.42239999999999989</v>
      </c>
      <c r="M27">
        <f t="shared" si="8"/>
        <v>0.42239999999999989</v>
      </c>
      <c r="N27">
        <f t="shared" si="8"/>
        <v>0.42239999999999989</v>
      </c>
      <c r="O27">
        <f t="shared" si="8"/>
        <v>0.42239999999999989</v>
      </c>
      <c r="P27">
        <f t="shared" si="8"/>
        <v>0.42239999999999989</v>
      </c>
      <c r="Q27">
        <f t="shared" si="8"/>
        <v>0.42239999999999989</v>
      </c>
      <c r="R27">
        <f t="shared" si="8"/>
        <v>0.42239999999999989</v>
      </c>
      <c r="S27">
        <f t="shared" si="8"/>
        <v>0.42239999999999989</v>
      </c>
      <c r="T27">
        <f t="shared" si="8"/>
        <v>0.42239999999999989</v>
      </c>
      <c r="U27">
        <f t="shared" si="8"/>
        <v>0.42239999999999989</v>
      </c>
      <c r="V27">
        <f t="shared" si="8"/>
        <v>0.42239999999999989</v>
      </c>
      <c r="W27">
        <f t="shared" si="9"/>
        <v>0.42239999999999989</v>
      </c>
      <c r="X27">
        <f t="shared" si="9"/>
        <v>0.42239999999999989</v>
      </c>
      <c r="Y27">
        <f t="shared" si="9"/>
        <v>0.42239999999999989</v>
      </c>
      <c r="Z27">
        <f t="shared" si="9"/>
        <v>0.42239999999999989</v>
      </c>
      <c r="AA27">
        <f t="shared" si="9"/>
        <v>0.42239999999999989</v>
      </c>
      <c r="AB27">
        <f t="shared" si="9"/>
        <v>0.42239999999999989</v>
      </c>
      <c r="AC27">
        <f t="shared" si="9"/>
        <v>0.42239999999999989</v>
      </c>
      <c r="AD27">
        <f t="shared" si="9"/>
        <v>0.42239999999999989</v>
      </c>
      <c r="AE27">
        <f t="shared" si="9"/>
        <v>0.42239999999999989</v>
      </c>
      <c r="AF27">
        <f t="shared" si="9"/>
        <v>0.42239999999999989</v>
      </c>
      <c r="AG27">
        <f t="shared" si="10"/>
        <v>0.42239999999999989</v>
      </c>
      <c r="AH27">
        <f t="shared" si="10"/>
        <v>0.42239999999999989</v>
      </c>
      <c r="AI27">
        <f t="shared" si="10"/>
        <v>0.42239999999999989</v>
      </c>
      <c r="AJ27">
        <f t="shared" si="10"/>
        <v>0.42239999999999989</v>
      </c>
      <c r="AK27">
        <f t="shared" si="10"/>
        <v>0.42239999999999989</v>
      </c>
      <c r="AL27">
        <f t="shared" si="10"/>
        <v>0.42239999999999989</v>
      </c>
      <c r="AM27">
        <f t="shared" si="10"/>
        <v>0.42239999999999989</v>
      </c>
      <c r="AN27">
        <f t="shared" si="10"/>
        <v>0.42239999999999989</v>
      </c>
      <c r="AO27">
        <f t="shared" si="10"/>
        <v>0.42239999999999989</v>
      </c>
      <c r="AP27">
        <f t="shared" si="10"/>
        <v>0.42239999999999989</v>
      </c>
      <c r="AQ27">
        <f t="shared" si="11"/>
        <v>0.42239999999999989</v>
      </c>
      <c r="AR27">
        <f t="shared" si="11"/>
        <v>0.42239999999999989</v>
      </c>
      <c r="AS27">
        <f t="shared" si="11"/>
        <v>0.42239999999999989</v>
      </c>
      <c r="AT27">
        <f t="shared" si="11"/>
        <v>0.42239999999999989</v>
      </c>
      <c r="AU27">
        <f t="shared" si="11"/>
        <v>0.42239999999999989</v>
      </c>
      <c r="AV27">
        <f t="shared" si="11"/>
        <v>0.42239999999999989</v>
      </c>
      <c r="AW27">
        <f t="shared" si="11"/>
        <v>0.42239999999999989</v>
      </c>
      <c r="AX27">
        <f t="shared" si="11"/>
        <v>0.42239999999999989</v>
      </c>
      <c r="AY27">
        <f t="shared" si="11"/>
        <v>0.42239999999999989</v>
      </c>
      <c r="AZ27">
        <f t="shared" si="11"/>
        <v>0.42239999999999989</v>
      </c>
      <c r="BA27" s="6"/>
    </row>
    <row r="28" spans="1:53" x14ac:dyDescent="0.2">
      <c r="A28">
        <f t="shared" si="6"/>
        <v>37</v>
      </c>
      <c r="B28" s="3">
        <f t="shared" si="0"/>
        <v>74</v>
      </c>
      <c r="C28">
        <f t="shared" si="7"/>
        <v>0.45239999999999991</v>
      </c>
      <c r="D28">
        <f t="shared" si="7"/>
        <v>0.45239999999999991</v>
      </c>
      <c r="E28">
        <f t="shared" si="7"/>
        <v>0.45239999999999991</v>
      </c>
      <c r="F28">
        <f t="shared" si="7"/>
        <v>0.45239999999999991</v>
      </c>
      <c r="G28">
        <f t="shared" si="7"/>
        <v>0.45239999999999991</v>
      </c>
      <c r="H28">
        <f t="shared" si="7"/>
        <v>0.45239999999999991</v>
      </c>
      <c r="I28">
        <f t="shared" si="7"/>
        <v>0.45239999999999991</v>
      </c>
      <c r="J28">
        <f t="shared" si="7"/>
        <v>0.45239999999999991</v>
      </c>
      <c r="K28">
        <f t="shared" si="7"/>
        <v>0.45239999999999991</v>
      </c>
      <c r="L28">
        <f t="shared" si="7"/>
        <v>0.45239999999999991</v>
      </c>
      <c r="M28">
        <f t="shared" si="8"/>
        <v>0.45239999999999991</v>
      </c>
      <c r="N28">
        <f t="shared" si="8"/>
        <v>0.45239999999999991</v>
      </c>
      <c r="O28">
        <f t="shared" si="8"/>
        <v>0.45239999999999991</v>
      </c>
      <c r="P28">
        <f t="shared" si="8"/>
        <v>0.45239999999999991</v>
      </c>
      <c r="Q28">
        <f t="shared" si="8"/>
        <v>0.45239999999999991</v>
      </c>
      <c r="R28">
        <f t="shared" si="8"/>
        <v>0.45239999999999991</v>
      </c>
      <c r="S28">
        <f t="shared" si="8"/>
        <v>0.45239999999999991</v>
      </c>
      <c r="T28">
        <f t="shared" si="8"/>
        <v>0.45239999999999991</v>
      </c>
      <c r="U28">
        <f t="shared" si="8"/>
        <v>0.45239999999999991</v>
      </c>
      <c r="V28">
        <f t="shared" si="8"/>
        <v>0.45239999999999991</v>
      </c>
      <c r="W28">
        <f t="shared" si="9"/>
        <v>0.45239999999999991</v>
      </c>
      <c r="X28">
        <f t="shared" si="9"/>
        <v>0.45239999999999991</v>
      </c>
      <c r="Y28">
        <f t="shared" si="9"/>
        <v>0.45239999999999991</v>
      </c>
      <c r="Z28">
        <f t="shared" si="9"/>
        <v>0.45239999999999991</v>
      </c>
      <c r="AA28">
        <f t="shared" si="9"/>
        <v>0.45239999999999991</v>
      </c>
      <c r="AB28">
        <f t="shared" si="9"/>
        <v>0.45239999999999991</v>
      </c>
      <c r="AC28">
        <f t="shared" si="9"/>
        <v>0.45239999999999991</v>
      </c>
      <c r="AD28">
        <f t="shared" si="9"/>
        <v>0.45239999999999991</v>
      </c>
      <c r="AE28">
        <f t="shared" si="9"/>
        <v>0.45239999999999991</v>
      </c>
      <c r="AF28">
        <f t="shared" si="9"/>
        <v>0.45239999999999991</v>
      </c>
      <c r="AG28">
        <f t="shared" si="10"/>
        <v>0.45239999999999991</v>
      </c>
      <c r="AH28">
        <f t="shared" si="10"/>
        <v>0.45239999999999991</v>
      </c>
      <c r="AI28">
        <f t="shared" si="10"/>
        <v>0.45239999999999991</v>
      </c>
      <c r="AJ28">
        <f t="shared" si="10"/>
        <v>0.45239999999999991</v>
      </c>
      <c r="AK28">
        <f t="shared" si="10"/>
        <v>0.45239999999999991</v>
      </c>
      <c r="AL28">
        <f t="shared" si="10"/>
        <v>0.45239999999999991</v>
      </c>
      <c r="AM28">
        <f t="shared" si="10"/>
        <v>0.45239999999999991</v>
      </c>
      <c r="AN28">
        <f t="shared" si="10"/>
        <v>0.45239999999999991</v>
      </c>
      <c r="AO28">
        <f t="shared" si="10"/>
        <v>0.45239999999999991</v>
      </c>
      <c r="AP28">
        <f t="shared" si="10"/>
        <v>0.45239999999999991</v>
      </c>
      <c r="AQ28">
        <f t="shared" si="11"/>
        <v>0.45239999999999991</v>
      </c>
      <c r="AR28">
        <f t="shared" si="11"/>
        <v>0.45239999999999991</v>
      </c>
      <c r="AS28">
        <f t="shared" si="11"/>
        <v>0.45239999999999991</v>
      </c>
      <c r="AT28">
        <f t="shared" si="11"/>
        <v>0.45239999999999991</v>
      </c>
      <c r="AU28">
        <f t="shared" si="11"/>
        <v>0.45239999999999991</v>
      </c>
      <c r="AV28">
        <f t="shared" si="11"/>
        <v>0.45239999999999991</v>
      </c>
      <c r="AW28">
        <f t="shared" si="11"/>
        <v>0.45239999999999991</v>
      </c>
      <c r="AX28">
        <f t="shared" si="11"/>
        <v>0.45239999999999991</v>
      </c>
      <c r="AY28">
        <f t="shared" si="11"/>
        <v>0.45239999999999991</v>
      </c>
      <c r="AZ28">
        <f t="shared" si="11"/>
        <v>0.45239999999999991</v>
      </c>
      <c r="BA28" s="6"/>
    </row>
    <row r="29" spans="1:53" x14ac:dyDescent="0.2">
      <c r="A29">
        <f t="shared" si="6"/>
        <v>36</v>
      </c>
      <c r="B29" s="3">
        <f t="shared" si="0"/>
        <v>72</v>
      </c>
      <c r="C29">
        <f t="shared" si="7"/>
        <v>0.48159999999999992</v>
      </c>
      <c r="D29">
        <f t="shared" si="7"/>
        <v>0.48159999999999992</v>
      </c>
      <c r="E29">
        <f t="shared" si="7"/>
        <v>0.48159999999999992</v>
      </c>
      <c r="F29">
        <f t="shared" si="7"/>
        <v>0.48159999999999992</v>
      </c>
      <c r="G29">
        <f t="shared" si="7"/>
        <v>0.48159999999999992</v>
      </c>
      <c r="H29">
        <f t="shared" si="7"/>
        <v>0.48159999999999992</v>
      </c>
      <c r="I29">
        <f t="shared" si="7"/>
        <v>0.48159999999999992</v>
      </c>
      <c r="J29">
        <f t="shared" si="7"/>
        <v>0.48159999999999992</v>
      </c>
      <c r="K29">
        <f t="shared" si="7"/>
        <v>0.48159999999999992</v>
      </c>
      <c r="L29">
        <f t="shared" si="7"/>
        <v>0.48159999999999992</v>
      </c>
      <c r="M29">
        <f t="shared" si="8"/>
        <v>0.48159999999999992</v>
      </c>
      <c r="N29">
        <f t="shared" si="8"/>
        <v>0.48159999999999992</v>
      </c>
      <c r="O29">
        <f t="shared" si="8"/>
        <v>0.48159999999999992</v>
      </c>
      <c r="P29">
        <f t="shared" si="8"/>
        <v>0.48159999999999992</v>
      </c>
      <c r="Q29">
        <f t="shared" si="8"/>
        <v>0.48159999999999992</v>
      </c>
      <c r="R29">
        <f t="shared" si="8"/>
        <v>0.48159999999999992</v>
      </c>
      <c r="S29">
        <f t="shared" si="8"/>
        <v>0.48159999999999992</v>
      </c>
      <c r="T29">
        <f t="shared" si="8"/>
        <v>0.48159999999999992</v>
      </c>
      <c r="U29">
        <f t="shared" si="8"/>
        <v>0.48159999999999992</v>
      </c>
      <c r="V29">
        <f t="shared" si="8"/>
        <v>0.48159999999999992</v>
      </c>
      <c r="W29">
        <f t="shared" si="9"/>
        <v>0.48159999999999992</v>
      </c>
      <c r="X29">
        <f t="shared" si="9"/>
        <v>0.48159999999999992</v>
      </c>
      <c r="Y29">
        <f t="shared" si="9"/>
        <v>0.48159999999999992</v>
      </c>
      <c r="Z29">
        <f t="shared" si="9"/>
        <v>0.48159999999999992</v>
      </c>
      <c r="AA29">
        <f t="shared" si="9"/>
        <v>0.48159999999999992</v>
      </c>
      <c r="AB29">
        <f t="shared" si="9"/>
        <v>0.48159999999999992</v>
      </c>
      <c r="AC29">
        <f t="shared" si="9"/>
        <v>0.48159999999999992</v>
      </c>
      <c r="AD29">
        <f t="shared" si="9"/>
        <v>0.48159999999999992</v>
      </c>
      <c r="AE29">
        <f t="shared" si="9"/>
        <v>0.48159999999999992</v>
      </c>
      <c r="AF29">
        <f t="shared" si="9"/>
        <v>0.48159999999999992</v>
      </c>
      <c r="AG29">
        <f t="shared" si="10"/>
        <v>0.48159999999999992</v>
      </c>
      <c r="AH29">
        <f t="shared" si="10"/>
        <v>0.48159999999999992</v>
      </c>
      <c r="AI29">
        <f t="shared" si="10"/>
        <v>0.48159999999999992</v>
      </c>
      <c r="AJ29">
        <f t="shared" si="10"/>
        <v>0.48159999999999992</v>
      </c>
      <c r="AK29">
        <f t="shared" si="10"/>
        <v>0.48159999999999992</v>
      </c>
      <c r="AL29">
        <f t="shared" si="10"/>
        <v>0.48159999999999992</v>
      </c>
      <c r="AM29">
        <f t="shared" si="10"/>
        <v>0.48159999999999992</v>
      </c>
      <c r="AN29">
        <f t="shared" si="10"/>
        <v>0.48159999999999992</v>
      </c>
      <c r="AO29">
        <f t="shared" si="10"/>
        <v>0.48159999999999992</v>
      </c>
      <c r="AP29">
        <f t="shared" si="10"/>
        <v>0.48159999999999992</v>
      </c>
      <c r="AQ29">
        <f t="shared" si="11"/>
        <v>0.48159999999999992</v>
      </c>
      <c r="AR29">
        <f t="shared" si="11"/>
        <v>0.48159999999999992</v>
      </c>
      <c r="AS29">
        <f t="shared" si="11"/>
        <v>0.48159999999999992</v>
      </c>
      <c r="AT29">
        <f t="shared" si="11"/>
        <v>0.48159999999999992</v>
      </c>
      <c r="AU29">
        <f t="shared" si="11"/>
        <v>0.48159999999999992</v>
      </c>
      <c r="AV29">
        <f t="shared" si="11"/>
        <v>0.48159999999999992</v>
      </c>
      <c r="AW29">
        <f t="shared" si="11"/>
        <v>0.48159999999999992</v>
      </c>
      <c r="AX29">
        <f t="shared" si="11"/>
        <v>0.48159999999999992</v>
      </c>
      <c r="AY29">
        <f t="shared" si="11"/>
        <v>0.48159999999999992</v>
      </c>
      <c r="AZ29">
        <f t="shared" si="11"/>
        <v>0.48159999999999992</v>
      </c>
      <c r="BA29" s="6"/>
    </row>
    <row r="30" spans="1:53" x14ac:dyDescent="0.2">
      <c r="A30">
        <f t="shared" si="6"/>
        <v>35</v>
      </c>
      <c r="B30" s="3">
        <f t="shared" si="0"/>
        <v>70</v>
      </c>
      <c r="C30">
        <f t="shared" si="7"/>
        <v>0.5099999999999999</v>
      </c>
      <c r="D30">
        <f t="shared" si="7"/>
        <v>0.5099999999999999</v>
      </c>
      <c r="E30">
        <f t="shared" si="7"/>
        <v>0.5099999999999999</v>
      </c>
      <c r="F30">
        <f t="shared" si="7"/>
        <v>0.5099999999999999</v>
      </c>
      <c r="G30">
        <f t="shared" si="7"/>
        <v>0.5099999999999999</v>
      </c>
      <c r="H30">
        <f t="shared" si="7"/>
        <v>0.5099999999999999</v>
      </c>
      <c r="I30">
        <f t="shared" si="7"/>
        <v>0.5099999999999999</v>
      </c>
      <c r="J30">
        <f t="shared" si="7"/>
        <v>0.5099999999999999</v>
      </c>
      <c r="K30">
        <f t="shared" si="7"/>
        <v>0.5099999999999999</v>
      </c>
      <c r="L30">
        <f t="shared" si="7"/>
        <v>0.5099999999999999</v>
      </c>
      <c r="M30">
        <f t="shared" si="8"/>
        <v>0.5099999999999999</v>
      </c>
      <c r="N30">
        <f t="shared" si="8"/>
        <v>0.5099999999999999</v>
      </c>
      <c r="O30">
        <f t="shared" si="8"/>
        <v>0.5099999999999999</v>
      </c>
      <c r="P30">
        <f t="shared" si="8"/>
        <v>0.5099999999999999</v>
      </c>
      <c r="Q30">
        <f t="shared" si="8"/>
        <v>0.5099999999999999</v>
      </c>
      <c r="R30">
        <f t="shared" si="8"/>
        <v>0.5099999999999999</v>
      </c>
      <c r="S30">
        <f t="shared" si="8"/>
        <v>0.5099999999999999</v>
      </c>
      <c r="T30">
        <f t="shared" si="8"/>
        <v>0.5099999999999999</v>
      </c>
      <c r="U30">
        <f t="shared" si="8"/>
        <v>0.5099999999999999</v>
      </c>
      <c r="V30">
        <f t="shared" si="8"/>
        <v>0.5099999999999999</v>
      </c>
      <c r="W30">
        <f t="shared" si="9"/>
        <v>0.5099999999999999</v>
      </c>
      <c r="X30">
        <f t="shared" si="9"/>
        <v>0.5099999999999999</v>
      </c>
      <c r="Y30">
        <f t="shared" si="9"/>
        <v>0.5099999999999999</v>
      </c>
      <c r="Z30">
        <f t="shared" si="9"/>
        <v>0.5099999999999999</v>
      </c>
      <c r="AA30">
        <f t="shared" si="9"/>
        <v>0.5099999999999999</v>
      </c>
      <c r="AB30">
        <f t="shared" si="9"/>
        <v>0.5099999999999999</v>
      </c>
      <c r="AC30">
        <f t="shared" si="9"/>
        <v>0.5099999999999999</v>
      </c>
      <c r="AD30">
        <f t="shared" si="9"/>
        <v>0.5099999999999999</v>
      </c>
      <c r="AE30">
        <f t="shared" si="9"/>
        <v>0.5099999999999999</v>
      </c>
      <c r="AF30">
        <f t="shared" si="9"/>
        <v>0.5099999999999999</v>
      </c>
      <c r="AG30">
        <f t="shared" si="10"/>
        <v>0.5099999999999999</v>
      </c>
      <c r="AH30">
        <f t="shared" si="10"/>
        <v>0.5099999999999999</v>
      </c>
      <c r="AI30">
        <f t="shared" si="10"/>
        <v>0.5099999999999999</v>
      </c>
      <c r="AJ30">
        <f t="shared" si="10"/>
        <v>0.5099999999999999</v>
      </c>
      <c r="AK30">
        <f t="shared" si="10"/>
        <v>0.5099999999999999</v>
      </c>
      <c r="AL30">
        <f t="shared" si="10"/>
        <v>0.5099999999999999</v>
      </c>
      <c r="AM30">
        <f t="shared" si="10"/>
        <v>0.5099999999999999</v>
      </c>
      <c r="AN30">
        <f t="shared" si="10"/>
        <v>0.5099999999999999</v>
      </c>
      <c r="AO30">
        <f t="shared" si="10"/>
        <v>0.5099999999999999</v>
      </c>
      <c r="AP30">
        <f t="shared" si="10"/>
        <v>0.5099999999999999</v>
      </c>
      <c r="AQ30">
        <f t="shared" si="11"/>
        <v>0.5099999999999999</v>
      </c>
      <c r="AR30">
        <f t="shared" si="11"/>
        <v>0.5099999999999999</v>
      </c>
      <c r="AS30">
        <f t="shared" si="11"/>
        <v>0.5099999999999999</v>
      </c>
      <c r="AT30">
        <f t="shared" si="11"/>
        <v>0.5099999999999999</v>
      </c>
      <c r="AU30">
        <f t="shared" si="11"/>
        <v>0.5099999999999999</v>
      </c>
      <c r="AV30">
        <f t="shared" si="11"/>
        <v>0.5099999999999999</v>
      </c>
      <c r="AW30">
        <f t="shared" si="11"/>
        <v>0.5099999999999999</v>
      </c>
      <c r="AX30">
        <f t="shared" si="11"/>
        <v>0.5099999999999999</v>
      </c>
      <c r="AY30">
        <f t="shared" si="11"/>
        <v>0.5099999999999999</v>
      </c>
      <c r="AZ30">
        <f t="shared" si="11"/>
        <v>0.5099999999999999</v>
      </c>
      <c r="BA30" s="6"/>
    </row>
    <row r="31" spans="1:53" x14ac:dyDescent="0.2">
      <c r="A31">
        <f t="shared" si="6"/>
        <v>34</v>
      </c>
      <c r="B31" s="3">
        <f t="shared" si="0"/>
        <v>68</v>
      </c>
      <c r="C31">
        <f t="shared" si="7"/>
        <v>0.53759999999999986</v>
      </c>
      <c r="D31">
        <f t="shared" si="7"/>
        <v>0.53759999999999986</v>
      </c>
      <c r="E31">
        <f t="shared" si="7"/>
        <v>0.53759999999999986</v>
      </c>
      <c r="F31">
        <f t="shared" si="7"/>
        <v>0.53759999999999986</v>
      </c>
      <c r="G31">
        <f t="shared" si="7"/>
        <v>0.53759999999999986</v>
      </c>
      <c r="H31">
        <f t="shared" si="7"/>
        <v>0.53759999999999986</v>
      </c>
      <c r="I31">
        <f t="shared" si="7"/>
        <v>0.53759999999999986</v>
      </c>
      <c r="J31">
        <f t="shared" si="7"/>
        <v>0.53759999999999986</v>
      </c>
      <c r="K31">
        <f t="shared" si="7"/>
        <v>0.53759999999999986</v>
      </c>
      <c r="L31">
        <f t="shared" si="7"/>
        <v>0.53759999999999986</v>
      </c>
      <c r="M31">
        <f t="shared" si="8"/>
        <v>0.53759999999999986</v>
      </c>
      <c r="N31">
        <f t="shared" si="8"/>
        <v>0.53759999999999986</v>
      </c>
      <c r="O31">
        <f t="shared" si="8"/>
        <v>0.53759999999999986</v>
      </c>
      <c r="P31">
        <f t="shared" si="8"/>
        <v>0.53759999999999986</v>
      </c>
      <c r="Q31">
        <f t="shared" si="8"/>
        <v>0.53759999999999986</v>
      </c>
      <c r="R31">
        <f t="shared" si="8"/>
        <v>0.53759999999999986</v>
      </c>
      <c r="S31">
        <f t="shared" si="8"/>
        <v>0.53759999999999986</v>
      </c>
      <c r="T31">
        <f t="shared" si="8"/>
        <v>0.53759999999999986</v>
      </c>
      <c r="U31">
        <f t="shared" si="8"/>
        <v>0.53759999999999986</v>
      </c>
      <c r="V31">
        <f t="shared" si="8"/>
        <v>0.53759999999999986</v>
      </c>
      <c r="W31">
        <f t="shared" si="9"/>
        <v>0.53759999999999986</v>
      </c>
      <c r="X31">
        <f t="shared" si="9"/>
        <v>0.53759999999999986</v>
      </c>
      <c r="Y31">
        <f t="shared" si="9"/>
        <v>0.53759999999999986</v>
      </c>
      <c r="Z31">
        <f t="shared" si="9"/>
        <v>0.53759999999999986</v>
      </c>
      <c r="AA31">
        <f t="shared" si="9"/>
        <v>0.53759999999999986</v>
      </c>
      <c r="AB31">
        <f t="shared" si="9"/>
        <v>0.53759999999999986</v>
      </c>
      <c r="AC31">
        <f t="shared" si="9"/>
        <v>0.53759999999999986</v>
      </c>
      <c r="AD31">
        <f t="shared" si="9"/>
        <v>0.53759999999999986</v>
      </c>
      <c r="AE31">
        <f t="shared" si="9"/>
        <v>0.53759999999999986</v>
      </c>
      <c r="AF31">
        <f t="shared" si="9"/>
        <v>0.53759999999999986</v>
      </c>
      <c r="AG31">
        <f t="shared" si="10"/>
        <v>0.53759999999999986</v>
      </c>
      <c r="AH31">
        <f t="shared" si="10"/>
        <v>0.53759999999999986</v>
      </c>
      <c r="AI31">
        <f t="shared" si="10"/>
        <v>0.53759999999999986</v>
      </c>
      <c r="AJ31">
        <f t="shared" si="10"/>
        <v>0.53759999999999986</v>
      </c>
      <c r="AK31">
        <f t="shared" si="10"/>
        <v>0.53759999999999986</v>
      </c>
      <c r="AL31">
        <f t="shared" si="10"/>
        <v>0.53759999999999986</v>
      </c>
      <c r="AM31">
        <f t="shared" si="10"/>
        <v>0.53759999999999986</v>
      </c>
      <c r="AN31">
        <f t="shared" si="10"/>
        <v>0.53759999999999986</v>
      </c>
      <c r="AO31">
        <f t="shared" si="10"/>
        <v>0.53759999999999986</v>
      </c>
      <c r="AP31">
        <f t="shared" si="10"/>
        <v>0.53759999999999986</v>
      </c>
      <c r="AQ31">
        <f t="shared" si="11"/>
        <v>0.53759999999999986</v>
      </c>
      <c r="AR31">
        <f t="shared" si="11"/>
        <v>0.53759999999999986</v>
      </c>
      <c r="AS31">
        <f t="shared" si="11"/>
        <v>0.53759999999999986</v>
      </c>
      <c r="AT31">
        <f t="shared" si="11"/>
        <v>0.53759999999999986</v>
      </c>
      <c r="AU31">
        <f t="shared" si="11"/>
        <v>0.53759999999999986</v>
      </c>
      <c r="AV31">
        <f t="shared" si="11"/>
        <v>0.53759999999999986</v>
      </c>
      <c r="AW31">
        <f t="shared" si="11"/>
        <v>0.53759999999999986</v>
      </c>
      <c r="AX31">
        <f t="shared" si="11"/>
        <v>0.53759999999999986</v>
      </c>
      <c r="AY31">
        <f t="shared" si="11"/>
        <v>0.53759999999999986</v>
      </c>
      <c r="AZ31">
        <f t="shared" si="11"/>
        <v>0.53759999999999986</v>
      </c>
      <c r="BA31" s="6"/>
    </row>
    <row r="32" spans="1:53" x14ac:dyDescent="0.2">
      <c r="A32">
        <f t="shared" si="6"/>
        <v>33</v>
      </c>
      <c r="B32" s="3">
        <f t="shared" si="0"/>
        <v>66</v>
      </c>
      <c r="C32">
        <f t="shared" si="7"/>
        <v>0.5643999999999999</v>
      </c>
      <c r="D32">
        <f t="shared" si="7"/>
        <v>0.5643999999999999</v>
      </c>
      <c r="E32">
        <f t="shared" si="7"/>
        <v>0.5643999999999999</v>
      </c>
      <c r="F32">
        <f t="shared" si="7"/>
        <v>0.5643999999999999</v>
      </c>
      <c r="G32">
        <f t="shared" si="7"/>
        <v>0.5643999999999999</v>
      </c>
      <c r="H32">
        <f t="shared" si="7"/>
        <v>0.5643999999999999</v>
      </c>
      <c r="I32">
        <f t="shared" si="7"/>
        <v>0.5643999999999999</v>
      </c>
      <c r="J32">
        <f t="shared" si="7"/>
        <v>0.5643999999999999</v>
      </c>
      <c r="K32">
        <f t="shared" si="7"/>
        <v>0.5643999999999999</v>
      </c>
      <c r="L32">
        <f t="shared" si="7"/>
        <v>0.5643999999999999</v>
      </c>
      <c r="M32">
        <f t="shared" si="8"/>
        <v>0.5643999999999999</v>
      </c>
      <c r="N32">
        <f t="shared" si="8"/>
        <v>0.5643999999999999</v>
      </c>
      <c r="O32">
        <f t="shared" si="8"/>
        <v>0.5643999999999999</v>
      </c>
      <c r="P32">
        <f t="shared" si="8"/>
        <v>0.5643999999999999</v>
      </c>
      <c r="Q32">
        <f t="shared" si="8"/>
        <v>0.5643999999999999</v>
      </c>
      <c r="R32">
        <f t="shared" si="8"/>
        <v>0.5643999999999999</v>
      </c>
      <c r="S32">
        <f t="shared" si="8"/>
        <v>0.5643999999999999</v>
      </c>
      <c r="T32">
        <f t="shared" si="8"/>
        <v>0.5643999999999999</v>
      </c>
      <c r="U32">
        <f t="shared" si="8"/>
        <v>0.5643999999999999</v>
      </c>
      <c r="V32">
        <f t="shared" si="8"/>
        <v>0.5643999999999999</v>
      </c>
      <c r="W32">
        <f t="shared" si="9"/>
        <v>0.5643999999999999</v>
      </c>
      <c r="X32">
        <f t="shared" si="9"/>
        <v>0.5643999999999999</v>
      </c>
      <c r="Y32">
        <f t="shared" si="9"/>
        <v>0.5643999999999999</v>
      </c>
      <c r="Z32">
        <f t="shared" si="9"/>
        <v>0.5643999999999999</v>
      </c>
      <c r="AA32">
        <f t="shared" si="9"/>
        <v>0.5643999999999999</v>
      </c>
      <c r="AB32">
        <f t="shared" si="9"/>
        <v>0.5643999999999999</v>
      </c>
      <c r="AC32">
        <f t="shared" si="9"/>
        <v>0.5643999999999999</v>
      </c>
      <c r="AD32">
        <f t="shared" si="9"/>
        <v>0.5643999999999999</v>
      </c>
      <c r="AE32">
        <f t="shared" si="9"/>
        <v>0.5643999999999999</v>
      </c>
      <c r="AF32">
        <f t="shared" si="9"/>
        <v>0.5643999999999999</v>
      </c>
      <c r="AG32">
        <f t="shared" si="10"/>
        <v>0.5643999999999999</v>
      </c>
      <c r="AH32">
        <f t="shared" si="10"/>
        <v>0.5643999999999999</v>
      </c>
      <c r="AI32">
        <f t="shared" si="10"/>
        <v>0.5643999999999999</v>
      </c>
      <c r="AJ32">
        <f t="shared" si="10"/>
        <v>0.5643999999999999</v>
      </c>
      <c r="AK32">
        <f t="shared" si="10"/>
        <v>0.5643999999999999</v>
      </c>
      <c r="AL32">
        <f t="shared" si="10"/>
        <v>0.5643999999999999</v>
      </c>
      <c r="AM32">
        <f t="shared" si="10"/>
        <v>0.5643999999999999</v>
      </c>
      <c r="AN32">
        <f t="shared" si="10"/>
        <v>0.5643999999999999</v>
      </c>
      <c r="AO32">
        <f t="shared" si="10"/>
        <v>0.5643999999999999</v>
      </c>
      <c r="AP32">
        <f t="shared" si="10"/>
        <v>0.5643999999999999</v>
      </c>
      <c r="AQ32">
        <f t="shared" si="11"/>
        <v>0.5643999999999999</v>
      </c>
      <c r="AR32">
        <f t="shared" si="11"/>
        <v>0.5643999999999999</v>
      </c>
      <c r="AS32">
        <f t="shared" si="11"/>
        <v>0.5643999999999999</v>
      </c>
      <c r="AT32">
        <f t="shared" si="11"/>
        <v>0.5643999999999999</v>
      </c>
      <c r="AU32">
        <f t="shared" si="11"/>
        <v>0.5643999999999999</v>
      </c>
      <c r="AV32">
        <f t="shared" si="11"/>
        <v>0.5643999999999999</v>
      </c>
      <c r="AW32">
        <f t="shared" si="11"/>
        <v>0.5643999999999999</v>
      </c>
      <c r="AX32">
        <f t="shared" si="11"/>
        <v>0.5643999999999999</v>
      </c>
      <c r="AY32">
        <f t="shared" si="11"/>
        <v>0.5643999999999999</v>
      </c>
      <c r="AZ32">
        <f t="shared" si="11"/>
        <v>0.5643999999999999</v>
      </c>
      <c r="BA32" s="6"/>
    </row>
    <row r="33" spans="1:53" x14ac:dyDescent="0.2">
      <c r="A33">
        <f t="shared" si="6"/>
        <v>32</v>
      </c>
      <c r="B33" s="3">
        <f t="shared" si="0"/>
        <v>64</v>
      </c>
      <c r="C33">
        <f t="shared" si="7"/>
        <v>0.59039999999999992</v>
      </c>
      <c r="D33">
        <f t="shared" si="7"/>
        <v>0.59039999999999992</v>
      </c>
      <c r="E33">
        <f t="shared" si="7"/>
        <v>0.59039999999999992</v>
      </c>
      <c r="F33">
        <f t="shared" si="7"/>
        <v>0.59039999999999992</v>
      </c>
      <c r="G33">
        <f t="shared" si="7"/>
        <v>0.59039999999999992</v>
      </c>
      <c r="H33">
        <f t="shared" si="7"/>
        <v>0.59039999999999992</v>
      </c>
      <c r="I33">
        <f t="shared" si="7"/>
        <v>0.59039999999999992</v>
      </c>
      <c r="J33">
        <f t="shared" si="7"/>
        <v>0.59039999999999992</v>
      </c>
      <c r="K33">
        <f t="shared" si="7"/>
        <v>0.59039999999999992</v>
      </c>
      <c r="L33">
        <f t="shared" si="7"/>
        <v>0.59039999999999992</v>
      </c>
      <c r="M33">
        <f t="shared" si="8"/>
        <v>0.59039999999999992</v>
      </c>
      <c r="N33">
        <f t="shared" si="8"/>
        <v>0.59039999999999992</v>
      </c>
      <c r="O33">
        <f t="shared" si="8"/>
        <v>0.59039999999999992</v>
      </c>
      <c r="P33">
        <f t="shared" si="8"/>
        <v>0.59039999999999992</v>
      </c>
      <c r="Q33">
        <f t="shared" si="8"/>
        <v>0.59039999999999992</v>
      </c>
      <c r="R33">
        <f t="shared" si="8"/>
        <v>0.59039999999999992</v>
      </c>
      <c r="S33">
        <f t="shared" si="8"/>
        <v>0.59039999999999992</v>
      </c>
      <c r="T33">
        <f t="shared" si="8"/>
        <v>0.59039999999999992</v>
      </c>
      <c r="U33">
        <f t="shared" si="8"/>
        <v>0.59039999999999992</v>
      </c>
      <c r="V33">
        <f t="shared" si="8"/>
        <v>0.59039999999999992</v>
      </c>
      <c r="W33">
        <f t="shared" si="9"/>
        <v>0.59039999999999992</v>
      </c>
      <c r="X33">
        <f t="shared" si="9"/>
        <v>0.59039999999999992</v>
      </c>
      <c r="Y33">
        <f t="shared" si="9"/>
        <v>0.59039999999999992</v>
      </c>
      <c r="Z33">
        <f t="shared" si="9"/>
        <v>0.59039999999999992</v>
      </c>
      <c r="AA33">
        <f t="shared" si="9"/>
        <v>0.59039999999999992</v>
      </c>
      <c r="AB33">
        <f t="shared" si="9"/>
        <v>0.59039999999999992</v>
      </c>
      <c r="AC33">
        <f t="shared" si="9"/>
        <v>0.59039999999999992</v>
      </c>
      <c r="AD33">
        <f t="shared" si="9"/>
        <v>0.59039999999999992</v>
      </c>
      <c r="AE33">
        <f t="shared" si="9"/>
        <v>0.59039999999999992</v>
      </c>
      <c r="AF33">
        <f t="shared" si="9"/>
        <v>0.59039999999999992</v>
      </c>
      <c r="AG33">
        <f t="shared" si="10"/>
        <v>0.59039999999999992</v>
      </c>
      <c r="AH33">
        <f t="shared" si="10"/>
        <v>0.59039999999999992</v>
      </c>
      <c r="AI33">
        <f t="shared" si="10"/>
        <v>0.59039999999999992</v>
      </c>
      <c r="AJ33">
        <f t="shared" si="10"/>
        <v>0.59039999999999992</v>
      </c>
      <c r="AK33">
        <f t="shared" si="10"/>
        <v>0.59039999999999992</v>
      </c>
      <c r="AL33">
        <f t="shared" si="10"/>
        <v>0.59039999999999992</v>
      </c>
      <c r="AM33">
        <f t="shared" si="10"/>
        <v>0.59039999999999992</v>
      </c>
      <c r="AN33">
        <f t="shared" si="10"/>
        <v>0.59039999999999992</v>
      </c>
      <c r="AO33">
        <f t="shared" si="10"/>
        <v>0.59039999999999992</v>
      </c>
      <c r="AP33">
        <f t="shared" si="10"/>
        <v>0.59039999999999992</v>
      </c>
      <c r="AQ33">
        <f t="shared" si="11"/>
        <v>0.59039999999999992</v>
      </c>
      <c r="AR33">
        <f t="shared" si="11"/>
        <v>0.59039999999999992</v>
      </c>
      <c r="AS33">
        <f t="shared" si="11"/>
        <v>0.59039999999999992</v>
      </c>
      <c r="AT33">
        <f t="shared" si="11"/>
        <v>0.59039999999999992</v>
      </c>
      <c r="AU33">
        <f t="shared" si="11"/>
        <v>0.59039999999999992</v>
      </c>
      <c r="AV33">
        <f t="shared" si="11"/>
        <v>0.59039999999999992</v>
      </c>
      <c r="AW33">
        <f t="shared" si="11"/>
        <v>0.59039999999999992</v>
      </c>
      <c r="AX33">
        <f t="shared" si="11"/>
        <v>0.59039999999999992</v>
      </c>
      <c r="AY33">
        <f t="shared" si="11"/>
        <v>0.59039999999999992</v>
      </c>
      <c r="AZ33">
        <f t="shared" si="11"/>
        <v>0.59039999999999992</v>
      </c>
      <c r="BA33" s="6"/>
    </row>
    <row r="34" spans="1:53" x14ac:dyDescent="0.2">
      <c r="A34">
        <f t="shared" si="6"/>
        <v>31</v>
      </c>
      <c r="B34" s="3">
        <f t="shared" si="0"/>
        <v>62</v>
      </c>
      <c r="C34">
        <f t="shared" si="7"/>
        <v>0.61559999999999993</v>
      </c>
      <c r="D34">
        <f t="shared" si="7"/>
        <v>0.61559999999999993</v>
      </c>
      <c r="E34">
        <f t="shared" si="7"/>
        <v>0.61559999999999993</v>
      </c>
      <c r="F34">
        <f t="shared" si="7"/>
        <v>0.61559999999999993</v>
      </c>
      <c r="G34">
        <f t="shared" si="7"/>
        <v>0.61559999999999993</v>
      </c>
      <c r="H34">
        <f t="shared" si="7"/>
        <v>0.61559999999999993</v>
      </c>
      <c r="I34">
        <f t="shared" si="7"/>
        <v>0.61559999999999993</v>
      </c>
      <c r="J34">
        <f t="shared" si="7"/>
        <v>0.61559999999999993</v>
      </c>
      <c r="K34">
        <f t="shared" si="7"/>
        <v>0.61559999999999993</v>
      </c>
      <c r="L34">
        <f t="shared" si="7"/>
        <v>0.61559999999999993</v>
      </c>
      <c r="M34">
        <f t="shared" si="8"/>
        <v>0.61559999999999993</v>
      </c>
      <c r="N34">
        <f t="shared" si="8"/>
        <v>0.61559999999999993</v>
      </c>
      <c r="O34">
        <f t="shared" si="8"/>
        <v>0.61559999999999993</v>
      </c>
      <c r="P34">
        <f t="shared" si="8"/>
        <v>0.61559999999999993</v>
      </c>
      <c r="Q34">
        <f t="shared" si="8"/>
        <v>0.61559999999999993</v>
      </c>
      <c r="R34">
        <f t="shared" si="8"/>
        <v>0.61559999999999993</v>
      </c>
      <c r="S34">
        <f t="shared" si="8"/>
        <v>0.61559999999999993</v>
      </c>
      <c r="T34">
        <f t="shared" si="8"/>
        <v>0.61559999999999993</v>
      </c>
      <c r="U34">
        <f t="shared" si="8"/>
        <v>0.61559999999999993</v>
      </c>
      <c r="V34">
        <f t="shared" si="8"/>
        <v>0.61559999999999993</v>
      </c>
      <c r="W34">
        <f t="shared" si="9"/>
        <v>0.61559999999999993</v>
      </c>
      <c r="X34">
        <f t="shared" si="9"/>
        <v>0.61559999999999993</v>
      </c>
      <c r="Y34">
        <f t="shared" si="9"/>
        <v>0.61559999999999993</v>
      </c>
      <c r="Z34">
        <f t="shared" si="9"/>
        <v>0.61559999999999993</v>
      </c>
      <c r="AA34">
        <f t="shared" si="9"/>
        <v>0.61559999999999993</v>
      </c>
      <c r="AB34">
        <f t="shared" si="9"/>
        <v>0.61559999999999993</v>
      </c>
      <c r="AC34">
        <f t="shared" si="9"/>
        <v>0.61559999999999993</v>
      </c>
      <c r="AD34">
        <f t="shared" si="9"/>
        <v>0.61559999999999993</v>
      </c>
      <c r="AE34">
        <f t="shared" si="9"/>
        <v>0.61559999999999993</v>
      </c>
      <c r="AF34">
        <f t="shared" si="9"/>
        <v>0.61559999999999993</v>
      </c>
      <c r="AG34">
        <f t="shared" si="10"/>
        <v>0.61559999999999993</v>
      </c>
      <c r="AH34">
        <f t="shared" si="10"/>
        <v>0.61559999999999993</v>
      </c>
      <c r="AI34">
        <f t="shared" si="10"/>
        <v>0.61559999999999993</v>
      </c>
      <c r="AJ34">
        <f t="shared" si="10"/>
        <v>0.61559999999999993</v>
      </c>
      <c r="AK34">
        <f t="shared" si="10"/>
        <v>0.61559999999999993</v>
      </c>
      <c r="AL34">
        <f t="shared" si="10"/>
        <v>0.61559999999999993</v>
      </c>
      <c r="AM34">
        <f t="shared" si="10"/>
        <v>0.61559999999999993</v>
      </c>
      <c r="AN34">
        <f t="shared" si="10"/>
        <v>0.61559999999999993</v>
      </c>
      <c r="AO34">
        <f t="shared" si="10"/>
        <v>0.61559999999999993</v>
      </c>
      <c r="AP34">
        <f t="shared" si="10"/>
        <v>0.61559999999999993</v>
      </c>
      <c r="AQ34">
        <f t="shared" si="11"/>
        <v>0.61559999999999993</v>
      </c>
      <c r="AR34">
        <f t="shared" si="11"/>
        <v>0.61559999999999993</v>
      </c>
      <c r="AS34">
        <f t="shared" si="11"/>
        <v>0.61559999999999993</v>
      </c>
      <c r="AT34">
        <f t="shared" si="11"/>
        <v>0.61559999999999993</v>
      </c>
      <c r="AU34">
        <f t="shared" si="11"/>
        <v>0.61559999999999993</v>
      </c>
      <c r="AV34">
        <f t="shared" si="11"/>
        <v>0.61559999999999993</v>
      </c>
      <c r="AW34">
        <f t="shared" si="11"/>
        <v>0.61559999999999993</v>
      </c>
      <c r="AX34">
        <f t="shared" si="11"/>
        <v>0.61559999999999993</v>
      </c>
      <c r="AY34">
        <f t="shared" si="11"/>
        <v>0.61559999999999993</v>
      </c>
      <c r="AZ34">
        <f t="shared" si="11"/>
        <v>0.61559999999999993</v>
      </c>
      <c r="BA34" s="6"/>
    </row>
    <row r="35" spans="1:53" x14ac:dyDescent="0.2">
      <c r="A35">
        <f t="shared" si="6"/>
        <v>30</v>
      </c>
      <c r="B35" s="3">
        <f t="shared" si="0"/>
        <v>60</v>
      </c>
      <c r="C35">
        <f t="shared" si="7"/>
        <v>0.6399999999999999</v>
      </c>
      <c r="D35">
        <f t="shared" si="7"/>
        <v>0.6399999999999999</v>
      </c>
      <c r="E35">
        <f t="shared" si="7"/>
        <v>0.6399999999999999</v>
      </c>
      <c r="F35">
        <f t="shared" si="7"/>
        <v>0.6399999999999999</v>
      </c>
      <c r="G35">
        <f t="shared" si="7"/>
        <v>0.6399999999999999</v>
      </c>
      <c r="H35">
        <f t="shared" si="7"/>
        <v>0.6399999999999999</v>
      </c>
      <c r="I35">
        <f t="shared" si="7"/>
        <v>0.6399999999999999</v>
      </c>
      <c r="J35">
        <f t="shared" si="7"/>
        <v>0.6399999999999999</v>
      </c>
      <c r="K35">
        <f t="shared" si="7"/>
        <v>0.6399999999999999</v>
      </c>
      <c r="L35">
        <f t="shared" si="7"/>
        <v>0.6399999999999999</v>
      </c>
      <c r="M35">
        <f t="shared" si="8"/>
        <v>0.6399999999999999</v>
      </c>
      <c r="N35">
        <f t="shared" si="8"/>
        <v>0.6399999999999999</v>
      </c>
      <c r="O35">
        <f t="shared" si="8"/>
        <v>0.6399999999999999</v>
      </c>
      <c r="P35">
        <f t="shared" si="8"/>
        <v>0.6399999999999999</v>
      </c>
      <c r="Q35">
        <f t="shared" si="8"/>
        <v>0.6399999999999999</v>
      </c>
      <c r="R35">
        <f t="shared" si="8"/>
        <v>0.6399999999999999</v>
      </c>
      <c r="S35">
        <f t="shared" si="8"/>
        <v>0.6399999999999999</v>
      </c>
      <c r="T35">
        <f t="shared" si="8"/>
        <v>0.6399999999999999</v>
      </c>
      <c r="U35">
        <f t="shared" si="8"/>
        <v>0.6399999999999999</v>
      </c>
      <c r="V35">
        <f t="shared" si="8"/>
        <v>0.6399999999999999</v>
      </c>
      <c r="W35">
        <f t="shared" si="9"/>
        <v>0.6399999999999999</v>
      </c>
      <c r="X35">
        <f t="shared" si="9"/>
        <v>0.6399999999999999</v>
      </c>
      <c r="Y35">
        <f t="shared" si="9"/>
        <v>0.6399999999999999</v>
      </c>
      <c r="Z35">
        <f t="shared" si="9"/>
        <v>0.6399999999999999</v>
      </c>
      <c r="AA35">
        <f t="shared" si="9"/>
        <v>0.6399999999999999</v>
      </c>
      <c r="AB35">
        <f t="shared" si="9"/>
        <v>0.6399999999999999</v>
      </c>
      <c r="AC35">
        <f t="shared" si="9"/>
        <v>0.6399999999999999</v>
      </c>
      <c r="AD35">
        <f t="shared" si="9"/>
        <v>0.6399999999999999</v>
      </c>
      <c r="AE35">
        <f t="shared" si="9"/>
        <v>0.6399999999999999</v>
      </c>
      <c r="AF35">
        <f t="shared" si="9"/>
        <v>0.6399999999999999</v>
      </c>
      <c r="AG35">
        <f t="shared" si="10"/>
        <v>0.6399999999999999</v>
      </c>
      <c r="AH35">
        <f t="shared" si="10"/>
        <v>0.6399999999999999</v>
      </c>
      <c r="AI35">
        <f t="shared" si="10"/>
        <v>0.6399999999999999</v>
      </c>
      <c r="AJ35">
        <f t="shared" si="10"/>
        <v>0.6399999999999999</v>
      </c>
      <c r="AK35">
        <f t="shared" si="10"/>
        <v>0.6399999999999999</v>
      </c>
      <c r="AL35">
        <f t="shared" si="10"/>
        <v>0.6399999999999999</v>
      </c>
      <c r="AM35">
        <f t="shared" si="10"/>
        <v>0.6399999999999999</v>
      </c>
      <c r="AN35">
        <f t="shared" si="10"/>
        <v>0.6399999999999999</v>
      </c>
      <c r="AO35">
        <f t="shared" si="10"/>
        <v>0.6399999999999999</v>
      </c>
      <c r="AP35">
        <f t="shared" si="10"/>
        <v>0.6399999999999999</v>
      </c>
      <c r="AQ35">
        <f t="shared" si="11"/>
        <v>0.6399999999999999</v>
      </c>
      <c r="AR35">
        <f t="shared" si="11"/>
        <v>0.6399999999999999</v>
      </c>
      <c r="AS35">
        <f t="shared" si="11"/>
        <v>0.6399999999999999</v>
      </c>
      <c r="AT35">
        <f t="shared" si="11"/>
        <v>0.6399999999999999</v>
      </c>
      <c r="AU35">
        <f t="shared" si="11"/>
        <v>0.6399999999999999</v>
      </c>
      <c r="AV35">
        <f t="shared" si="11"/>
        <v>0.6399999999999999</v>
      </c>
      <c r="AW35">
        <f t="shared" si="11"/>
        <v>0.6399999999999999</v>
      </c>
      <c r="AX35">
        <f t="shared" si="11"/>
        <v>0.6399999999999999</v>
      </c>
      <c r="AY35">
        <f t="shared" si="11"/>
        <v>0.6399999999999999</v>
      </c>
      <c r="AZ35">
        <f t="shared" si="11"/>
        <v>0.6399999999999999</v>
      </c>
      <c r="BA35" s="6"/>
    </row>
    <row r="36" spans="1:53" x14ac:dyDescent="0.2">
      <c r="A36">
        <f t="shared" si="6"/>
        <v>29</v>
      </c>
      <c r="B36" s="3">
        <f t="shared" si="0"/>
        <v>58</v>
      </c>
      <c r="C36">
        <f t="shared" ref="C36:L45" si="12">1-sigma^2*$A36^2*dt</f>
        <v>0.66359999999999997</v>
      </c>
      <c r="D36">
        <f t="shared" si="12"/>
        <v>0.66359999999999997</v>
      </c>
      <c r="E36">
        <f t="shared" si="12"/>
        <v>0.66359999999999997</v>
      </c>
      <c r="F36">
        <f t="shared" si="12"/>
        <v>0.66359999999999997</v>
      </c>
      <c r="G36">
        <f t="shared" si="12"/>
        <v>0.66359999999999997</v>
      </c>
      <c r="H36">
        <f t="shared" si="12"/>
        <v>0.66359999999999997</v>
      </c>
      <c r="I36">
        <f t="shared" si="12"/>
        <v>0.66359999999999997</v>
      </c>
      <c r="J36">
        <f t="shared" si="12"/>
        <v>0.66359999999999997</v>
      </c>
      <c r="K36">
        <f t="shared" si="12"/>
        <v>0.66359999999999997</v>
      </c>
      <c r="L36">
        <f t="shared" si="12"/>
        <v>0.66359999999999997</v>
      </c>
      <c r="M36">
        <f t="shared" ref="M36:V45" si="13">1-sigma^2*$A36^2*dt</f>
        <v>0.66359999999999997</v>
      </c>
      <c r="N36">
        <f t="shared" si="13"/>
        <v>0.66359999999999997</v>
      </c>
      <c r="O36">
        <f t="shared" si="13"/>
        <v>0.66359999999999997</v>
      </c>
      <c r="P36">
        <f t="shared" si="13"/>
        <v>0.66359999999999997</v>
      </c>
      <c r="Q36">
        <f t="shared" si="13"/>
        <v>0.66359999999999997</v>
      </c>
      <c r="R36">
        <f t="shared" si="13"/>
        <v>0.66359999999999997</v>
      </c>
      <c r="S36">
        <f t="shared" si="13"/>
        <v>0.66359999999999997</v>
      </c>
      <c r="T36">
        <f t="shared" si="13"/>
        <v>0.66359999999999997</v>
      </c>
      <c r="U36">
        <f t="shared" si="13"/>
        <v>0.66359999999999997</v>
      </c>
      <c r="V36">
        <f t="shared" si="13"/>
        <v>0.66359999999999997</v>
      </c>
      <c r="W36">
        <f t="shared" ref="W36:AF45" si="14">1-sigma^2*$A36^2*dt</f>
        <v>0.66359999999999997</v>
      </c>
      <c r="X36">
        <f t="shared" si="14"/>
        <v>0.66359999999999997</v>
      </c>
      <c r="Y36">
        <f t="shared" si="14"/>
        <v>0.66359999999999997</v>
      </c>
      <c r="Z36">
        <f t="shared" si="14"/>
        <v>0.66359999999999997</v>
      </c>
      <c r="AA36">
        <f t="shared" si="14"/>
        <v>0.66359999999999997</v>
      </c>
      <c r="AB36">
        <f t="shared" si="14"/>
        <v>0.66359999999999997</v>
      </c>
      <c r="AC36">
        <f t="shared" si="14"/>
        <v>0.66359999999999997</v>
      </c>
      <c r="AD36">
        <f t="shared" si="14"/>
        <v>0.66359999999999997</v>
      </c>
      <c r="AE36">
        <f t="shared" si="14"/>
        <v>0.66359999999999997</v>
      </c>
      <c r="AF36">
        <f t="shared" si="14"/>
        <v>0.66359999999999997</v>
      </c>
      <c r="AG36">
        <f t="shared" ref="AG36:AP45" si="15">1-sigma^2*$A36^2*dt</f>
        <v>0.66359999999999997</v>
      </c>
      <c r="AH36">
        <f t="shared" si="15"/>
        <v>0.66359999999999997</v>
      </c>
      <c r="AI36">
        <f t="shared" si="15"/>
        <v>0.66359999999999997</v>
      </c>
      <c r="AJ36">
        <f t="shared" si="15"/>
        <v>0.66359999999999997</v>
      </c>
      <c r="AK36">
        <f t="shared" si="15"/>
        <v>0.66359999999999997</v>
      </c>
      <c r="AL36">
        <f t="shared" si="15"/>
        <v>0.66359999999999997</v>
      </c>
      <c r="AM36">
        <f t="shared" si="15"/>
        <v>0.66359999999999997</v>
      </c>
      <c r="AN36">
        <f t="shared" si="15"/>
        <v>0.66359999999999997</v>
      </c>
      <c r="AO36">
        <f t="shared" si="15"/>
        <v>0.66359999999999997</v>
      </c>
      <c r="AP36">
        <f t="shared" si="15"/>
        <v>0.66359999999999997</v>
      </c>
      <c r="AQ36">
        <f t="shared" ref="AQ36:AZ45" si="16">1-sigma^2*$A36^2*dt</f>
        <v>0.66359999999999997</v>
      </c>
      <c r="AR36">
        <f t="shared" si="16"/>
        <v>0.66359999999999997</v>
      </c>
      <c r="AS36">
        <f t="shared" si="16"/>
        <v>0.66359999999999997</v>
      </c>
      <c r="AT36">
        <f t="shared" si="16"/>
        <v>0.66359999999999997</v>
      </c>
      <c r="AU36">
        <f t="shared" si="16"/>
        <v>0.66359999999999997</v>
      </c>
      <c r="AV36">
        <f t="shared" si="16"/>
        <v>0.66359999999999997</v>
      </c>
      <c r="AW36">
        <f t="shared" si="16"/>
        <v>0.66359999999999997</v>
      </c>
      <c r="AX36">
        <f t="shared" si="16"/>
        <v>0.66359999999999997</v>
      </c>
      <c r="AY36">
        <f t="shared" si="16"/>
        <v>0.66359999999999997</v>
      </c>
      <c r="AZ36">
        <f t="shared" si="16"/>
        <v>0.66359999999999997</v>
      </c>
      <c r="BA36" s="6"/>
    </row>
    <row r="37" spans="1:53" x14ac:dyDescent="0.2">
      <c r="A37">
        <f t="shared" si="6"/>
        <v>28</v>
      </c>
      <c r="B37" s="3">
        <f t="shared" si="0"/>
        <v>56</v>
      </c>
      <c r="C37">
        <f t="shared" si="12"/>
        <v>0.6863999999999999</v>
      </c>
      <c r="D37">
        <f t="shared" si="12"/>
        <v>0.6863999999999999</v>
      </c>
      <c r="E37">
        <f t="shared" si="12"/>
        <v>0.6863999999999999</v>
      </c>
      <c r="F37">
        <f t="shared" si="12"/>
        <v>0.6863999999999999</v>
      </c>
      <c r="G37">
        <f t="shared" si="12"/>
        <v>0.6863999999999999</v>
      </c>
      <c r="H37">
        <f t="shared" si="12"/>
        <v>0.6863999999999999</v>
      </c>
      <c r="I37">
        <f t="shared" si="12"/>
        <v>0.6863999999999999</v>
      </c>
      <c r="J37">
        <f t="shared" si="12"/>
        <v>0.6863999999999999</v>
      </c>
      <c r="K37">
        <f t="shared" si="12"/>
        <v>0.6863999999999999</v>
      </c>
      <c r="L37">
        <f t="shared" si="12"/>
        <v>0.6863999999999999</v>
      </c>
      <c r="M37">
        <f t="shared" si="13"/>
        <v>0.6863999999999999</v>
      </c>
      <c r="N37">
        <f t="shared" si="13"/>
        <v>0.6863999999999999</v>
      </c>
      <c r="O37">
        <f t="shared" si="13"/>
        <v>0.6863999999999999</v>
      </c>
      <c r="P37">
        <f t="shared" si="13"/>
        <v>0.6863999999999999</v>
      </c>
      <c r="Q37">
        <f t="shared" si="13"/>
        <v>0.6863999999999999</v>
      </c>
      <c r="R37">
        <f t="shared" si="13"/>
        <v>0.6863999999999999</v>
      </c>
      <c r="S37">
        <f t="shared" si="13"/>
        <v>0.6863999999999999</v>
      </c>
      <c r="T37">
        <f t="shared" si="13"/>
        <v>0.6863999999999999</v>
      </c>
      <c r="U37">
        <f t="shared" si="13"/>
        <v>0.6863999999999999</v>
      </c>
      <c r="V37">
        <f t="shared" si="13"/>
        <v>0.6863999999999999</v>
      </c>
      <c r="W37">
        <f t="shared" si="14"/>
        <v>0.6863999999999999</v>
      </c>
      <c r="X37">
        <f t="shared" si="14"/>
        <v>0.6863999999999999</v>
      </c>
      <c r="Y37">
        <f t="shared" si="14"/>
        <v>0.6863999999999999</v>
      </c>
      <c r="Z37">
        <f t="shared" si="14"/>
        <v>0.6863999999999999</v>
      </c>
      <c r="AA37">
        <f t="shared" si="14"/>
        <v>0.6863999999999999</v>
      </c>
      <c r="AB37">
        <f t="shared" si="14"/>
        <v>0.6863999999999999</v>
      </c>
      <c r="AC37">
        <f t="shared" si="14"/>
        <v>0.6863999999999999</v>
      </c>
      <c r="AD37">
        <f t="shared" si="14"/>
        <v>0.6863999999999999</v>
      </c>
      <c r="AE37">
        <f t="shared" si="14"/>
        <v>0.6863999999999999</v>
      </c>
      <c r="AF37">
        <f t="shared" si="14"/>
        <v>0.6863999999999999</v>
      </c>
      <c r="AG37">
        <f t="shared" si="15"/>
        <v>0.6863999999999999</v>
      </c>
      <c r="AH37">
        <f t="shared" si="15"/>
        <v>0.6863999999999999</v>
      </c>
      <c r="AI37">
        <f t="shared" si="15"/>
        <v>0.6863999999999999</v>
      </c>
      <c r="AJ37">
        <f t="shared" si="15"/>
        <v>0.6863999999999999</v>
      </c>
      <c r="AK37">
        <f t="shared" si="15"/>
        <v>0.6863999999999999</v>
      </c>
      <c r="AL37">
        <f t="shared" si="15"/>
        <v>0.6863999999999999</v>
      </c>
      <c r="AM37">
        <f t="shared" si="15"/>
        <v>0.6863999999999999</v>
      </c>
      <c r="AN37">
        <f t="shared" si="15"/>
        <v>0.6863999999999999</v>
      </c>
      <c r="AO37">
        <f t="shared" si="15"/>
        <v>0.6863999999999999</v>
      </c>
      <c r="AP37">
        <f t="shared" si="15"/>
        <v>0.6863999999999999</v>
      </c>
      <c r="AQ37">
        <f t="shared" si="16"/>
        <v>0.6863999999999999</v>
      </c>
      <c r="AR37">
        <f t="shared" si="16"/>
        <v>0.6863999999999999</v>
      </c>
      <c r="AS37">
        <f t="shared" si="16"/>
        <v>0.6863999999999999</v>
      </c>
      <c r="AT37">
        <f t="shared" si="16"/>
        <v>0.6863999999999999</v>
      </c>
      <c r="AU37">
        <f t="shared" si="16"/>
        <v>0.6863999999999999</v>
      </c>
      <c r="AV37">
        <f t="shared" si="16"/>
        <v>0.6863999999999999</v>
      </c>
      <c r="AW37">
        <f t="shared" si="16"/>
        <v>0.6863999999999999</v>
      </c>
      <c r="AX37">
        <f t="shared" si="16"/>
        <v>0.6863999999999999</v>
      </c>
      <c r="AY37">
        <f t="shared" si="16"/>
        <v>0.6863999999999999</v>
      </c>
      <c r="AZ37">
        <f t="shared" si="16"/>
        <v>0.6863999999999999</v>
      </c>
      <c r="BA37" s="6"/>
    </row>
    <row r="38" spans="1:53" x14ac:dyDescent="0.2">
      <c r="A38">
        <f t="shared" si="6"/>
        <v>27</v>
      </c>
      <c r="B38" s="3">
        <f t="shared" si="0"/>
        <v>54</v>
      </c>
      <c r="C38">
        <f t="shared" si="12"/>
        <v>0.70839999999999992</v>
      </c>
      <c r="D38">
        <f t="shared" si="12"/>
        <v>0.70839999999999992</v>
      </c>
      <c r="E38">
        <f t="shared" si="12"/>
        <v>0.70839999999999992</v>
      </c>
      <c r="F38">
        <f t="shared" si="12"/>
        <v>0.70839999999999992</v>
      </c>
      <c r="G38">
        <f t="shared" si="12"/>
        <v>0.70839999999999992</v>
      </c>
      <c r="H38">
        <f t="shared" si="12"/>
        <v>0.70839999999999992</v>
      </c>
      <c r="I38">
        <f t="shared" si="12"/>
        <v>0.70839999999999992</v>
      </c>
      <c r="J38">
        <f t="shared" si="12"/>
        <v>0.70839999999999992</v>
      </c>
      <c r="K38">
        <f t="shared" si="12"/>
        <v>0.70839999999999992</v>
      </c>
      <c r="L38">
        <f t="shared" si="12"/>
        <v>0.70839999999999992</v>
      </c>
      <c r="M38">
        <f t="shared" si="13"/>
        <v>0.70839999999999992</v>
      </c>
      <c r="N38">
        <f t="shared" si="13"/>
        <v>0.70839999999999992</v>
      </c>
      <c r="O38">
        <f t="shared" si="13"/>
        <v>0.70839999999999992</v>
      </c>
      <c r="P38">
        <f t="shared" si="13"/>
        <v>0.70839999999999992</v>
      </c>
      <c r="Q38">
        <f t="shared" si="13"/>
        <v>0.70839999999999992</v>
      </c>
      <c r="R38">
        <f t="shared" si="13"/>
        <v>0.70839999999999992</v>
      </c>
      <c r="S38">
        <f t="shared" si="13"/>
        <v>0.70839999999999992</v>
      </c>
      <c r="T38">
        <f t="shared" si="13"/>
        <v>0.70839999999999992</v>
      </c>
      <c r="U38">
        <f t="shared" si="13"/>
        <v>0.70839999999999992</v>
      </c>
      <c r="V38">
        <f t="shared" si="13"/>
        <v>0.70839999999999992</v>
      </c>
      <c r="W38">
        <f t="shared" si="14"/>
        <v>0.70839999999999992</v>
      </c>
      <c r="X38">
        <f t="shared" si="14"/>
        <v>0.70839999999999992</v>
      </c>
      <c r="Y38">
        <f t="shared" si="14"/>
        <v>0.70839999999999992</v>
      </c>
      <c r="Z38">
        <f t="shared" si="14"/>
        <v>0.70839999999999992</v>
      </c>
      <c r="AA38">
        <f t="shared" si="14"/>
        <v>0.70839999999999992</v>
      </c>
      <c r="AB38">
        <f t="shared" si="14"/>
        <v>0.70839999999999992</v>
      </c>
      <c r="AC38">
        <f t="shared" si="14"/>
        <v>0.70839999999999992</v>
      </c>
      <c r="AD38">
        <f t="shared" si="14"/>
        <v>0.70839999999999992</v>
      </c>
      <c r="AE38">
        <f t="shared" si="14"/>
        <v>0.70839999999999992</v>
      </c>
      <c r="AF38">
        <f t="shared" si="14"/>
        <v>0.70839999999999992</v>
      </c>
      <c r="AG38">
        <f t="shared" si="15"/>
        <v>0.70839999999999992</v>
      </c>
      <c r="AH38">
        <f t="shared" si="15"/>
        <v>0.70839999999999992</v>
      </c>
      <c r="AI38">
        <f t="shared" si="15"/>
        <v>0.70839999999999992</v>
      </c>
      <c r="AJ38">
        <f t="shared" si="15"/>
        <v>0.70839999999999992</v>
      </c>
      <c r="AK38">
        <f t="shared" si="15"/>
        <v>0.70839999999999992</v>
      </c>
      <c r="AL38">
        <f t="shared" si="15"/>
        <v>0.70839999999999992</v>
      </c>
      <c r="AM38">
        <f t="shared" si="15"/>
        <v>0.70839999999999992</v>
      </c>
      <c r="AN38">
        <f t="shared" si="15"/>
        <v>0.70839999999999992</v>
      </c>
      <c r="AO38">
        <f t="shared" si="15"/>
        <v>0.70839999999999992</v>
      </c>
      <c r="AP38">
        <f t="shared" si="15"/>
        <v>0.70839999999999992</v>
      </c>
      <c r="AQ38">
        <f t="shared" si="16"/>
        <v>0.70839999999999992</v>
      </c>
      <c r="AR38">
        <f t="shared" si="16"/>
        <v>0.70839999999999992</v>
      </c>
      <c r="AS38">
        <f t="shared" si="16"/>
        <v>0.70839999999999992</v>
      </c>
      <c r="AT38">
        <f t="shared" si="16"/>
        <v>0.70839999999999992</v>
      </c>
      <c r="AU38">
        <f t="shared" si="16"/>
        <v>0.70839999999999992</v>
      </c>
      <c r="AV38">
        <f t="shared" si="16"/>
        <v>0.70839999999999992</v>
      </c>
      <c r="AW38">
        <f t="shared" si="16"/>
        <v>0.70839999999999992</v>
      </c>
      <c r="AX38">
        <f t="shared" si="16"/>
        <v>0.70839999999999992</v>
      </c>
      <c r="AY38">
        <f t="shared" si="16"/>
        <v>0.70839999999999992</v>
      </c>
      <c r="AZ38">
        <f t="shared" si="16"/>
        <v>0.70839999999999992</v>
      </c>
      <c r="BA38" s="6"/>
    </row>
    <row r="39" spans="1:53" x14ac:dyDescent="0.2">
      <c r="A39">
        <f t="shared" si="6"/>
        <v>26</v>
      </c>
      <c r="B39" s="3">
        <f t="shared" si="0"/>
        <v>52</v>
      </c>
      <c r="C39">
        <f t="shared" si="12"/>
        <v>0.72959999999999992</v>
      </c>
      <c r="D39">
        <f t="shared" si="12"/>
        <v>0.72959999999999992</v>
      </c>
      <c r="E39">
        <f t="shared" si="12"/>
        <v>0.72959999999999992</v>
      </c>
      <c r="F39">
        <f t="shared" si="12"/>
        <v>0.72959999999999992</v>
      </c>
      <c r="G39">
        <f t="shared" si="12"/>
        <v>0.72959999999999992</v>
      </c>
      <c r="H39">
        <f t="shared" si="12"/>
        <v>0.72959999999999992</v>
      </c>
      <c r="I39">
        <f t="shared" si="12"/>
        <v>0.72959999999999992</v>
      </c>
      <c r="J39">
        <f t="shared" si="12"/>
        <v>0.72959999999999992</v>
      </c>
      <c r="K39">
        <f t="shared" si="12"/>
        <v>0.72959999999999992</v>
      </c>
      <c r="L39">
        <f t="shared" si="12"/>
        <v>0.72959999999999992</v>
      </c>
      <c r="M39">
        <f t="shared" si="13"/>
        <v>0.72959999999999992</v>
      </c>
      <c r="N39">
        <f t="shared" si="13"/>
        <v>0.72959999999999992</v>
      </c>
      <c r="O39">
        <f t="shared" si="13"/>
        <v>0.72959999999999992</v>
      </c>
      <c r="P39">
        <f t="shared" si="13"/>
        <v>0.72959999999999992</v>
      </c>
      <c r="Q39">
        <f t="shared" si="13"/>
        <v>0.72959999999999992</v>
      </c>
      <c r="R39">
        <f t="shared" si="13"/>
        <v>0.72959999999999992</v>
      </c>
      <c r="S39">
        <f t="shared" si="13"/>
        <v>0.72959999999999992</v>
      </c>
      <c r="T39">
        <f t="shared" si="13"/>
        <v>0.72959999999999992</v>
      </c>
      <c r="U39">
        <f t="shared" si="13"/>
        <v>0.72959999999999992</v>
      </c>
      <c r="V39">
        <f t="shared" si="13"/>
        <v>0.72959999999999992</v>
      </c>
      <c r="W39">
        <f t="shared" si="14"/>
        <v>0.72959999999999992</v>
      </c>
      <c r="X39">
        <f t="shared" si="14"/>
        <v>0.72959999999999992</v>
      </c>
      <c r="Y39">
        <f t="shared" si="14"/>
        <v>0.72959999999999992</v>
      </c>
      <c r="Z39">
        <f t="shared" si="14"/>
        <v>0.72959999999999992</v>
      </c>
      <c r="AA39">
        <f t="shared" si="14"/>
        <v>0.72959999999999992</v>
      </c>
      <c r="AB39">
        <f t="shared" si="14"/>
        <v>0.72959999999999992</v>
      </c>
      <c r="AC39">
        <f t="shared" si="14"/>
        <v>0.72959999999999992</v>
      </c>
      <c r="AD39">
        <f t="shared" si="14"/>
        <v>0.72959999999999992</v>
      </c>
      <c r="AE39">
        <f t="shared" si="14"/>
        <v>0.72959999999999992</v>
      </c>
      <c r="AF39">
        <f t="shared" si="14"/>
        <v>0.72959999999999992</v>
      </c>
      <c r="AG39">
        <f t="shared" si="15"/>
        <v>0.72959999999999992</v>
      </c>
      <c r="AH39">
        <f t="shared" si="15"/>
        <v>0.72959999999999992</v>
      </c>
      <c r="AI39">
        <f t="shared" si="15"/>
        <v>0.72959999999999992</v>
      </c>
      <c r="AJ39">
        <f t="shared" si="15"/>
        <v>0.72959999999999992</v>
      </c>
      <c r="AK39">
        <f t="shared" si="15"/>
        <v>0.72959999999999992</v>
      </c>
      <c r="AL39">
        <f t="shared" si="15"/>
        <v>0.72959999999999992</v>
      </c>
      <c r="AM39">
        <f t="shared" si="15"/>
        <v>0.72959999999999992</v>
      </c>
      <c r="AN39">
        <f t="shared" si="15"/>
        <v>0.72959999999999992</v>
      </c>
      <c r="AO39">
        <f t="shared" si="15"/>
        <v>0.72959999999999992</v>
      </c>
      <c r="AP39">
        <f t="shared" si="15"/>
        <v>0.72959999999999992</v>
      </c>
      <c r="AQ39">
        <f t="shared" si="16"/>
        <v>0.72959999999999992</v>
      </c>
      <c r="AR39">
        <f t="shared" si="16"/>
        <v>0.72959999999999992</v>
      </c>
      <c r="AS39">
        <f t="shared" si="16"/>
        <v>0.72959999999999992</v>
      </c>
      <c r="AT39">
        <f t="shared" si="16"/>
        <v>0.72959999999999992</v>
      </c>
      <c r="AU39">
        <f t="shared" si="16"/>
        <v>0.72959999999999992</v>
      </c>
      <c r="AV39">
        <f t="shared" si="16"/>
        <v>0.72959999999999992</v>
      </c>
      <c r="AW39">
        <f t="shared" si="16"/>
        <v>0.72959999999999992</v>
      </c>
      <c r="AX39">
        <f t="shared" si="16"/>
        <v>0.72959999999999992</v>
      </c>
      <c r="AY39">
        <f t="shared" si="16"/>
        <v>0.72959999999999992</v>
      </c>
      <c r="AZ39">
        <f t="shared" si="16"/>
        <v>0.72959999999999992</v>
      </c>
      <c r="BA39" s="6"/>
    </row>
    <row r="40" spans="1:53" x14ac:dyDescent="0.2">
      <c r="A40">
        <f t="shared" si="6"/>
        <v>25</v>
      </c>
      <c r="B40" s="3">
        <f t="shared" si="0"/>
        <v>50</v>
      </c>
      <c r="C40">
        <f t="shared" si="12"/>
        <v>0.75</v>
      </c>
      <c r="D40">
        <f t="shared" si="12"/>
        <v>0.75</v>
      </c>
      <c r="E40">
        <f t="shared" si="12"/>
        <v>0.75</v>
      </c>
      <c r="F40">
        <f t="shared" si="12"/>
        <v>0.75</v>
      </c>
      <c r="G40">
        <f t="shared" si="12"/>
        <v>0.75</v>
      </c>
      <c r="H40">
        <f t="shared" si="12"/>
        <v>0.75</v>
      </c>
      <c r="I40">
        <f t="shared" si="12"/>
        <v>0.75</v>
      </c>
      <c r="J40">
        <f t="shared" si="12"/>
        <v>0.75</v>
      </c>
      <c r="K40">
        <f t="shared" si="12"/>
        <v>0.75</v>
      </c>
      <c r="L40">
        <f t="shared" si="12"/>
        <v>0.75</v>
      </c>
      <c r="M40">
        <f t="shared" si="13"/>
        <v>0.75</v>
      </c>
      <c r="N40">
        <f t="shared" si="13"/>
        <v>0.75</v>
      </c>
      <c r="O40">
        <f t="shared" si="13"/>
        <v>0.75</v>
      </c>
      <c r="P40">
        <f t="shared" si="13"/>
        <v>0.75</v>
      </c>
      <c r="Q40">
        <f t="shared" si="13"/>
        <v>0.75</v>
      </c>
      <c r="R40">
        <f t="shared" si="13"/>
        <v>0.75</v>
      </c>
      <c r="S40">
        <f t="shared" si="13"/>
        <v>0.75</v>
      </c>
      <c r="T40">
        <f t="shared" si="13"/>
        <v>0.75</v>
      </c>
      <c r="U40">
        <f t="shared" si="13"/>
        <v>0.75</v>
      </c>
      <c r="V40">
        <f t="shared" si="13"/>
        <v>0.75</v>
      </c>
      <c r="W40">
        <f t="shared" si="14"/>
        <v>0.75</v>
      </c>
      <c r="X40">
        <f t="shared" si="14"/>
        <v>0.75</v>
      </c>
      <c r="Y40">
        <f t="shared" si="14"/>
        <v>0.75</v>
      </c>
      <c r="Z40">
        <f t="shared" si="14"/>
        <v>0.75</v>
      </c>
      <c r="AA40">
        <f t="shared" si="14"/>
        <v>0.75</v>
      </c>
      <c r="AB40">
        <f t="shared" si="14"/>
        <v>0.75</v>
      </c>
      <c r="AC40">
        <f t="shared" si="14"/>
        <v>0.75</v>
      </c>
      <c r="AD40">
        <f t="shared" si="14"/>
        <v>0.75</v>
      </c>
      <c r="AE40">
        <f t="shared" si="14"/>
        <v>0.75</v>
      </c>
      <c r="AF40">
        <f t="shared" si="14"/>
        <v>0.75</v>
      </c>
      <c r="AG40">
        <f t="shared" si="15"/>
        <v>0.75</v>
      </c>
      <c r="AH40">
        <f t="shared" si="15"/>
        <v>0.75</v>
      </c>
      <c r="AI40">
        <f t="shared" si="15"/>
        <v>0.75</v>
      </c>
      <c r="AJ40">
        <f t="shared" si="15"/>
        <v>0.75</v>
      </c>
      <c r="AK40">
        <f t="shared" si="15"/>
        <v>0.75</v>
      </c>
      <c r="AL40">
        <f t="shared" si="15"/>
        <v>0.75</v>
      </c>
      <c r="AM40">
        <f t="shared" si="15"/>
        <v>0.75</v>
      </c>
      <c r="AN40">
        <f t="shared" si="15"/>
        <v>0.75</v>
      </c>
      <c r="AO40">
        <f t="shared" si="15"/>
        <v>0.75</v>
      </c>
      <c r="AP40">
        <f t="shared" si="15"/>
        <v>0.75</v>
      </c>
      <c r="AQ40">
        <f t="shared" si="16"/>
        <v>0.75</v>
      </c>
      <c r="AR40">
        <f t="shared" si="16"/>
        <v>0.75</v>
      </c>
      <c r="AS40">
        <f t="shared" si="16"/>
        <v>0.75</v>
      </c>
      <c r="AT40">
        <f t="shared" si="16"/>
        <v>0.75</v>
      </c>
      <c r="AU40">
        <f t="shared" si="16"/>
        <v>0.75</v>
      </c>
      <c r="AV40">
        <f t="shared" si="16"/>
        <v>0.75</v>
      </c>
      <c r="AW40">
        <f t="shared" si="16"/>
        <v>0.75</v>
      </c>
      <c r="AX40">
        <f t="shared" si="16"/>
        <v>0.75</v>
      </c>
      <c r="AY40">
        <f t="shared" si="16"/>
        <v>0.75</v>
      </c>
      <c r="AZ40">
        <f t="shared" si="16"/>
        <v>0.75</v>
      </c>
      <c r="BA40" s="6"/>
    </row>
    <row r="41" spans="1:53" x14ac:dyDescent="0.2">
      <c r="A41">
        <f t="shared" si="6"/>
        <v>24</v>
      </c>
      <c r="B41" s="3">
        <f t="shared" si="0"/>
        <v>48</v>
      </c>
      <c r="C41">
        <f t="shared" si="12"/>
        <v>0.76959999999999995</v>
      </c>
      <c r="D41">
        <f t="shared" si="12"/>
        <v>0.76959999999999995</v>
      </c>
      <c r="E41">
        <f t="shared" si="12"/>
        <v>0.76959999999999995</v>
      </c>
      <c r="F41">
        <f t="shared" si="12"/>
        <v>0.76959999999999995</v>
      </c>
      <c r="G41">
        <f t="shared" si="12"/>
        <v>0.76959999999999995</v>
      </c>
      <c r="H41">
        <f t="shared" si="12"/>
        <v>0.76959999999999995</v>
      </c>
      <c r="I41">
        <f t="shared" si="12"/>
        <v>0.76959999999999995</v>
      </c>
      <c r="J41">
        <f t="shared" si="12"/>
        <v>0.76959999999999995</v>
      </c>
      <c r="K41">
        <f t="shared" si="12"/>
        <v>0.76959999999999995</v>
      </c>
      <c r="L41">
        <f t="shared" si="12"/>
        <v>0.76959999999999995</v>
      </c>
      <c r="M41">
        <f t="shared" si="13"/>
        <v>0.76959999999999995</v>
      </c>
      <c r="N41">
        <f t="shared" si="13"/>
        <v>0.76959999999999995</v>
      </c>
      <c r="O41">
        <f t="shared" si="13"/>
        <v>0.76959999999999995</v>
      </c>
      <c r="P41">
        <f t="shared" si="13"/>
        <v>0.76959999999999995</v>
      </c>
      <c r="Q41">
        <f t="shared" si="13"/>
        <v>0.76959999999999995</v>
      </c>
      <c r="R41">
        <f t="shared" si="13"/>
        <v>0.76959999999999995</v>
      </c>
      <c r="S41">
        <f t="shared" si="13"/>
        <v>0.76959999999999995</v>
      </c>
      <c r="T41">
        <f t="shared" si="13"/>
        <v>0.76959999999999995</v>
      </c>
      <c r="U41">
        <f t="shared" si="13"/>
        <v>0.76959999999999995</v>
      </c>
      <c r="V41">
        <f t="shared" si="13"/>
        <v>0.76959999999999995</v>
      </c>
      <c r="W41">
        <f t="shared" si="14"/>
        <v>0.76959999999999995</v>
      </c>
      <c r="X41">
        <f t="shared" si="14"/>
        <v>0.76959999999999995</v>
      </c>
      <c r="Y41">
        <f t="shared" si="14"/>
        <v>0.76959999999999995</v>
      </c>
      <c r="Z41">
        <f t="shared" si="14"/>
        <v>0.76959999999999995</v>
      </c>
      <c r="AA41">
        <f t="shared" si="14"/>
        <v>0.76959999999999995</v>
      </c>
      <c r="AB41">
        <f t="shared" si="14"/>
        <v>0.76959999999999995</v>
      </c>
      <c r="AC41">
        <f t="shared" si="14"/>
        <v>0.76959999999999995</v>
      </c>
      <c r="AD41">
        <f t="shared" si="14"/>
        <v>0.76959999999999995</v>
      </c>
      <c r="AE41">
        <f t="shared" si="14"/>
        <v>0.76959999999999995</v>
      </c>
      <c r="AF41">
        <f t="shared" si="14"/>
        <v>0.76959999999999995</v>
      </c>
      <c r="AG41">
        <f t="shared" si="15"/>
        <v>0.76959999999999995</v>
      </c>
      <c r="AH41">
        <f t="shared" si="15"/>
        <v>0.76959999999999995</v>
      </c>
      <c r="AI41">
        <f t="shared" si="15"/>
        <v>0.76959999999999995</v>
      </c>
      <c r="AJ41">
        <f t="shared" si="15"/>
        <v>0.76959999999999995</v>
      </c>
      <c r="AK41">
        <f t="shared" si="15"/>
        <v>0.76959999999999995</v>
      </c>
      <c r="AL41">
        <f t="shared" si="15"/>
        <v>0.76959999999999995</v>
      </c>
      <c r="AM41">
        <f t="shared" si="15"/>
        <v>0.76959999999999995</v>
      </c>
      <c r="AN41">
        <f t="shared" si="15"/>
        <v>0.76959999999999995</v>
      </c>
      <c r="AO41">
        <f t="shared" si="15"/>
        <v>0.76959999999999995</v>
      </c>
      <c r="AP41">
        <f t="shared" si="15"/>
        <v>0.76959999999999995</v>
      </c>
      <c r="AQ41">
        <f t="shared" si="16"/>
        <v>0.76959999999999995</v>
      </c>
      <c r="AR41">
        <f t="shared" si="16"/>
        <v>0.76959999999999995</v>
      </c>
      <c r="AS41">
        <f t="shared" si="16"/>
        <v>0.76959999999999995</v>
      </c>
      <c r="AT41">
        <f t="shared" si="16"/>
        <v>0.76959999999999995</v>
      </c>
      <c r="AU41">
        <f t="shared" si="16"/>
        <v>0.76959999999999995</v>
      </c>
      <c r="AV41">
        <f t="shared" si="16"/>
        <v>0.76959999999999995</v>
      </c>
      <c r="AW41">
        <f t="shared" si="16"/>
        <v>0.76959999999999995</v>
      </c>
      <c r="AX41">
        <f t="shared" si="16"/>
        <v>0.76959999999999995</v>
      </c>
      <c r="AY41">
        <f t="shared" si="16"/>
        <v>0.76959999999999995</v>
      </c>
      <c r="AZ41">
        <f t="shared" si="16"/>
        <v>0.76959999999999995</v>
      </c>
      <c r="BA41" s="6"/>
    </row>
    <row r="42" spans="1:53" x14ac:dyDescent="0.2">
      <c r="A42">
        <f t="shared" si="6"/>
        <v>23</v>
      </c>
      <c r="B42" s="3">
        <f t="shared" si="0"/>
        <v>46</v>
      </c>
      <c r="C42">
        <f t="shared" si="12"/>
        <v>0.78839999999999999</v>
      </c>
      <c r="D42">
        <f t="shared" si="12"/>
        <v>0.78839999999999999</v>
      </c>
      <c r="E42">
        <f t="shared" si="12"/>
        <v>0.78839999999999999</v>
      </c>
      <c r="F42">
        <f t="shared" si="12"/>
        <v>0.78839999999999999</v>
      </c>
      <c r="G42">
        <f t="shared" si="12"/>
        <v>0.78839999999999999</v>
      </c>
      <c r="H42">
        <f t="shared" si="12"/>
        <v>0.78839999999999999</v>
      </c>
      <c r="I42">
        <f t="shared" si="12"/>
        <v>0.78839999999999999</v>
      </c>
      <c r="J42">
        <f t="shared" si="12"/>
        <v>0.78839999999999999</v>
      </c>
      <c r="K42">
        <f t="shared" si="12"/>
        <v>0.78839999999999999</v>
      </c>
      <c r="L42">
        <f t="shared" si="12"/>
        <v>0.78839999999999999</v>
      </c>
      <c r="M42">
        <f t="shared" si="13"/>
        <v>0.78839999999999999</v>
      </c>
      <c r="N42">
        <f t="shared" si="13"/>
        <v>0.78839999999999999</v>
      </c>
      <c r="O42">
        <f t="shared" si="13"/>
        <v>0.78839999999999999</v>
      </c>
      <c r="P42">
        <f t="shared" si="13"/>
        <v>0.78839999999999999</v>
      </c>
      <c r="Q42">
        <f t="shared" si="13"/>
        <v>0.78839999999999999</v>
      </c>
      <c r="R42">
        <f t="shared" si="13"/>
        <v>0.78839999999999999</v>
      </c>
      <c r="S42">
        <f t="shared" si="13"/>
        <v>0.78839999999999999</v>
      </c>
      <c r="T42">
        <f t="shared" si="13"/>
        <v>0.78839999999999999</v>
      </c>
      <c r="U42">
        <f t="shared" si="13"/>
        <v>0.78839999999999999</v>
      </c>
      <c r="V42">
        <f t="shared" si="13"/>
        <v>0.78839999999999999</v>
      </c>
      <c r="W42">
        <f t="shared" si="14"/>
        <v>0.78839999999999999</v>
      </c>
      <c r="X42">
        <f t="shared" si="14"/>
        <v>0.78839999999999999</v>
      </c>
      <c r="Y42">
        <f t="shared" si="14"/>
        <v>0.78839999999999999</v>
      </c>
      <c r="Z42">
        <f t="shared" si="14"/>
        <v>0.78839999999999999</v>
      </c>
      <c r="AA42">
        <f t="shared" si="14"/>
        <v>0.78839999999999999</v>
      </c>
      <c r="AB42">
        <f t="shared" si="14"/>
        <v>0.78839999999999999</v>
      </c>
      <c r="AC42">
        <f t="shared" si="14"/>
        <v>0.78839999999999999</v>
      </c>
      <c r="AD42">
        <f t="shared" si="14"/>
        <v>0.78839999999999999</v>
      </c>
      <c r="AE42">
        <f t="shared" si="14"/>
        <v>0.78839999999999999</v>
      </c>
      <c r="AF42">
        <f t="shared" si="14"/>
        <v>0.78839999999999999</v>
      </c>
      <c r="AG42">
        <f t="shared" si="15"/>
        <v>0.78839999999999999</v>
      </c>
      <c r="AH42">
        <f t="shared" si="15"/>
        <v>0.78839999999999999</v>
      </c>
      <c r="AI42">
        <f t="shared" si="15"/>
        <v>0.78839999999999999</v>
      </c>
      <c r="AJ42">
        <f t="shared" si="15"/>
        <v>0.78839999999999999</v>
      </c>
      <c r="AK42">
        <f t="shared" si="15"/>
        <v>0.78839999999999999</v>
      </c>
      <c r="AL42">
        <f t="shared" si="15"/>
        <v>0.78839999999999999</v>
      </c>
      <c r="AM42">
        <f t="shared" si="15"/>
        <v>0.78839999999999999</v>
      </c>
      <c r="AN42">
        <f t="shared" si="15"/>
        <v>0.78839999999999999</v>
      </c>
      <c r="AO42">
        <f t="shared" si="15"/>
        <v>0.78839999999999999</v>
      </c>
      <c r="AP42">
        <f t="shared" si="15"/>
        <v>0.78839999999999999</v>
      </c>
      <c r="AQ42">
        <f t="shared" si="16"/>
        <v>0.78839999999999999</v>
      </c>
      <c r="AR42">
        <f t="shared" si="16"/>
        <v>0.78839999999999999</v>
      </c>
      <c r="AS42">
        <f t="shared" si="16"/>
        <v>0.78839999999999999</v>
      </c>
      <c r="AT42">
        <f t="shared" si="16"/>
        <v>0.78839999999999999</v>
      </c>
      <c r="AU42">
        <f t="shared" si="16"/>
        <v>0.78839999999999999</v>
      </c>
      <c r="AV42">
        <f t="shared" si="16"/>
        <v>0.78839999999999999</v>
      </c>
      <c r="AW42">
        <f t="shared" si="16"/>
        <v>0.78839999999999999</v>
      </c>
      <c r="AX42">
        <f t="shared" si="16"/>
        <v>0.78839999999999999</v>
      </c>
      <c r="AY42">
        <f t="shared" si="16"/>
        <v>0.78839999999999999</v>
      </c>
      <c r="AZ42">
        <f t="shared" si="16"/>
        <v>0.78839999999999999</v>
      </c>
      <c r="BA42" s="6"/>
    </row>
    <row r="43" spans="1:53" x14ac:dyDescent="0.2">
      <c r="A43">
        <f t="shared" si="6"/>
        <v>22</v>
      </c>
      <c r="B43" s="3">
        <f t="shared" si="0"/>
        <v>44</v>
      </c>
      <c r="C43">
        <f t="shared" si="12"/>
        <v>0.80640000000000001</v>
      </c>
      <c r="D43">
        <f t="shared" si="12"/>
        <v>0.80640000000000001</v>
      </c>
      <c r="E43">
        <f t="shared" si="12"/>
        <v>0.80640000000000001</v>
      </c>
      <c r="F43">
        <f t="shared" si="12"/>
        <v>0.80640000000000001</v>
      </c>
      <c r="G43">
        <f t="shared" si="12"/>
        <v>0.80640000000000001</v>
      </c>
      <c r="H43">
        <f t="shared" si="12"/>
        <v>0.80640000000000001</v>
      </c>
      <c r="I43">
        <f t="shared" si="12"/>
        <v>0.80640000000000001</v>
      </c>
      <c r="J43">
        <f t="shared" si="12"/>
        <v>0.80640000000000001</v>
      </c>
      <c r="K43">
        <f t="shared" si="12"/>
        <v>0.80640000000000001</v>
      </c>
      <c r="L43">
        <f t="shared" si="12"/>
        <v>0.80640000000000001</v>
      </c>
      <c r="M43">
        <f t="shared" si="13"/>
        <v>0.80640000000000001</v>
      </c>
      <c r="N43">
        <f t="shared" si="13"/>
        <v>0.80640000000000001</v>
      </c>
      <c r="O43">
        <f t="shared" si="13"/>
        <v>0.80640000000000001</v>
      </c>
      <c r="P43">
        <f t="shared" si="13"/>
        <v>0.80640000000000001</v>
      </c>
      <c r="Q43">
        <f t="shared" si="13"/>
        <v>0.80640000000000001</v>
      </c>
      <c r="R43">
        <f t="shared" si="13"/>
        <v>0.80640000000000001</v>
      </c>
      <c r="S43">
        <f t="shared" si="13"/>
        <v>0.80640000000000001</v>
      </c>
      <c r="T43">
        <f t="shared" si="13"/>
        <v>0.80640000000000001</v>
      </c>
      <c r="U43">
        <f t="shared" si="13"/>
        <v>0.80640000000000001</v>
      </c>
      <c r="V43">
        <f t="shared" si="13"/>
        <v>0.80640000000000001</v>
      </c>
      <c r="W43">
        <f t="shared" si="14"/>
        <v>0.80640000000000001</v>
      </c>
      <c r="X43">
        <f t="shared" si="14"/>
        <v>0.80640000000000001</v>
      </c>
      <c r="Y43">
        <f t="shared" si="14"/>
        <v>0.80640000000000001</v>
      </c>
      <c r="Z43">
        <f t="shared" si="14"/>
        <v>0.80640000000000001</v>
      </c>
      <c r="AA43">
        <f t="shared" si="14"/>
        <v>0.80640000000000001</v>
      </c>
      <c r="AB43">
        <f t="shared" si="14"/>
        <v>0.80640000000000001</v>
      </c>
      <c r="AC43">
        <f t="shared" si="14"/>
        <v>0.80640000000000001</v>
      </c>
      <c r="AD43">
        <f t="shared" si="14"/>
        <v>0.80640000000000001</v>
      </c>
      <c r="AE43">
        <f t="shared" si="14"/>
        <v>0.80640000000000001</v>
      </c>
      <c r="AF43">
        <f t="shared" si="14"/>
        <v>0.80640000000000001</v>
      </c>
      <c r="AG43">
        <f t="shared" si="15"/>
        <v>0.80640000000000001</v>
      </c>
      <c r="AH43">
        <f t="shared" si="15"/>
        <v>0.80640000000000001</v>
      </c>
      <c r="AI43">
        <f t="shared" si="15"/>
        <v>0.80640000000000001</v>
      </c>
      <c r="AJ43">
        <f t="shared" si="15"/>
        <v>0.80640000000000001</v>
      </c>
      <c r="AK43">
        <f t="shared" si="15"/>
        <v>0.80640000000000001</v>
      </c>
      <c r="AL43">
        <f t="shared" si="15"/>
        <v>0.80640000000000001</v>
      </c>
      <c r="AM43">
        <f t="shared" si="15"/>
        <v>0.80640000000000001</v>
      </c>
      <c r="AN43">
        <f t="shared" si="15"/>
        <v>0.80640000000000001</v>
      </c>
      <c r="AO43">
        <f t="shared" si="15"/>
        <v>0.80640000000000001</v>
      </c>
      <c r="AP43">
        <f t="shared" si="15"/>
        <v>0.80640000000000001</v>
      </c>
      <c r="AQ43">
        <f t="shared" si="16"/>
        <v>0.80640000000000001</v>
      </c>
      <c r="AR43">
        <f t="shared" si="16"/>
        <v>0.80640000000000001</v>
      </c>
      <c r="AS43">
        <f t="shared" si="16"/>
        <v>0.80640000000000001</v>
      </c>
      <c r="AT43">
        <f t="shared" si="16"/>
        <v>0.80640000000000001</v>
      </c>
      <c r="AU43">
        <f t="shared" si="16"/>
        <v>0.80640000000000001</v>
      </c>
      <c r="AV43">
        <f t="shared" si="16"/>
        <v>0.80640000000000001</v>
      </c>
      <c r="AW43">
        <f t="shared" si="16"/>
        <v>0.80640000000000001</v>
      </c>
      <c r="AX43">
        <f t="shared" si="16"/>
        <v>0.80640000000000001</v>
      </c>
      <c r="AY43">
        <f t="shared" si="16"/>
        <v>0.80640000000000001</v>
      </c>
      <c r="AZ43">
        <f t="shared" si="16"/>
        <v>0.80640000000000001</v>
      </c>
      <c r="BA43" s="6"/>
    </row>
    <row r="44" spans="1:53" x14ac:dyDescent="0.2">
      <c r="A44">
        <f t="shared" si="6"/>
        <v>21</v>
      </c>
      <c r="B44" s="3">
        <f t="shared" si="0"/>
        <v>42</v>
      </c>
      <c r="C44">
        <f t="shared" si="12"/>
        <v>0.82359999999999989</v>
      </c>
      <c r="D44">
        <f t="shared" si="12"/>
        <v>0.82359999999999989</v>
      </c>
      <c r="E44">
        <f t="shared" si="12"/>
        <v>0.82359999999999989</v>
      </c>
      <c r="F44">
        <f t="shared" si="12"/>
        <v>0.82359999999999989</v>
      </c>
      <c r="G44">
        <f t="shared" si="12"/>
        <v>0.82359999999999989</v>
      </c>
      <c r="H44">
        <f t="shared" si="12"/>
        <v>0.82359999999999989</v>
      </c>
      <c r="I44">
        <f t="shared" si="12"/>
        <v>0.82359999999999989</v>
      </c>
      <c r="J44">
        <f t="shared" si="12"/>
        <v>0.82359999999999989</v>
      </c>
      <c r="K44">
        <f t="shared" si="12"/>
        <v>0.82359999999999989</v>
      </c>
      <c r="L44">
        <f t="shared" si="12"/>
        <v>0.82359999999999989</v>
      </c>
      <c r="M44">
        <f t="shared" si="13"/>
        <v>0.82359999999999989</v>
      </c>
      <c r="N44">
        <f t="shared" si="13"/>
        <v>0.82359999999999989</v>
      </c>
      <c r="O44">
        <f t="shared" si="13"/>
        <v>0.82359999999999989</v>
      </c>
      <c r="P44">
        <f t="shared" si="13"/>
        <v>0.82359999999999989</v>
      </c>
      <c r="Q44">
        <f t="shared" si="13"/>
        <v>0.82359999999999989</v>
      </c>
      <c r="R44">
        <f t="shared" si="13"/>
        <v>0.82359999999999989</v>
      </c>
      <c r="S44">
        <f t="shared" si="13"/>
        <v>0.82359999999999989</v>
      </c>
      <c r="T44">
        <f t="shared" si="13"/>
        <v>0.82359999999999989</v>
      </c>
      <c r="U44">
        <f t="shared" si="13"/>
        <v>0.82359999999999989</v>
      </c>
      <c r="V44">
        <f t="shared" si="13"/>
        <v>0.82359999999999989</v>
      </c>
      <c r="W44">
        <f t="shared" si="14"/>
        <v>0.82359999999999989</v>
      </c>
      <c r="X44">
        <f t="shared" si="14"/>
        <v>0.82359999999999989</v>
      </c>
      <c r="Y44">
        <f t="shared" si="14"/>
        <v>0.82359999999999989</v>
      </c>
      <c r="Z44">
        <f t="shared" si="14"/>
        <v>0.82359999999999989</v>
      </c>
      <c r="AA44">
        <f t="shared" si="14"/>
        <v>0.82359999999999989</v>
      </c>
      <c r="AB44">
        <f t="shared" si="14"/>
        <v>0.82359999999999989</v>
      </c>
      <c r="AC44">
        <f t="shared" si="14"/>
        <v>0.82359999999999989</v>
      </c>
      <c r="AD44">
        <f t="shared" si="14"/>
        <v>0.82359999999999989</v>
      </c>
      <c r="AE44">
        <f t="shared" si="14"/>
        <v>0.82359999999999989</v>
      </c>
      <c r="AF44">
        <f t="shared" si="14"/>
        <v>0.82359999999999989</v>
      </c>
      <c r="AG44">
        <f t="shared" si="15"/>
        <v>0.82359999999999989</v>
      </c>
      <c r="AH44">
        <f t="shared" si="15"/>
        <v>0.82359999999999989</v>
      </c>
      <c r="AI44">
        <f t="shared" si="15"/>
        <v>0.82359999999999989</v>
      </c>
      <c r="AJ44">
        <f t="shared" si="15"/>
        <v>0.82359999999999989</v>
      </c>
      <c r="AK44">
        <f t="shared" si="15"/>
        <v>0.82359999999999989</v>
      </c>
      <c r="AL44">
        <f t="shared" si="15"/>
        <v>0.82359999999999989</v>
      </c>
      <c r="AM44">
        <f t="shared" si="15"/>
        <v>0.82359999999999989</v>
      </c>
      <c r="AN44">
        <f t="shared" si="15"/>
        <v>0.82359999999999989</v>
      </c>
      <c r="AO44">
        <f t="shared" si="15"/>
        <v>0.82359999999999989</v>
      </c>
      <c r="AP44">
        <f t="shared" si="15"/>
        <v>0.82359999999999989</v>
      </c>
      <c r="AQ44">
        <f t="shared" si="16"/>
        <v>0.82359999999999989</v>
      </c>
      <c r="AR44">
        <f t="shared" si="16"/>
        <v>0.82359999999999989</v>
      </c>
      <c r="AS44">
        <f t="shared" si="16"/>
        <v>0.82359999999999989</v>
      </c>
      <c r="AT44">
        <f t="shared" si="16"/>
        <v>0.82359999999999989</v>
      </c>
      <c r="AU44">
        <f t="shared" si="16"/>
        <v>0.82359999999999989</v>
      </c>
      <c r="AV44">
        <f t="shared" si="16"/>
        <v>0.82359999999999989</v>
      </c>
      <c r="AW44">
        <f t="shared" si="16"/>
        <v>0.82359999999999989</v>
      </c>
      <c r="AX44">
        <f t="shared" si="16"/>
        <v>0.82359999999999989</v>
      </c>
      <c r="AY44">
        <f t="shared" si="16"/>
        <v>0.82359999999999989</v>
      </c>
      <c r="AZ44">
        <f t="shared" si="16"/>
        <v>0.82359999999999989</v>
      </c>
      <c r="BA44" s="6"/>
    </row>
    <row r="45" spans="1:53" x14ac:dyDescent="0.2">
      <c r="A45">
        <f t="shared" si="6"/>
        <v>20</v>
      </c>
      <c r="B45" s="3">
        <f t="shared" si="0"/>
        <v>40</v>
      </c>
      <c r="C45">
        <f t="shared" si="12"/>
        <v>0.84</v>
      </c>
      <c r="D45">
        <f t="shared" si="12"/>
        <v>0.84</v>
      </c>
      <c r="E45">
        <f t="shared" si="12"/>
        <v>0.84</v>
      </c>
      <c r="F45">
        <f t="shared" si="12"/>
        <v>0.84</v>
      </c>
      <c r="G45">
        <f t="shared" si="12"/>
        <v>0.84</v>
      </c>
      <c r="H45">
        <f t="shared" si="12"/>
        <v>0.84</v>
      </c>
      <c r="I45">
        <f t="shared" si="12"/>
        <v>0.84</v>
      </c>
      <c r="J45">
        <f t="shared" si="12"/>
        <v>0.84</v>
      </c>
      <c r="K45">
        <f t="shared" si="12"/>
        <v>0.84</v>
      </c>
      <c r="L45">
        <f t="shared" si="12"/>
        <v>0.84</v>
      </c>
      <c r="M45">
        <f t="shared" si="13"/>
        <v>0.84</v>
      </c>
      <c r="N45">
        <f t="shared" si="13"/>
        <v>0.84</v>
      </c>
      <c r="O45">
        <f t="shared" si="13"/>
        <v>0.84</v>
      </c>
      <c r="P45">
        <f t="shared" si="13"/>
        <v>0.84</v>
      </c>
      <c r="Q45">
        <f t="shared" si="13"/>
        <v>0.84</v>
      </c>
      <c r="R45">
        <f t="shared" si="13"/>
        <v>0.84</v>
      </c>
      <c r="S45">
        <f t="shared" si="13"/>
        <v>0.84</v>
      </c>
      <c r="T45">
        <f t="shared" si="13"/>
        <v>0.84</v>
      </c>
      <c r="U45">
        <f t="shared" si="13"/>
        <v>0.84</v>
      </c>
      <c r="V45">
        <f t="shared" si="13"/>
        <v>0.84</v>
      </c>
      <c r="W45">
        <f t="shared" si="14"/>
        <v>0.84</v>
      </c>
      <c r="X45">
        <f t="shared" si="14"/>
        <v>0.84</v>
      </c>
      <c r="Y45">
        <f t="shared" si="14"/>
        <v>0.84</v>
      </c>
      <c r="Z45">
        <f t="shared" si="14"/>
        <v>0.84</v>
      </c>
      <c r="AA45">
        <f t="shared" si="14"/>
        <v>0.84</v>
      </c>
      <c r="AB45">
        <f t="shared" si="14"/>
        <v>0.84</v>
      </c>
      <c r="AC45">
        <f t="shared" si="14"/>
        <v>0.84</v>
      </c>
      <c r="AD45">
        <f t="shared" si="14"/>
        <v>0.84</v>
      </c>
      <c r="AE45">
        <f t="shared" si="14"/>
        <v>0.84</v>
      </c>
      <c r="AF45">
        <f t="shared" si="14"/>
        <v>0.84</v>
      </c>
      <c r="AG45">
        <f t="shared" si="15"/>
        <v>0.84</v>
      </c>
      <c r="AH45">
        <f t="shared" si="15"/>
        <v>0.84</v>
      </c>
      <c r="AI45">
        <f t="shared" si="15"/>
        <v>0.84</v>
      </c>
      <c r="AJ45">
        <f t="shared" si="15"/>
        <v>0.84</v>
      </c>
      <c r="AK45">
        <f t="shared" si="15"/>
        <v>0.84</v>
      </c>
      <c r="AL45">
        <f t="shared" si="15"/>
        <v>0.84</v>
      </c>
      <c r="AM45">
        <f t="shared" si="15"/>
        <v>0.84</v>
      </c>
      <c r="AN45">
        <f t="shared" si="15"/>
        <v>0.84</v>
      </c>
      <c r="AO45">
        <f t="shared" si="15"/>
        <v>0.84</v>
      </c>
      <c r="AP45">
        <f t="shared" si="15"/>
        <v>0.84</v>
      </c>
      <c r="AQ45">
        <f t="shared" si="16"/>
        <v>0.84</v>
      </c>
      <c r="AR45">
        <f t="shared" si="16"/>
        <v>0.84</v>
      </c>
      <c r="AS45">
        <f t="shared" si="16"/>
        <v>0.84</v>
      </c>
      <c r="AT45">
        <f t="shared" si="16"/>
        <v>0.84</v>
      </c>
      <c r="AU45">
        <f t="shared" si="16"/>
        <v>0.84</v>
      </c>
      <c r="AV45">
        <f t="shared" si="16"/>
        <v>0.84</v>
      </c>
      <c r="AW45">
        <f t="shared" si="16"/>
        <v>0.84</v>
      </c>
      <c r="AX45">
        <f t="shared" si="16"/>
        <v>0.84</v>
      </c>
      <c r="AY45">
        <f t="shared" si="16"/>
        <v>0.84</v>
      </c>
      <c r="AZ45">
        <f t="shared" si="16"/>
        <v>0.84</v>
      </c>
      <c r="BA45" s="6"/>
    </row>
    <row r="46" spans="1:53" x14ac:dyDescent="0.2">
      <c r="A46">
        <f t="shared" si="6"/>
        <v>19</v>
      </c>
      <c r="B46" s="3">
        <f t="shared" si="0"/>
        <v>38</v>
      </c>
      <c r="C46">
        <f t="shared" ref="C46:L55" si="17">1-sigma^2*$A46^2*dt</f>
        <v>0.85559999999999992</v>
      </c>
      <c r="D46">
        <f t="shared" si="17"/>
        <v>0.85559999999999992</v>
      </c>
      <c r="E46">
        <f t="shared" si="17"/>
        <v>0.85559999999999992</v>
      </c>
      <c r="F46">
        <f t="shared" si="17"/>
        <v>0.85559999999999992</v>
      </c>
      <c r="G46">
        <f t="shared" si="17"/>
        <v>0.85559999999999992</v>
      </c>
      <c r="H46">
        <f t="shared" si="17"/>
        <v>0.85559999999999992</v>
      </c>
      <c r="I46">
        <f t="shared" si="17"/>
        <v>0.85559999999999992</v>
      </c>
      <c r="J46">
        <f t="shared" si="17"/>
        <v>0.85559999999999992</v>
      </c>
      <c r="K46">
        <f t="shared" si="17"/>
        <v>0.85559999999999992</v>
      </c>
      <c r="L46">
        <f t="shared" si="17"/>
        <v>0.85559999999999992</v>
      </c>
      <c r="M46">
        <f t="shared" ref="M46:V55" si="18">1-sigma^2*$A46^2*dt</f>
        <v>0.85559999999999992</v>
      </c>
      <c r="N46">
        <f t="shared" si="18"/>
        <v>0.85559999999999992</v>
      </c>
      <c r="O46">
        <f t="shared" si="18"/>
        <v>0.85559999999999992</v>
      </c>
      <c r="P46">
        <f t="shared" si="18"/>
        <v>0.85559999999999992</v>
      </c>
      <c r="Q46">
        <f t="shared" si="18"/>
        <v>0.85559999999999992</v>
      </c>
      <c r="R46">
        <f t="shared" si="18"/>
        <v>0.85559999999999992</v>
      </c>
      <c r="S46">
        <f t="shared" si="18"/>
        <v>0.85559999999999992</v>
      </c>
      <c r="T46">
        <f t="shared" si="18"/>
        <v>0.85559999999999992</v>
      </c>
      <c r="U46">
        <f t="shared" si="18"/>
        <v>0.85559999999999992</v>
      </c>
      <c r="V46">
        <f t="shared" si="18"/>
        <v>0.85559999999999992</v>
      </c>
      <c r="W46">
        <f t="shared" ref="W46:AF55" si="19">1-sigma^2*$A46^2*dt</f>
        <v>0.85559999999999992</v>
      </c>
      <c r="X46">
        <f t="shared" si="19"/>
        <v>0.85559999999999992</v>
      </c>
      <c r="Y46">
        <f t="shared" si="19"/>
        <v>0.85559999999999992</v>
      </c>
      <c r="Z46">
        <f t="shared" si="19"/>
        <v>0.85559999999999992</v>
      </c>
      <c r="AA46">
        <f t="shared" si="19"/>
        <v>0.85559999999999992</v>
      </c>
      <c r="AB46">
        <f t="shared" si="19"/>
        <v>0.85559999999999992</v>
      </c>
      <c r="AC46">
        <f t="shared" si="19"/>
        <v>0.85559999999999992</v>
      </c>
      <c r="AD46">
        <f t="shared" si="19"/>
        <v>0.85559999999999992</v>
      </c>
      <c r="AE46">
        <f t="shared" si="19"/>
        <v>0.85559999999999992</v>
      </c>
      <c r="AF46">
        <f t="shared" si="19"/>
        <v>0.85559999999999992</v>
      </c>
      <c r="AG46">
        <f t="shared" ref="AG46:AP55" si="20">1-sigma^2*$A46^2*dt</f>
        <v>0.85559999999999992</v>
      </c>
      <c r="AH46">
        <f t="shared" si="20"/>
        <v>0.85559999999999992</v>
      </c>
      <c r="AI46">
        <f t="shared" si="20"/>
        <v>0.85559999999999992</v>
      </c>
      <c r="AJ46">
        <f t="shared" si="20"/>
        <v>0.85559999999999992</v>
      </c>
      <c r="AK46">
        <f t="shared" si="20"/>
        <v>0.85559999999999992</v>
      </c>
      <c r="AL46">
        <f t="shared" si="20"/>
        <v>0.85559999999999992</v>
      </c>
      <c r="AM46">
        <f t="shared" si="20"/>
        <v>0.85559999999999992</v>
      </c>
      <c r="AN46">
        <f t="shared" si="20"/>
        <v>0.85559999999999992</v>
      </c>
      <c r="AO46">
        <f t="shared" si="20"/>
        <v>0.85559999999999992</v>
      </c>
      <c r="AP46">
        <f t="shared" si="20"/>
        <v>0.85559999999999992</v>
      </c>
      <c r="AQ46">
        <f t="shared" ref="AQ46:AZ55" si="21">1-sigma^2*$A46^2*dt</f>
        <v>0.85559999999999992</v>
      </c>
      <c r="AR46">
        <f t="shared" si="21"/>
        <v>0.85559999999999992</v>
      </c>
      <c r="AS46">
        <f t="shared" si="21"/>
        <v>0.85559999999999992</v>
      </c>
      <c r="AT46">
        <f t="shared" si="21"/>
        <v>0.85559999999999992</v>
      </c>
      <c r="AU46">
        <f t="shared" si="21"/>
        <v>0.85559999999999992</v>
      </c>
      <c r="AV46">
        <f t="shared" si="21"/>
        <v>0.85559999999999992</v>
      </c>
      <c r="AW46">
        <f t="shared" si="21"/>
        <v>0.85559999999999992</v>
      </c>
      <c r="AX46">
        <f t="shared" si="21"/>
        <v>0.85559999999999992</v>
      </c>
      <c r="AY46">
        <f t="shared" si="21"/>
        <v>0.85559999999999992</v>
      </c>
      <c r="AZ46">
        <f t="shared" si="21"/>
        <v>0.85559999999999992</v>
      </c>
      <c r="BA46" s="6"/>
    </row>
    <row r="47" spans="1:53" x14ac:dyDescent="0.2">
      <c r="A47">
        <f t="shared" si="6"/>
        <v>18</v>
      </c>
      <c r="B47" s="3">
        <f t="shared" ref="B47:B65" si="22">Smin+dS*A47</f>
        <v>36</v>
      </c>
      <c r="C47">
        <f t="shared" si="17"/>
        <v>0.87039999999999995</v>
      </c>
      <c r="D47">
        <f t="shared" si="17"/>
        <v>0.87039999999999995</v>
      </c>
      <c r="E47">
        <f t="shared" si="17"/>
        <v>0.87039999999999995</v>
      </c>
      <c r="F47">
        <f t="shared" si="17"/>
        <v>0.87039999999999995</v>
      </c>
      <c r="G47">
        <f t="shared" si="17"/>
        <v>0.87039999999999995</v>
      </c>
      <c r="H47">
        <f t="shared" si="17"/>
        <v>0.87039999999999995</v>
      </c>
      <c r="I47">
        <f t="shared" si="17"/>
        <v>0.87039999999999995</v>
      </c>
      <c r="J47">
        <f t="shared" si="17"/>
        <v>0.87039999999999995</v>
      </c>
      <c r="K47">
        <f t="shared" si="17"/>
        <v>0.87039999999999995</v>
      </c>
      <c r="L47">
        <f t="shared" si="17"/>
        <v>0.87039999999999995</v>
      </c>
      <c r="M47">
        <f t="shared" si="18"/>
        <v>0.87039999999999995</v>
      </c>
      <c r="N47">
        <f t="shared" si="18"/>
        <v>0.87039999999999995</v>
      </c>
      <c r="O47">
        <f t="shared" si="18"/>
        <v>0.87039999999999995</v>
      </c>
      <c r="P47">
        <f t="shared" si="18"/>
        <v>0.87039999999999995</v>
      </c>
      <c r="Q47">
        <f t="shared" si="18"/>
        <v>0.87039999999999995</v>
      </c>
      <c r="R47">
        <f t="shared" si="18"/>
        <v>0.87039999999999995</v>
      </c>
      <c r="S47">
        <f t="shared" si="18"/>
        <v>0.87039999999999995</v>
      </c>
      <c r="T47">
        <f t="shared" si="18"/>
        <v>0.87039999999999995</v>
      </c>
      <c r="U47">
        <f t="shared" si="18"/>
        <v>0.87039999999999995</v>
      </c>
      <c r="V47">
        <f t="shared" si="18"/>
        <v>0.87039999999999995</v>
      </c>
      <c r="W47">
        <f t="shared" si="19"/>
        <v>0.87039999999999995</v>
      </c>
      <c r="X47">
        <f t="shared" si="19"/>
        <v>0.87039999999999995</v>
      </c>
      <c r="Y47">
        <f t="shared" si="19"/>
        <v>0.87039999999999995</v>
      </c>
      <c r="Z47">
        <f t="shared" si="19"/>
        <v>0.87039999999999995</v>
      </c>
      <c r="AA47">
        <f t="shared" si="19"/>
        <v>0.87039999999999995</v>
      </c>
      <c r="AB47">
        <f t="shared" si="19"/>
        <v>0.87039999999999995</v>
      </c>
      <c r="AC47">
        <f t="shared" si="19"/>
        <v>0.87039999999999995</v>
      </c>
      <c r="AD47">
        <f t="shared" si="19"/>
        <v>0.87039999999999995</v>
      </c>
      <c r="AE47">
        <f t="shared" si="19"/>
        <v>0.87039999999999995</v>
      </c>
      <c r="AF47">
        <f t="shared" si="19"/>
        <v>0.87039999999999995</v>
      </c>
      <c r="AG47">
        <f t="shared" si="20"/>
        <v>0.87039999999999995</v>
      </c>
      <c r="AH47">
        <f t="shared" si="20"/>
        <v>0.87039999999999995</v>
      </c>
      <c r="AI47">
        <f t="shared" si="20"/>
        <v>0.87039999999999995</v>
      </c>
      <c r="AJ47">
        <f t="shared" si="20"/>
        <v>0.87039999999999995</v>
      </c>
      <c r="AK47">
        <f t="shared" si="20"/>
        <v>0.87039999999999995</v>
      </c>
      <c r="AL47">
        <f t="shared" si="20"/>
        <v>0.87039999999999995</v>
      </c>
      <c r="AM47">
        <f t="shared" si="20"/>
        <v>0.87039999999999995</v>
      </c>
      <c r="AN47">
        <f t="shared" si="20"/>
        <v>0.87039999999999995</v>
      </c>
      <c r="AO47">
        <f t="shared" si="20"/>
        <v>0.87039999999999995</v>
      </c>
      <c r="AP47">
        <f t="shared" si="20"/>
        <v>0.87039999999999995</v>
      </c>
      <c r="AQ47">
        <f t="shared" si="21"/>
        <v>0.87039999999999995</v>
      </c>
      <c r="AR47">
        <f t="shared" si="21"/>
        <v>0.87039999999999995</v>
      </c>
      <c r="AS47">
        <f t="shared" si="21"/>
        <v>0.87039999999999995</v>
      </c>
      <c r="AT47">
        <f t="shared" si="21"/>
        <v>0.87039999999999995</v>
      </c>
      <c r="AU47">
        <f t="shared" si="21"/>
        <v>0.87039999999999995</v>
      </c>
      <c r="AV47">
        <f t="shared" si="21"/>
        <v>0.87039999999999995</v>
      </c>
      <c r="AW47">
        <f t="shared" si="21"/>
        <v>0.87039999999999995</v>
      </c>
      <c r="AX47">
        <f t="shared" si="21"/>
        <v>0.87039999999999995</v>
      </c>
      <c r="AY47">
        <f t="shared" si="21"/>
        <v>0.87039999999999995</v>
      </c>
      <c r="AZ47">
        <f t="shared" si="21"/>
        <v>0.87039999999999995</v>
      </c>
      <c r="BA47" s="6"/>
    </row>
    <row r="48" spans="1:53" x14ac:dyDescent="0.2">
      <c r="A48">
        <f t="shared" si="6"/>
        <v>17</v>
      </c>
      <c r="B48" s="3">
        <f t="shared" si="22"/>
        <v>34</v>
      </c>
      <c r="C48">
        <f t="shared" si="17"/>
        <v>0.88439999999999996</v>
      </c>
      <c r="D48">
        <f t="shared" si="17"/>
        <v>0.88439999999999996</v>
      </c>
      <c r="E48">
        <f t="shared" si="17"/>
        <v>0.88439999999999996</v>
      </c>
      <c r="F48">
        <f t="shared" si="17"/>
        <v>0.88439999999999996</v>
      </c>
      <c r="G48">
        <f t="shared" si="17"/>
        <v>0.88439999999999996</v>
      </c>
      <c r="H48">
        <f t="shared" si="17"/>
        <v>0.88439999999999996</v>
      </c>
      <c r="I48">
        <f t="shared" si="17"/>
        <v>0.88439999999999996</v>
      </c>
      <c r="J48">
        <f t="shared" si="17"/>
        <v>0.88439999999999996</v>
      </c>
      <c r="K48">
        <f t="shared" si="17"/>
        <v>0.88439999999999996</v>
      </c>
      <c r="L48">
        <f t="shared" si="17"/>
        <v>0.88439999999999996</v>
      </c>
      <c r="M48">
        <f t="shared" si="18"/>
        <v>0.88439999999999996</v>
      </c>
      <c r="N48">
        <f t="shared" si="18"/>
        <v>0.88439999999999996</v>
      </c>
      <c r="O48">
        <f t="shared" si="18"/>
        <v>0.88439999999999996</v>
      </c>
      <c r="P48">
        <f t="shared" si="18"/>
        <v>0.88439999999999996</v>
      </c>
      <c r="Q48">
        <f t="shared" si="18"/>
        <v>0.88439999999999996</v>
      </c>
      <c r="R48">
        <f t="shared" si="18"/>
        <v>0.88439999999999996</v>
      </c>
      <c r="S48">
        <f t="shared" si="18"/>
        <v>0.88439999999999996</v>
      </c>
      <c r="T48">
        <f t="shared" si="18"/>
        <v>0.88439999999999996</v>
      </c>
      <c r="U48">
        <f t="shared" si="18"/>
        <v>0.88439999999999996</v>
      </c>
      <c r="V48">
        <f t="shared" si="18"/>
        <v>0.88439999999999996</v>
      </c>
      <c r="W48">
        <f t="shared" si="19"/>
        <v>0.88439999999999996</v>
      </c>
      <c r="X48">
        <f t="shared" si="19"/>
        <v>0.88439999999999996</v>
      </c>
      <c r="Y48">
        <f t="shared" si="19"/>
        <v>0.88439999999999996</v>
      </c>
      <c r="Z48">
        <f t="shared" si="19"/>
        <v>0.88439999999999996</v>
      </c>
      <c r="AA48">
        <f t="shared" si="19"/>
        <v>0.88439999999999996</v>
      </c>
      <c r="AB48">
        <f t="shared" si="19"/>
        <v>0.88439999999999996</v>
      </c>
      <c r="AC48">
        <f t="shared" si="19"/>
        <v>0.88439999999999996</v>
      </c>
      <c r="AD48">
        <f t="shared" si="19"/>
        <v>0.88439999999999996</v>
      </c>
      <c r="AE48">
        <f t="shared" si="19"/>
        <v>0.88439999999999996</v>
      </c>
      <c r="AF48">
        <f t="shared" si="19"/>
        <v>0.88439999999999996</v>
      </c>
      <c r="AG48">
        <f t="shared" si="20"/>
        <v>0.88439999999999996</v>
      </c>
      <c r="AH48">
        <f t="shared" si="20"/>
        <v>0.88439999999999996</v>
      </c>
      <c r="AI48">
        <f t="shared" si="20"/>
        <v>0.88439999999999996</v>
      </c>
      <c r="AJ48">
        <f t="shared" si="20"/>
        <v>0.88439999999999996</v>
      </c>
      <c r="AK48">
        <f t="shared" si="20"/>
        <v>0.88439999999999996</v>
      </c>
      <c r="AL48">
        <f t="shared" si="20"/>
        <v>0.88439999999999996</v>
      </c>
      <c r="AM48">
        <f t="shared" si="20"/>
        <v>0.88439999999999996</v>
      </c>
      <c r="AN48">
        <f t="shared" si="20"/>
        <v>0.88439999999999996</v>
      </c>
      <c r="AO48">
        <f t="shared" si="20"/>
        <v>0.88439999999999996</v>
      </c>
      <c r="AP48">
        <f t="shared" si="20"/>
        <v>0.88439999999999996</v>
      </c>
      <c r="AQ48">
        <f t="shared" si="21"/>
        <v>0.88439999999999996</v>
      </c>
      <c r="AR48">
        <f t="shared" si="21"/>
        <v>0.88439999999999996</v>
      </c>
      <c r="AS48">
        <f t="shared" si="21"/>
        <v>0.88439999999999996</v>
      </c>
      <c r="AT48">
        <f t="shared" si="21"/>
        <v>0.88439999999999996</v>
      </c>
      <c r="AU48">
        <f t="shared" si="21"/>
        <v>0.88439999999999996</v>
      </c>
      <c r="AV48">
        <f t="shared" si="21"/>
        <v>0.88439999999999996</v>
      </c>
      <c r="AW48">
        <f t="shared" si="21"/>
        <v>0.88439999999999996</v>
      </c>
      <c r="AX48">
        <f t="shared" si="21"/>
        <v>0.88439999999999996</v>
      </c>
      <c r="AY48">
        <f t="shared" si="21"/>
        <v>0.88439999999999996</v>
      </c>
      <c r="AZ48">
        <f t="shared" si="21"/>
        <v>0.88439999999999996</v>
      </c>
      <c r="BA48" s="6"/>
    </row>
    <row r="49" spans="1:53" x14ac:dyDescent="0.2">
      <c r="A49">
        <f t="shared" si="6"/>
        <v>16</v>
      </c>
      <c r="B49" s="3">
        <f t="shared" si="22"/>
        <v>32</v>
      </c>
      <c r="C49">
        <f t="shared" si="17"/>
        <v>0.89759999999999995</v>
      </c>
      <c r="D49">
        <f t="shared" si="17"/>
        <v>0.89759999999999995</v>
      </c>
      <c r="E49">
        <f t="shared" si="17"/>
        <v>0.89759999999999995</v>
      </c>
      <c r="F49">
        <f t="shared" si="17"/>
        <v>0.89759999999999995</v>
      </c>
      <c r="G49">
        <f t="shared" si="17"/>
        <v>0.89759999999999995</v>
      </c>
      <c r="H49">
        <f t="shared" si="17"/>
        <v>0.89759999999999995</v>
      </c>
      <c r="I49">
        <f t="shared" si="17"/>
        <v>0.89759999999999995</v>
      </c>
      <c r="J49">
        <f t="shared" si="17"/>
        <v>0.89759999999999995</v>
      </c>
      <c r="K49">
        <f t="shared" si="17"/>
        <v>0.89759999999999995</v>
      </c>
      <c r="L49">
        <f t="shared" si="17"/>
        <v>0.89759999999999995</v>
      </c>
      <c r="M49">
        <f t="shared" si="18"/>
        <v>0.89759999999999995</v>
      </c>
      <c r="N49">
        <f t="shared" si="18"/>
        <v>0.89759999999999995</v>
      </c>
      <c r="O49">
        <f t="shared" si="18"/>
        <v>0.89759999999999995</v>
      </c>
      <c r="P49">
        <f t="shared" si="18"/>
        <v>0.89759999999999995</v>
      </c>
      <c r="Q49">
        <f t="shared" si="18"/>
        <v>0.89759999999999995</v>
      </c>
      <c r="R49">
        <f t="shared" si="18"/>
        <v>0.89759999999999995</v>
      </c>
      <c r="S49">
        <f t="shared" si="18"/>
        <v>0.89759999999999995</v>
      </c>
      <c r="T49">
        <f t="shared" si="18"/>
        <v>0.89759999999999995</v>
      </c>
      <c r="U49">
        <f t="shared" si="18"/>
        <v>0.89759999999999995</v>
      </c>
      <c r="V49">
        <f t="shared" si="18"/>
        <v>0.89759999999999995</v>
      </c>
      <c r="W49">
        <f t="shared" si="19"/>
        <v>0.89759999999999995</v>
      </c>
      <c r="X49">
        <f t="shared" si="19"/>
        <v>0.89759999999999995</v>
      </c>
      <c r="Y49">
        <f t="shared" si="19"/>
        <v>0.89759999999999995</v>
      </c>
      <c r="Z49">
        <f t="shared" si="19"/>
        <v>0.89759999999999995</v>
      </c>
      <c r="AA49">
        <f t="shared" si="19"/>
        <v>0.89759999999999995</v>
      </c>
      <c r="AB49">
        <f t="shared" si="19"/>
        <v>0.89759999999999995</v>
      </c>
      <c r="AC49">
        <f t="shared" si="19"/>
        <v>0.89759999999999995</v>
      </c>
      <c r="AD49">
        <f t="shared" si="19"/>
        <v>0.89759999999999995</v>
      </c>
      <c r="AE49">
        <f t="shared" si="19"/>
        <v>0.89759999999999995</v>
      </c>
      <c r="AF49">
        <f t="shared" si="19"/>
        <v>0.89759999999999995</v>
      </c>
      <c r="AG49">
        <f t="shared" si="20"/>
        <v>0.89759999999999995</v>
      </c>
      <c r="AH49">
        <f t="shared" si="20"/>
        <v>0.89759999999999995</v>
      </c>
      <c r="AI49">
        <f t="shared" si="20"/>
        <v>0.89759999999999995</v>
      </c>
      <c r="AJ49">
        <f t="shared" si="20"/>
        <v>0.89759999999999995</v>
      </c>
      <c r="AK49">
        <f t="shared" si="20"/>
        <v>0.89759999999999995</v>
      </c>
      <c r="AL49">
        <f t="shared" si="20"/>
        <v>0.89759999999999995</v>
      </c>
      <c r="AM49">
        <f t="shared" si="20"/>
        <v>0.89759999999999995</v>
      </c>
      <c r="AN49">
        <f t="shared" si="20"/>
        <v>0.89759999999999995</v>
      </c>
      <c r="AO49">
        <f t="shared" si="20"/>
        <v>0.89759999999999995</v>
      </c>
      <c r="AP49">
        <f t="shared" si="20"/>
        <v>0.89759999999999995</v>
      </c>
      <c r="AQ49">
        <f t="shared" si="21"/>
        <v>0.89759999999999995</v>
      </c>
      <c r="AR49">
        <f t="shared" si="21"/>
        <v>0.89759999999999995</v>
      </c>
      <c r="AS49">
        <f t="shared" si="21"/>
        <v>0.89759999999999995</v>
      </c>
      <c r="AT49">
        <f t="shared" si="21"/>
        <v>0.89759999999999995</v>
      </c>
      <c r="AU49">
        <f t="shared" si="21"/>
        <v>0.89759999999999995</v>
      </c>
      <c r="AV49">
        <f t="shared" si="21"/>
        <v>0.89759999999999995</v>
      </c>
      <c r="AW49">
        <f t="shared" si="21"/>
        <v>0.89759999999999995</v>
      </c>
      <c r="AX49">
        <f t="shared" si="21"/>
        <v>0.89759999999999995</v>
      </c>
      <c r="AY49">
        <f t="shared" si="21"/>
        <v>0.89759999999999995</v>
      </c>
      <c r="AZ49">
        <f t="shared" si="21"/>
        <v>0.89759999999999995</v>
      </c>
      <c r="BA49" s="6"/>
    </row>
    <row r="50" spans="1:53" x14ac:dyDescent="0.2">
      <c r="A50">
        <f t="shared" si="6"/>
        <v>15</v>
      </c>
      <c r="B50" s="3">
        <f t="shared" si="22"/>
        <v>30</v>
      </c>
      <c r="C50">
        <f t="shared" si="17"/>
        <v>0.90999999999999992</v>
      </c>
      <c r="D50">
        <f t="shared" si="17"/>
        <v>0.90999999999999992</v>
      </c>
      <c r="E50">
        <f t="shared" si="17"/>
        <v>0.90999999999999992</v>
      </c>
      <c r="F50">
        <f t="shared" si="17"/>
        <v>0.90999999999999992</v>
      </c>
      <c r="G50">
        <f t="shared" si="17"/>
        <v>0.90999999999999992</v>
      </c>
      <c r="H50">
        <f t="shared" si="17"/>
        <v>0.90999999999999992</v>
      </c>
      <c r="I50">
        <f t="shared" si="17"/>
        <v>0.90999999999999992</v>
      </c>
      <c r="J50">
        <f t="shared" si="17"/>
        <v>0.90999999999999992</v>
      </c>
      <c r="K50">
        <f t="shared" si="17"/>
        <v>0.90999999999999992</v>
      </c>
      <c r="L50">
        <f t="shared" si="17"/>
        <v>0.90999999999999992</v>
      </c>
      <c r="M50">
        <f t="shared" si="18"/>
        <v>0.90999999999999992</v>
      </c>
      <c r="N50">
        <f t="shared" si="18"/>
        <v>0.90999999999999992</v>
      </c>
      <c r="O50">
        <f t="shared" si="18"/>
        <v>0.90999999999999992</v>
      </c>
      <c r="P50">
        <f t="shared" si="18"/>
        <v>0.90999999999999992</v>
      </c>
      <c r="Q50">
        <f t="shared" si="18"/>
        <v>0.90999999999999992</v>
      </c>
      <c r="R50">
        <f t="shared" si="18"/>
        <v>0.90999999999999992</v>
      </c>
      <c r="S50">
        <f t="shared" si="18"/>
        <v>0.90999999999999992</v>
      </c>
      <c r="T50">
        <f t="shared" si="18"/>
        <v>0.90999999999999992</v>
      </c>
      <c r="U50">
        <f t="shared" si="18"/>
        <v>0.90999999999999992</v>
      </c>
      <c r="V50">
        <f t="shared" si="18"/>
        <v>0.90999999999999992</v>
      </c>
      <c r="W50">
        <f t="shared" si="19"/>
        <v>0.90999999999999992</v>
      </c>
      <c r="X50">
        <f t="shared" si="19"/>
        <v>0.90999999999999992</v>
      </c>
      <c r="Y50">
        <f t="shared" si="19"/>
        <v>0.90999999999999992</v>
      </c>
      <c r="Z50">
        <f t="shared" si="19"/>
        <v>0.90999999999999992</v>
      </c>
      <c r="AA50">
        <f t="shared" si="19"/>
        <v>0.90999999999999992</v>
      </c>
      <c r="AB50">
        <f t="shared" si="19"/>
        <v>0.90999999999999992</v>
      </c>
      <c r="AC50">
        <f t="shared" si="19"/>
        <v>0.90999999999999992</v>
      </c>
      <c r="AD50">
        <f t="shared" si="19"/>
        <v>0.90999999999999992</v>
      </c>
      <c r="AE50">
        <f t="shared" si="19"/>
        <v>0.90999999999999992</v>
      </c>
      <c r="AF50">
        <f t="shared" si="19"/>
        <v>0.90999999999999992</v>
      </c>
      <c r="AG50">
        <f t="shared" si="20"/>
        <v>0.90999999999999992</v>
      </c>
      <c r="AH50">
        <f t="shared" si="20"/>
        <v>0.90999999999999992</v>
      </c>
      <c r="AI50">
        <f t="shared" si="20"/>
        <v>0.90999999999999992</v>
      </c>
      <c r="AJ50">
        <f t="shared" si="20"/>
        <v>0.90999999999999992</v>
      </c>
      <c r="AK50">
        <f t="shared" si="20"/>
        <v>0.90999999999999992</v>
      </c>
      <c r="AL50">
        <f t="shared" si="20"/>
        <v>0.90999999999999992</v>
      </c>
      <c r="AM50">
        <f t="shared" si="20"/>
        <v>0.90999999999999992</v>
      </c>
      <c r="AN50">
        <f t="shared" si="20"/>
        <v>0.90999999999999992</v>
      </c>
      <c r="AO50">
        <f t="shared" si="20"/>
        <v>0.90999999999999992</v>
      </c>
      <c r="AP50">
        <f t="shared" si="20"/>
        <v>0.90999999999999992</v>
      </c>
      <c r="AQ50">
        <f t="shared" si="21"/>
        <v>0.90999999999999992</v>
      </c>
      <c r="AR50">
        <f t="shared" si="21"/>
        <v>0.90999999999999992</v>
      </c>
      <c r="AS50">
        <f t="shared" si="21"/>
        <v>0.90999999999999992</v>
      </c>
      <c r="AT50">
        <f t="shared" si="21"/>
        <v>0.90999999999999992</v>
      </c>
      <c r="AU50">
        <f t="shared" si="21"/>
        <v>0.90999999999999992</v>
      </c>
      <c r="AV50">
        <f t="shared" si="21"/>
        <v>0.90999999999999992</v>
      </c>
      <c r="AW50">
        <f t="shared" si="21"/>
        <v>0.90999999999999992</v>
      </c>
      <c r="AX50">
        <f t="shared" si="21"/>
        <v>0.90999999999999992</v>
      </c>
      <c r="AY50">
        <f t="shared" si="21"/>
        <v>0.90999999999999992</v>
      </c>
      <c r="AZ50">
        <f t="shared" si="21"/>
        <v>0.90999999999999992</v>
      </c>
      <c r="BA50" s="6"/>
    </row>
    <row r="51" spans="1:53" x14ac:dyDescent="0.2">
      <c r="A51">
        <f t="shared" si="6"/>
        <v>14</v>
      </c>
      <c r="B51" s="3">
        <f t="shared" si="22"/>
        <v>28</v>
      </c>
      <c r="C51">
        <f t="shared" si="17"/>
        <v>0.92159999999999997</v>
      </c>
      <c r="D51">
        <f t="shared" si="17"/>
        <v>0.92159999999999997</v>
      </c>
      <c r="E51">
        <f t="shared" si="17"/>
        <v>0.92159999999999997</v>
      </c>
      <c r="F51">
        <f t="shared" si="17"/>
        <v>0.92159999999999997</v>
      </c>
      <c r="G51">
        <f t="shared" si="17"/>
        <v>0.92159999999999997</v>
      </c>
      <c r="H51">
        <f t="shared" si="17"/>
        <v>0.92159999999999997</v>
      </c>
      <c r="I51">
        <f t="shared" si="17"/>
        <v>0.92159999999999997</v>
      </c>
      <c r="J51">
        <f t="shared" si="17"/>
        <v>0.92159999999999997</v>
      </c>
      <c r="K51">
        <f t="shared" si="17"/>
        <v>0.92159999999999997</v>
      </c>
      <c r="L51">
        <f t="shared" si="17"/>
        <v>0.92159999999999997</v>
      </c>
      <c r="M51">
        <f t="shared" si="18"/>
        <v>0.92159999999999997</v>
      </c>
      <c r="N51">
        <f t="shared" si="18"/>
        <v>0.92159999999999997</v>
      </c>
      <c r="O51">
        <f t="shared" si="18"/>
        <v>0.92159999999999997</v>
      </c>
      <c r="P51">
        <f t="shared" si="18"/>
        <v>0.92159999999999997</v>
      </c>
      <c r="Q51">
        <f t="shared" si="18"/>
        <v>0.92159999999999997</v>
      </c>
      <c r="R51">
        <f t="shared" si="18"/>
        <v>0.92159999999999997</v>
      </c>
      <c r="S51">
        <f t="shared" si="18"/>
        <v>0.92159999999999997</v>
      </c>
      <c r="T51">
        <f t="shared" si="18"/>
        <v>0.92159999999999997</v>
      </c>
      <c r="U51">
        <f t="shared" si="18"/>
        <v>0.92159999999999997</v>
      </c>
      <c r="V51">
        <f t="shared" si="18"/>
        <v>0.92159999999999997</v>
      </c>
      <c r="W51">
        <f t="shared" si="19"/>
        <v>0.92159999999999997</v>
      </c>
      <c r="X51">
        <f t="shared" si="19"/>
        <v>0.92159999999999997</v>
      </c>
      <c r="Y51">
        <f t="shared" si="19"/>
        <v>0.92159999999999997</v>
      </c>
      <c r="Z51">
        <f t="shared" si="19"/>
        <v>0.92159999999999997</v>
      </c>
      <c r="AA51">
        <f t="shared" si="19"/>
        <v>0.92159999999999997</v>
      </c>
      <c r="AB51">
        <f t="shared" si="19"/>
        <v>0.92159999999999997</v>
      </c>
      <c r="AC51">
        <f t="shared" si="19"/>
        <v>0.92159999999999997</v>
      </c>
      <c r="AD51">
        <f t="shared" si="19"/>
        <v>0.92159999999999997</v>
      </c>
      <c r="AE51">
        <f t="shared" si="19"/>
        <v>0.92159999999999997</v>
      </c>
      <c r="AF51">
        <f t="shared" si="19"/>
        <v>0.92159999999999997</v>
      </c>
      <c r="AG51">
        <f t="shared" si="20"/>
        <v>0.92159999999999997</v>
      </c>
      <c r="AH51">
        <f t="shared" si="20"/>
        <v>0.92159999999999997</v>
      </c>
      <c r="AI51">
        <f t="shared" si="20"/>
        <v>0.92159999999999997</v>
      </c>
      <c r="AJ51">
        <f t="shared" si="20"/>
        <v>0.92159999999999997</v>
      </c>
      <c r="AK51">
        <f t="shared" si="20"/>
        <v>0.92159999999999997</v>
      </c>
      <c r="AL51">
        <f t="shared" si="20"/>
        <v>0.92159999999999997</v>
      </c>
      <c r="AM51">
        <f t="shared" si="20"/>
        <v>0.92159999999999997</v>
      </c>
      <c r="AN51">
        <f t="shared" si="20"/>
        <v>0.92159999999999997</v>
      </c>
      <c r="AO51">
        <f t="shared" si="20"/>
        <v>0.92159999999999997</v>
      </c>
      <c r="AP51">
        <f t="shared" si="20"/>
        <v>0.92159999999999997</v>
      </c>
      <c r="AQ51">
        <f t="shared" si="21"/>
        <v>0.92159999999999997</v>
      </c>
      <c r="AR51">
        <f t="shared" si="21"/>
        <v>0.92159999999999997</v>
      </c>
      <c r="AS51">
        <f t="shared" si="21"/>
        <v>0.92159999999999997</v>
      </c>
      <c r="AT51">
        <f t="shared" si="21"/>
        <v>0.92159999999999997</v>
      </c>
      <c r="AU51">
        <f t="shared" si="21"/>
        <v>0.92159999999999997</v>
      </c>
      <c r="AV51">
        <f t="shared" si="21"/>
        <v>0.92159999999999997</v>
      </c>
      <c r="AW51">
        <f t="shared" si="21"/>
        <v>0.92159999999999997</v>
      </c>
      <c r="AX51">
        <f t="shared" si="21"/>
        <v>0.92159999999999997</v>
      </c>
      <c r="AY51">
        <f t="shared" si="21"/>
        <v>0.92159999999999997</v>
      </c>
      <c r="AZ51">
        <f t="shared" si="21"/>
        <v>0.92159999999999997</v>
      </c>
      <c r="BA51" s="6"/>
    </row>
    <row r="52" spans="1:53" x14ac:dyDescent="0.2">
      <c r="A52">
        <f t="shared" si="6"/>
        <v>13</v>
      </c>
      <c r="B52" s="3">
        <f t="shared" si="22"/>
        <v>26</v>
      </c>
      <c r="C52">
        <f t="shared" si="17"/>
        <v>0.93240000000000001</v>
      </c>
      <c r="D52">
        <f t="shared" si="17"/>
        <v>0.93240000000000001</v>
      </c>
      <c r="E52">
        <f t="shared" si="17"/>
        <v>0.93240000000000001</v>
      </c>
      <c r="F52">
        <f t="shared" si="17"/>
        <v>0.93240000000000001</v>
      </c>
      <c r="G52">
        <f t="shared" si="17"/>
        <v>0.93240000000000001</v>
      </c>
      <c r="H52">
        <f t="shared" si="17"/>
        <v>0.93240000000000001</v>
      </c>
      <c r="I52">
        <f t="shared" si="17"/>
        <v>0.93240000000000001</v>
      </c>
      <c r="J52">
        <f t="shared" si="17"/>
        <v>0.93240000000000001</v>
      </c>
      <c r="K52">
        <f t="shared" si="17"/>
        <v>0.93240000000000001</v>
      </c>
      <c r="L52">
        <f t="shared" si="17"/>
        <v>0.93240000000000001</v>
      </c>
      <c r="M52">
        <f t="shared" si="18"/>
        <v>0.93240000000000001</v>
      </c>
      <c r="N52">
        <f t="shared" si="18"/>
        <v>0.93240000000000001</v>
      </c>
      <c r="O52">
        <f t="shared" si="18"/>
        <v>0.93240000000000001</v>
      </c>
      <c r="P52">
        <f t="shared" si="18"/>
        <v>0.93240000000000001</v>
      </c>
      <c r="Q52">
        <f t="shared" si="18"/>
        <v>0.93240000000000001</v>
      </c>
      <c r="R52">
        <f t="shared" si="18"/>
        <v>0.93240000000000001</v>
      </c>
      <c r="S52">
        <f t="shared" si="18"/>
        <v>0.93240000000000001</v>
      </c>
      <c r="T52">
        <f t="shared" si="18"/>
        <v>0.93240000000000001</v>
      </c>
      <c r="U52">
        <f t="shared" si="18"/>
        <v>0.93240000000000001</v>
      </c>
      <c r="V52">
        <f t="shared" si="18"/>
        <v>0.93240000000000001</v>
      </c>
      <c r="W52">
        <f t="shared" si="19"/>
        <v>0.93240000000000001</v>
      </c>
      <c r="X52">
        <f t="shared" si="19"/>
        <v>0.93240000000000001</v>
      </c>
      <c r="Y52">
        <f t="shared" si="19"/>
        <v>0.93240000000000001</v>
      </c>
      <c r="Z52">
        <f t="shared" si="19"/>
        <v>0.93240000000000001</v>
      </c>
      <c r="AA52">
        <f t="shared" si="19"/>
        <v>0.93240000000000001</v>
      </c>
      <c r="AB52">
        <f t="shared" si="19"/>
        <v>0.93240000000000001</v>
      </c>
      <c r="AC52">
        <f t="shared" si="19"/>
        <v>0.93240000000000001</v>
      </c>
      <c r="AD52">
        <f t="shared" si="19"/>
        <v>0.93240000000000001</v>
      </c>
      <c r="AE52">
        <f t="shared" si="19"/>
        <v>0.93240000000000001</v>
      </c>
      <c r="AF52">
        <f t="shared" si="19"/>
        <v>0.93240000000000001</v>
      </c>
      <c r="AG52">
        <f t="shared" si="20"/>
        <v>0.93240000000000001</v>
      </c>
      <c r="AH52">
        <f t="shared" si="20"/>
        <v>0.93240000000000001</v>
      </c>
      <c r="AI52">
        <f t="shared" si="20"/>
        <v>0.93240000000000001</v>
      </c>
      <c r="AJ52">
        <f t="shared" si="20"/>
        <v>0.93240000000000001</v>
      </c>
      <c r="AK52">
        <f t="shared" si="20"/>
        <v>0.93240000000000001</v>
      </c>
      <c r="AL52">
        <f t="shared" si="20"/>
        <v>0.93240000000000001</v>
      </c>
      <c r="AM52">
        <f t="shared" si="20"/>
        <v>0.93240000000000001</v>
      </c>
      <c r="AN52">
        <f t="shared" si="20"/>
        <v>0.93240000000000001</v>
      </c>
      <c r="AO52">
        <f t="shared" si="20"/>
        <v>0.93240000000000001</v>
      </c>
      <c r="AP52">
        <f t="shared" si="20"/>
        <v>0.93240000000000001</v>
      </c>
      <c r="AQ52">
        <f t="shared" si="21"/>
        <v>0.93240000000000001</v>
      </c>
      <c r="AR52">
        <f t="shared" si="21"/>
        <v>0.93240000000000001</v>
      </c>
      <c r="AS52">
        <f t="shared" si="21"/>
        <v>0.93240000000000001</v>
      </c>
      <c r="AT52">
        <f t="shared" si="21"/>
        <v>0.93240000000000001</v>
      </c>
      <c r="AU52">
        <f t="shared" si="21"/>
        <v>0.93240000000000001</v>
      </c>
      <c r="AV52">
        <f t="shared" si="21"/>
        <v>0.93240000000000001</v>
      </c>
      <c r="AW52">
        <f t="shared" si="21"/>
        <v>0.93240000000000001</v>
      </c>
      <c r="AX52">
        <f t="shared" si="21"/>
        <v>0.93240000000000001</v>
      </c>
      <c r="AY52">
        <f t="shared" si="21"/>
        <v>0.93240000000000001</v>
      </c>
      <c r="AZ52">
        <f t="shared" si="21"/>
        <v>0.93240000000000001</v>
      </c>
      <c r="BA52" s="6"/>
    </row>
    <row r="53" spans="1:53" x14ac:dyDescent="0.2">
      <c r="A53">
        <f t="shared" si="6"/>
        <v>12</v>
      </c>
      <c r="B53" s="3">
        <f t="shared" si="22"/>
        <v>24</v>
      </c>
      <c r="C53">
        <f t="shared" si="17"/>
        <v>0.94240000000000002</v>
      </c>
      <c r="D53">
        <f t="shared" si="17"/>
        <v>0.94240000000000002</v>
      </c>
      <c r="E53">
        <f t="shared" si="17"/>
        <v>0.94240000000000002</v>
      </c>
      <c r="F53">
        <f t="shared" si="17"/>
        <v>0.94240000000000002</v>
      </c>
      <c r="G53">
        <f t="shared" si="17"/>
        <v>0.94240000000000002</v>
      </c>
      <c r="H53">
        <f t="shared" si="17"/>
        <v>0.94240000000000002</v>
      </c>
      <c r="I53">
        <f t="shared" si="17"/>
        <v>0.94240000000000002</v>
      </c>
      <c r="J53">
        <f t="shared" si="17"/>
        <v>0.94240000000000002</v>
      </c>
      <c r="K53">
        <f t="shared" si="17"/>
        <v>0.94240000000000002</v>
      </c>
      <c r="L53">
        <f t="shared" si="17"/>
        <v>0.94240000000000002</v>
      </c>
      <c r="M53">
        <f t="shared" si="18"/>
        <v>0.94240000000000002</v>
      </c>
      <c r="N53">
        <f t="shared" si="18"/>
        <v>0.94240000000000002</v>
      </c>
      <c r="O53">
        <f t="shared" si="18"/>
        <v>0.94240000000000002</v>
      </c>
      <c r="P53">
        <f t="shared" si="18"/>
        <v>0.94240000000000002</v>
      </c>
      <c r="Q53">
        <f t="shared" si="18"/>
        <v>0.94240000000000002</v>
      </c>
      <c r="R53">
        <f t="shared" si="18"/>
        <v>0.94240000000000002</v>
      </c>
      <c r="S53">
        <f t="shared" si="18"/>
        <v>0.94240000000000002</v>
      </c>
      <c r="T53">
        <f t="shared" si="18"/>
        <v>0.94240000000000002</v>
      </c>
      <c r="U53">
        <f t="shared" si="18"/>
        <v>0.94240000000000002</v>
      </c>
      <c r="V53">
        <f t="shared" si="18"/>
        <v>0.94240000000000002</v>
      </c>
      <c r="W53">
        <f t="shared" si="19"/>
        <v>0.94240000000000002</v>
      </c>
      <c r="X53">
        <f t="shared" si="19"/>
        <v>0.94240000000000002</v>
      </c>
      <c r="Y53">
        <f t="shared" si="19"/>
        <v>0.94240000000000002</v>
      </c>
      <c r="Z53">
        <f t="shared" si="19"/>
        <v>0.94240000000000002</v>
      </c>
      <c r="AA53">
        <f t="shared" si="19"/>
        <v>0.94240000000000002</v>
      </c>
      <c r="AB53">
        <f t="shared" si="19"/>
        <v>0.94240000000000002</v>
      </c>
      <c r="AC53">
        <f t="shared" si="19"/>
        <v>0.94240000000000002</v>
      </c>
      <c r="AD53">
        <f t="shared" si="19"/>
        <v>0.94240000000000002</v>
      </c>
      <c r="AE53">
        <f t="shared" si="19"/>
        <v>0.94240000000000002</v>
      </c>
      <c r="AF53">
        <f t="shared" si="19"/>
        <v>0.94240000000000002</v>
      </c>
      <c r="AG53">
        <f t="shared" si="20"/>
        <v>0.94240000000000002</v>
      </c>
      <c r="AH53">
        <f t="shared" si="20"/>
        <v>0.94240000000000002</v>
      </c>
      <c r="AI53">
        <f t="shared" si="20"/>
        <v>0.94240000000000002</v>
      </c>
      <c r="AJ53">
        <f t="shared" si="20"/>
        <v>0.94240000000000002</v>
      </c>
      <c r="AK53">
        <f t="shared" si="20"/>
        <v>0.94240000000000002</v>
      </c>
      <c r="AL53">
        <f t="shared" si="20"/>
        <v>0.94240000000000002</v>
      </c>
      <c r="AM53">
        <f t="shared" si="20"/>
        <v>0.94240000000000002</v>
      </c>
      <c r="AN53">
        <f t="shared" si="20"/>
        <v>0.94240000000000002</v>
      </c>
      <c r="AO53">
        <f t="shared" si="20"/>
        <v>0.94240000000000002</v>
      </c>
      <c r="AP53">
        <f t="shared" si="20"/>
        <v>0.94240000000000002</v>
      </c>
      <c r="AQ53">
        <f t="shared" si="21"/>
        <v>0.94240000000000002</v>
      </c>
      <c r="AR53">
        <f t="shared" si="21"/>
        <v>0.94240000000000002</v>
      </c>
      <c r="AS53">
        <f t="shared" si="21"/>
        <v>0.94240000000000002</v>
      </c>
      <c r="AT53">
        <f t="shared" si="21"/>
        <v>0.94240000000000002</v>
      </c>
      <c r="AU53">
        <f t="shared" si="21"/>
        <v>0.94240000000000002</v>
      </c>
      <c r="AV53">
        <f t="shared" si="21"/>
        <v>0.94240000000000002</v>
      </c>
      <c r="AW53">
        <f t="shared" si="21"/>
        <v>0.94240000000000002</v>
      </c>
      <c r="AX53">
        <f t="shared" si="21"/>
        <v>0.94240000000000002</v>
      </c>
      <c r="AY53">
        <f t="shared" si="21"/>
        <v>0.94240000000000002</v>
      </c>
      <c r="AZ53">
        <f t="shared" si="21"/>
        <v>0.94240000000000002</v>
      </c>
      <c r="BA53" s="6"/>
    </row>
    <row r="54" spans="1:53" x14ac:dyDescent="0.2">
      <c r="A54">
        <f t="shared" si="6"/>
        <v>11</v>
      </c>
      <c r="B54" s="3">
        <f t="shared" si="22"/>
        <v>22</v>
      </c>
      <c r="C54">
        <f t="shared" si="17"/>
        <v>0.9516</v>
      </c>
      <c r="D54">
        <f t="shared" si="17"/>
        <v>0.9516</v>
      </c>
      <c r="E54">
        <f t="shared" si="17"/>
        <v>0.9516</v>
      </c>
      <c r="F54">
        <f t="shared" si="17"/>
        <v>0.9516</v>
      </c>
      <c r="G54">
        <f t="shared" si="17"/>
        <v>0.9516</v>
      </c>
      <c r="H54">
        <f t="shared" si="17"/>
        <v>0.9516</v>
      </c>
      <c r="I54">
        <f t="shared" si="17"/>
        <v>0.9516</v>
      </c>
      <c r="J54">
        <f t="shared" si="17"/>
        <v>0.9516</v>
      </c>
      <c r="K54">
        <f t="shared" si="17"/>
        <v>0.9516</v>
      </c>
      <c r="L54">
        <f t="shared" si="17"/>
        <v>0.9516</v>
      </c>
      <c r="M54">
        <f t="shared" si="18"/>
        <v>0.9516</v>
      </c>
      <c r="N54">
        <f t="shared" si="18"/>
        <v>0.9516</v>
      </c>
      <c r="O54">
        <f t="shared" si="18"/>
        <v>0.9516</v>
      </c>
      <c r="P54">
        <f t="shared" si="18"/>
        <v>0.9516</v>
      </c>
      <c r="Q54">
        <f t="shared" si="18"/>
        <v>0.9516</v>
      </c>
      <c r="R54">
        <f t="shared" si="18"/>
        <v>0.9516</v>
      </c>
      <c r="S54">
        <f t="shared" si="18"/>
        <v>0.9516</v>
      </c>
      <c r="T54">
        <f t="shared" si="18"/>
        <v>0.9516</v>
      </c>
      <c r="U54">
        <f t="shared" si="18"/>
        <v>0.9516</v>
      </c>
      <c r="V54">
        <f t="shared" si="18"/>
        <v>0.9516</v>
      </c>
      <c r="W54">
        <f t="shared" si="19"/>
        <v>0.9516</v>
      </c>
      <c r="X54">
        <f t="shared" si="19"/>
        <v>0.9516</v>
      </c>
      <c r="Y54">
        <f t="shared" si="19"/>
        <v>0.9516</v>
      </c>
      <c r="Z54">
        <f t="shared" si="19"/>
        <v>0.9516</v>
      </c>
      <c r="AA54">
        <f t="shared" si="19"/>
        <v>0.9516</v>
      </c>
      <c r="AB54">
        <f t="shared" si="19"/>
        <v>0.9516</v>
      </c>
      <c r="AC54">
        <f t="shared" si="19"/>
        <v>0.9516</v>
      </c>
      <c r="AD54">
        <f t="shared" si="19"/>
        <v>0.9516</v>
      </c>
      <c r="AE54">
        <f t="shared" si="19"/>
        <v>0.9516</v>
      </c>
      <c r="AF54">
        <f t="shared" si="19"/>
        <v>0.9516</v>
      </c>
      <c r="AG54">
        <f t="shared" si="20"/>
        <v>0.9516</v>
      </c>
      <c r="AH54">
        <f t="shared" si="20"/>
        <v>0.9516</v>
      </c>
      <c r="AI54">
        <f t="shared" si="20"/>
        <v>0.9516</v>
      </c>
      <c r="AJ54">
        <f t="shared" si="20"/>
        <v>0.9516</v>
      </c>
      <c r="AK54">
        <f t="shared" si="20"/>
        <v>0.9516</v>
      </c>
      <c r="AL54">
        <f t="shared" si="20"/>
        <v>0.9516</v>
      </c>
      <c r="AM54">
        <f t="shared" si="20"/>
        <v>0.9516</v>
      </c>
      <c r="AN54">
        <f t="shared" si="20"/>
        <v>0.9516</v>
      </c>
      <c r="AO54">
        <f t="shared" si="20"/>
        <v>0.9516</v>
      </c>
      <c r="AP54">
        <f t="shared" si="20"/>
        <v>0.9516</v>
      </c>
      <c r="AQ54">
        <f t="shared" si="21"/>
        <v>0.9516</v>
      </c>
      <c r="AR54">
        <f t="shared" si="21"/>
        <v>0.9516</v>
      </c>
      <c r="AS54">
        <f t="shared" si="21"/>
        <v>0.9516</v>
      </c>
      <c r="AT54">
        <f t="shared" si="21"/>
        <v>0.9516</v>
      </c>
      <c r="AU54">
        <f t="shared" si="21"/>
        <v>0.9516</v>
      </c>
      <c r="AV54">
        <f t="shared" si="21"/>
        <v>0.9516</v>
      </c>
      <c r="AW54">
        <f t="shared" si="21"/>
        <v>0.9516</v>
      </c>
      <c r="AX54">
        <f t="shared" si="21"/>
        <v>0.9516</v>
      </c>
      <c r="AY54">
        <f t="shared" si="21"/>
        <v>0.9516</v>
      </c>
      <c r="AZ54">
        <f t="shared" si="21"/>
        <v>0.9516</v>
      </c>
      <c r="BA54" s="6"/>
    </row>
    <row r="55" spans="1:53" x14ac:dyDescent="0.2">
      <c r="A55">
        <f t="shared" si="6"/>
        <v>10</v>
      </c>
      <c r="B55" s="3">
        <f t="shared" si="22"/>
        <v>20</v>
      </c>
      <c r="C55">
        <f t="shared" si="17"/>
        <v>0.96</v>
      </c>
      <c r="D55">
        <f t="shared" si="17"/>
        <v>0.96</v>
      </c>
      <c r="E55">
        <f t="shared" si="17"/>
        <v>0.96</v>
      </c>
      <c r="F55">
        <f t="shared" si="17"/>
        <v>0.96</v>
      </c>
      <c r="G55">
        <f t="shared" si="17"/>
        <v>0.96</v>
      </c>
      <c r="H55">
        <f t="shared" si="17"/>
        <v>0.96</v>
      </c>
      <c r="I55">
        <f t="shared" si="17"/>
        <v>0.96</v>
      </c>
      <c r="J55">
        <f t="shared" si="17"/>
        <v>0.96</v>
      </c>
      <c r="K55">
        <f t="shared" si="17"/>
        <v>0.96</v>
      </c>
      <c r="L55">
        <f t="shared" si="17"/>
        <v>0.96</v>
      </c>
      <c r="M55">
        <f t="shared" si="18"/>
        <v>0.96</v>
      </c>
      <c r="N55">
        <f t="shared" si="18"/>
        <v>0.96</v>
      </c>
      <c r="O55">
        <f t="shared" si="18"/>
        <v>0.96</v>
      </c>
      <c r="P55">
        <f t="shared" si="18"/>
        <v>0.96</v>
      </c>
      <c r="Q55">
        <f t="shared" si="18"/>
        <v>0.96</v>
      </c>
      <c r="R55">
        <f t="shared" si="18"/>
        <v>0.96</v>
      </c>
      <c r="S55">
        <f t="shared" si="18"/>
        <v>0.96</v>
      </c>
      <c r="T55">
        <f t="shared" si="18"/>
        <v>0.96</v>
      </c>
      <c r="U55">
        <f t="shared" si="18"/>
        <v>0.96</v>
      </c>
      <c r="V55">
        <f t="shared" si="18"/>
        <v>0.96</v>
      </c>
      <c r="W55">
        <f t="shared" si="19"/>
        <v>0.96</v>
      </c>
      <c r="X55">
        <f t="shared" si="19"/>
        <v>0.96</v>
      </c>
      <c r="Y55">
        <f t="shared" si="19"/>
        <v>0.96</v>
      </c>
      <c r="Z55">
        <f t="shared" si="19"/>
        <v>0.96</v>
      </c>
      <c r="AA55">
        <f t="shared" si="19"/>
        <v>0.96</v>
      </c>
      <c r="AB55">
        <f t="shared" si="19"/>
        <v>0.96</v>
      </c>
      <c r="AC55">
        <f t="shared" si="19"/>
        <v>0.96</v>
      </c>
      <c r="AD55">
        <f t="shared" si="19"/>
        <v>0.96</v>
      </c>
      <c r="AE55">
        <f t="shared" si="19"/>
        <v>0.96</v>
      </c>
      <c r="AF55">
        <f t="shared" si="19"/>
        <v>0.96</v>
      </c>
      <c r="AG55">
        <f t="shared" si="20"/>
        <v>0.96</v>
      </c>
      <c r="AH55">
        <f t="shared" si="20"/>
        <v>0.96</v>
      </c>
      <c r="AI55">
        <f t="shared" si="20"/>
        <v>0.96</v>
      </c>
      <c r="AJ55">
        <f t="shared" si="20"/>
        <v>0.96</v>
      </c>
      <c r="AK55">
        <f t="shared" si="20"/>
        <v>0.96</v>
      </c>
      <c r="AL55">
        <f t="shared" si="20"/>
        <v>0.96</v>
      </c>
      <c r="AM55">
        <f t="shared" si="20"/>
        <v>0.96</v>
      </c>
      <c r="AN55">
        <f t="shared" si="20"/>
        <v>0.96</v>
      </c>
      <c r="AO55">
        <f t="shared" si="20"/>
        <v>0.96</v>
      </c>
      <c r="AP55">
        <f t="shared" si="20"/>
        <v>0.96</v>
      </c>
      <c r="AQ55">
        <f t="shared" si="21"/>
        <v>0.96</v>
      </c>
      <c r="AR55">
        <f t="shared" si="21"/>
        <v>0.96</v>
      </c>
      <c r="AS55">
        <f t="shared" si="21"/>
        <v>0.96</v>
      </c>
      <c r="AT55">
        <f t="shared" si="21"/>
        <v>0.96</v>
      </c>
      <c r="AU55">
        <f t="shared" si="21"/>
        <v>0.96</v>
      </c>
      <c r="AV55">
        <f t="shared" si="21"/>
        <v>0.96</v>
      </c>
      <c r="AW55">
        <f t="shared" si="21"/>
        <v>0.96</v>
      </c>
      <c r="AX55">
        <f t="shared" si="21"/>
        <v>0.96</v>
      </c>
      <c r="AY55">
        <f t="shared" si="21"/>
        <v>0.96</v>
      </c>
      <c r="AZ55">
        <f t="shared" si="21"/>
        <v>0.96</v>
      </c>
      <c r="BA55" s="6"/>
    </row>
    <row r="56" spans="1:53" x14ac:dyDescent="0.2">
      <c r="A56">
        <f t="shared" si="6"/>
        <v>9</v>
      </c>
      <c r="B56" s="3">
        <f t="shared" si="22"/>
        <v>18</v>
      </c>
      <c r="C56">
        <f t="shared" ref="C56:L64" si="23">1-sigma^2*$A56^2*dt</f>
        <v>0.96760000000000002</v>
      </c>
      <c r="D56">
        <f t="shared" si="23"/>
        <v>0.96760000000000002</v>
      </c>
      <c r="E56">
        <f t="shared" si="23"/>
        <v>0.96760000000000002</v>
      </c>
      <c r="F56">
        <f t="shared" si="23"/>
        <v>0.96760000000000002</v>
      </c>
      <c r="G56">
        <f t="shared" si="23"/>
        <v>0.96760000000000002</v>
      </c>
      <c r="H56">
        <f t="shared" si="23"/>
        <v>0.96760000000000002</v>
      </c>
      <c r="I56">
        <f t="shared" si="23"/>
        <v>0.96760000000000002</v>
      </c>
      <c r="J56">
        <f t="shared" si="23"/>
        <v>0.96760000000000002</v>
      </c>
      <c r="K56">
        <f t="shared" si="23"/>
        <v>0.96760000000000002</v>
      </c>
      <c r="L56">
        <f t="shared" si="23"/>
        <v>0.96760000000000002</v>
      </c>
      <c r="M56">
        <f t="shared" ref="M56:V64" si="24">1-sigma^2*$A56^2*dt</f>
        <v>0.96760000000000002</v>
      </c>
      <c r="N56">
        <f t="shared" si="24"/>
        <v>0.96760000000000002</v>
      </c>
      <c r="O56">
        <f t="shared" si="24"/>
        <v>0.96760000000000002</v>
      </c>
      <c r="P56">
        <f t="shared" si="24"/>
        <v>0.96760000000000002</v>
      </c>
      <c r="Q56">
        <f t="shared" si="24"/>
        <v>0.96760000000000002</v>
      </c>
      <c r="R56">
        <f t="shared" si="24"/>
        <v>0.96760000000000002</v>
      </c>
      <c r="S56">
        <f t="shared" si="24"/>
        <v>0.96760000000000002</v>
      </c>
      <c r="T56">
        <f t="shared" si="24"/>
        <v>0.96760000000000002</v>
      </c>
      <c r="U56">
        <f t="shared" si="24"/>
        <v>0.96760000000000002</v>
      </c>
      <c r="V56">
        <f t="shared" si="24"/>
        <v>0.96760000000000002</v>
      </c>
      <c r="W56">
        <f t="shared" ref="W56:AF64" si="25">1-sigma^2*$A56^2*dt</f>
        <v>0.96760000000000002</v>
      </c>
      <c r="X56">
        <f t="shared" si="25"/>
        <v>0.96760000000000002</v>
      </c>
      <c r="Y56">
        <f t="shared" si="25"/>
        <v>0.96760000000000002</v>
      </c>
      <c r="Z56">
        <f t="shared" si="25"/>
        <v>0.96760000000000002</v>
      </c>
      <c r="AA56">
        <f t="shared" si="25"/>
        <v>0.96760000000000002</v>
      </c>
      <c r="AB56">
        <f t="shared" si="25"/>
        <v>0.96760000000000002</v>
      </c>
      <c r="AC56">
        <f t="shared" si="25"/>
        <v>0.96760000000000002</v>
      </c>
      <c r="AD56">
        <f t="shared" si="25"/>
        <v>0.96760000000000002</v>
      </c>
      <c r="AE56">
        <f t="shared" si="25"/>
        <v>0.96760000000000002</v>
      </c>
      <c r="AF56">
        <f t="shared" si="25"/>
        <v>0.96760000000000002</v>
      </c>
      <c r="AG56">
        <f t="shared" ref="AG56:AP64" si="26">1-sigma^2*$A56^2*dt</f>
        <v>0.96760000000000002</v>
      </c>
      <c r="AH56">
        <f t="shared" si="26"/>
        <v>0.96760000000000002</v>
      </c>
      <c r="AI56">
        <f t="shared" si="26"/>
        <v>0.96760000000000002</v>
      </c>
      <c r="AJ56">
        <f t="shared" si="26"/>
        <v>0.96760000000000002</v>
      </c>
      <c r="AK56">
        <f t="shared" si="26"/>
        <v>0.96760000000000002</v>
      </c>
      <c r="AL56">
        <f t="shared" si="26"/>
        <v>0.96760000000000002</v>
      </c>
      <c r="AM56">
        <f t="shared" si="26"/>
        <v>0.96760000000000002</v>
      </c>
      <c r="AN56">
        <f t="shared" si="26"/>
        <v>0.96760000000000002</v>
      </c>
      <c r="AO56">
        <f t="shared" si="26"/>
        <v>0.96760000000000002</v>
      </c>
      <c r="AP56">
        <f t="shared" si="26"/>
        <v>0.96760000000000002</v>
      </c>
      <c r="AQ56">
        <f t="shared" ref="AQ56:AZ64" si="27">1-sigma^2*$A56^2*dt</f>
        <v>0.96760000000000002</v>
      </c>
      <c r="AR56">
        <f t="shared" si="27"/>
        <v>0.96760000000000002</v>
      </c>
      <c r="AS56">
        <f t="shared" si="27"/>
        <v>0.96760000000000002</v>
      </c>
      <c r="AT56">
        <f t="shared" si="27"/>
        <v>0.96760000000000002</v>
      </c>
      <c r="AU56">
        <f t="shared" si="27"/>
        <v>0.96760000000000002</v>
      </c>
      <c r="AV56">
        <f t="shared" si="27"/>
        <v>0.96760000000000002</v>
      </c>
      <c r="AW56">
        <f t="shared" si="27"/>
        <v>0.96760000000000002</v>
      </c>
      <c r="AX56">
        <f t="shared" si="27"/>
        <v>0.96760000000000002</v>
      </c>
      <c r="AY56">
        <f t="shared" si="27"/>
        <v>0.96760000000000002</v>
      </c>
      <c r="AZ56">
        <f t="shared" si="27"/>
        <v>0.96760000000000002</v>
      </c>
      <c r="BA56" s="6"/>
    </row>
    <row r="57" spans="1:53" x14ac:dyDescent="0.2">
      <c r="A57">
        <f t="shared" si="6"/>
        <v>8</v>
      </c>
      <c r="B57" s="3">
        <f t="shared" si="22"/>
        <v>16</v>
      </c>
      <c r="C57">
        <f t="shared" si="23"/>
        <v>0.97440000000000004</v>
      </c>
      <c r="D57">
        <f t="shared" si="23"/>
        <v>0.97440000000000004</v>
      </c>
      <c r="E57">
        <f t="shared" si="23"/>
        <v>0.97440000000000004</v>
      </c>
      <c r="F57">
        <f t="shared" si="23"/>
        <v>0.97440000000000004</v>
      </c>
      <c r="G57">
        <f t="shared" si="23"/>
        <v>0.97440000000000004</v>
      </c>
      <c r="H57">
        <f t="shared" si="23"/>
        <v>0.97440000000000004</v>
      </c>
      <c r="I57">
        <f t="shared" si="23"/>
        <v>0.97440000000000004</v>
      </c>
      <c r="J57">
        <f t="shared" si="23"/>
        <v>0.97440000000000004</v>
      </c>
      <c r="K57">
        <f t="shared" si="23"/>
        <v>0.97440000000000004</v>
      </c>
      <c r="L57">
        <f t="shared" si="23"/>
        <v>0.97440000000000004</v>
      </c>
      <c r="M57">
        <f t="shared" si="24"/>
        <v>0.97440000000000004</v>
      </c>
      <c r="N57">
        <f t="shared" si="24"/>
        <v>0.97440000000000004</v>
      </c>
      <c r="O57">
        <f t="shared" si="24"/>
        <v>0.97440000000000004</v>
      </c>
      <c r="P57">
        <f t="shared" si="24"/>
        <v>0.97440000000000004</v>
      </c>
      <c r="Q57">
        <f t="shared" si="24"/>
        <v>0.97440000000000004</v>
      </c>
      <c r="R57">
        <f t="shared" si="24"/>
        <v>0.97440000000000004</v>
      </c>
      <c r="S57">
        <f t="shared" si="24"/>
        <v>0.97440000000000004</v>
      </c>
      <c r="T57">
        <f t="shared" si="24"/>
        <v>0.97440000000000004</v>
      </c>
      <c r="U57">
        <f t="shared" si="24"/>
        <v>0.97440000000000004</v>
      </c>
      <c r="V57">
        <f t="shared" si="24"/>
        <v>0.97440000000000004</v>
      </c>
      <c r="W57">
        <f t="shared" si="25"/>
        <v>0.97440000000000004</v>
      </c>
      <c r="X57">
        <f t="shared" si="25"/>
        <v>0.97440000000000004</v>
      </c>
      <c r="Y57">
        <f t="shared" si="25"/>
        <v>0.97440000000000004</v>
      </c>
      <c r="Z57">
        <f t="shared" si="25"/>
        <v>0.97440000000000004</v>
      </c>
      <c r="AA57">
        <f t="shared" si="25"/>
        <v>0.97440000000000004</v>
      </c>
      <c r="AB57">
        <f t="shared" si="25"/>
        <v>0.97440000000000004</v>
      </c>
      <c r="AC57">
        <f t="shared" si="25"/>
        <v>0.97440000000000004</v>
      </c>
      <c r="AD57">
        <f t="shared" si="25"/>
        <v>0.97440000000000004</v>
      </c>
      <c r="AE57">
        <f t="shared" si="25"/>
        <v>0.97440000000000004</v>
      </c>
      <c r="AF57">
        <f t="shared" si="25"/>
        <v>0.97440000000000004</v>
      </c>
      <c r="AG57">
        <f t="shared" si="26"/>
        <v>0.97440000000000004</v>
      </c>
      <c r="AH57">
        <f t="shared" si="26"/>
        <v>0.97440000000000004</v>
      </c>
      <c r="AI57">
        <f t="shared" si="26"/>
        <v>0.97440000000000004</v>
      </c>
      <c r="AJ57">
        <f t="shared" si="26"/>
        <v>0.97440000000000004</v>
      </c>
      <c r="AK57">
        <f t="shared" si="26"/>
        <v>0.97440000000000004</v>
      </c>
      <c r="AL57">
        <f t="shared" si="26"/>
        <v>0.97440000000000004</v>
      </c>
      <c r="AM57">
        <f t="shared" si="26"/>
        <v>0.97440000000000004</v>
      </c>
      <c r="AN57">
        <f t="shared" si="26"/>
        <v>0.97440000000000004</v>
      </c>
      <c r="AO57">
        <f t="shared" si="26"/>
        <v>0.97440000000000004</v>
      </c>
      <c r="AP57">
        <f t="shared" si="26"/>
        <v>0.97440000000000004</v>
      </c>
      <c r="AQ57">
        <f t="shared" si="27"/>
        <v>0.97440000000000004</v>
      </c>
      <c r="AR57">
        <f t="shared" si="27"/>
        <v>0.97440000000000004</v>
      </c>
      <c r="AS57">
        <f t="shared" si="27"/>
        <v>0.97440000000000004</v>
      </c>
      <c r="AT57">
        <f t="shared" si="27"/>
        <v>0.97440000000000004</v>
      </c>
      <c r="AU57">
        <f t="shared" si="27"/>
        <v>0.97440000000000004</v>
      </c>
      <c r="AV57">
        <f t="shared" si="27"/>
        <v>0.97440000000000004</v>
      </c>
      <c r="AW57">
        <f t="shared" si="27"/>
        <v>0.97440000000000004</v>
      </c>
      <c r="AX57">
        <f t="shared" si="27"/>
        <v>0.97440000000000004</v>
      </c>
      <c r="AY57">
        <f t="shared" si="27"/>
        <v>0.97440000000000004</v>
      </c>
      <c r="AZ57">
        <f t="shared" si="27"/>
        <v>0.97440000000000004</v>
      </c>
      <c r="BA57" s="6"/>
    </row>
    <row r="58" spans="1:53" x14ac:dyDescent="0.2">
      <c r="A58">
        <f t="shared" si="6"/>
        <v>7</v>
      </c>
      <c r="B58" s="3">
        <f t="shared" si="22"/>
        <v>14</v>
      </c>
      <c r="C58">
        <f t="shared" si="23"/>
        <v>0.98040000000000005</v>
      </c>
      <c r="D58">
        <f t="shared" si="23"/>
        <v>0.98040000000000005</v>
      </c>
      <c r="E58">
        <f t="shared" si="23"/>
        <v>0.98040000000000005</v>
      </c>
      <c r="F58">
        <f t="shared" si="23"/>
        <v>0.98040000000000005</v>
      </c>
      <c r="G58">
        <f t="shared" si="23"/>
        <v>0.98040000000000005</v>
      </c>
      <c r="H58">
        <f t="shared" si="23"/>
        <v>0.98040000000000005</v>
      </c>
      <c r="I58">
        <f t="shared" si="23"/>
        <v>0.98040000000000005</v>
      </c>
      <c r="J58">
        <f t="shared" si="23"/>
        <v>0.98040000000000005</v>
      </c>
      <c r="K58">
        <f t="shared" si="23"/>
        <v>0.98040000000000005</v>
      </c>
      <c r="L58">
        <f t="shared" si="23"/>
        <v>0.98040000000000005</v>
      </c>
      <c r="M58">
        <f t="shared" si="24"/>
        <v>0.98040000000000005</v>
      </c>
      <c r="N58">
        <f t="shared" si="24"/>
        <v>0.98040000000000005</v>
      </c>
      <c r="O58">
        <f t="shared" si="24"/>
        <v>0.98040000000000005</v>
      </c>
      <c r="P58">
        <f t="shared" si="24"/>
        <v>0.98040000000000005</v>
      </c>
      <c r="Q58">
        <f t="shared" si="24"/>
        <v>0.98040000000000005</v>
      </c>
      <c r="R58">
        <f t="shared" si="24"/>
        <v>0.98040000000000005</v>
      </c>
      <c r="S58">
        <f t="shared" si="24"/>
        <v>0.98040000000000005</v>
      </c>
      <c r="T58">
        <f t="shared" si="24"/>
        <v>0.98040000000000005</v>
      </c>
      <c r="U58">
        <f t="shared" si="24"/>
        <v>0.98040000000000005</v>
      </c>
      <c r="V58">
        <f t="shared" si="24"/>
        <v>0.98040000000000005</v>
      </c>
      <c r="W58">
        <f t="shared" si="25"/>
        <v>0.98040000000000005</v>
      </c>
      <c r="X58">
        <f t="shared" si="25"/>
        <v>0.98040000000000005</v>
      </c>
      <c r="Y58">
        <f t="shared" si="25"/>
        <v>0.98040000000000005</v>
      </c>
      <c r="Z58">
        <f t="shared" si="25"/>
        <v>0.98040000000000005</v>
      </c>
      <c r="AA58">
        <f t="shared" si="25"/>
        <v>0.98040000000000005</v>
      </c>
      <c r="AB58">
        <f t="shared" si="25"/>
        <v>0.98040000000000005</v>
      </c>
      <c r="AC58">
        <f t="shared" si="25"/>
        <v>0.98040000000000005</v>
      </c>
      <c r="AD58">
        <f t="shared" si="25"/>
        <v>0.98040000000000005</v>
      </c>
      <c r="AE58">
        <f t="shared" si="25"/>
        <v>0.98040000000000005</v>
      </c>
      <c r="AF58">
        <f t="shared" si="25"/>
        <v>0.98040000000000005</v>
      </c>
      <c r="AG58">
        <f t="shared" si="26"/>
        <v>0.98040000000000005</v>
      </c>
      <c r="AH58">
        <f t="shared" si="26"/>
        <v>0.98040000000000005</v>
      </c>
      <c r="AI58">
        <f t="shared" si="26"/>
        <v>0.98040000000000005</v>
      </c>
      <c r="AJ58">
        <f t="shared" si="26"/>
        <v>0.98040000000000005</v>
      </c>
      <c r="AK58">
        <f t="shared" si="26"/>
        <v>0.98040000000000005</v>
      </c>
      <c r="AL58">
        <f t="shared" si="26"/>
        <v>0.98040000000000005</v>
      </c>
      <c r="AM58">
        <f t="shared" si="26"/>
        <v>0.98040000000000005</v>
      </c>
      <c r="AN58">
        <f t="shared" si="26"/>
        <v>0.98040000000000005</v>
      </c>
      <c r="AO58">
        <f t="shared" si="26"/>
        <v>0.98040000000000005</v>
      </c>
      <c r="AP58">
        <f t="shared" si="26"/>
        <v>0.98040000000000005</v>
      </c>
      <c r="AQ58">
        <f t="shared" si="27"/>
        <v>0.98040000000000005</v>
      </c>
      <c r="AR58">
        <f t="shared" si="27"/>
        <v>0.98040000000000005</v>
      </c>
      <c r="AS58">
        <f t="shared" si="27"/>
        <v>0.98040000000000005</v>
      </c>
      <c r="AT58">
        <f t="shared" si="27"/>
        <v>0.98040000000000005</v>
      </c>
      <c r="AU58">
        <f t="shared" si="27"/>
        <v>0.98040000000000005</v>
      </c>
      <c r="AV58">
        <f t="shared" si="27"/>
        <v>0.98040000000000005</v>
      </c>
      <c r="AW58">
        <f t="shared" si="27"/>
        <v>0.98040000000000005</v>
      </c>
      <c r="AX58">
        <f t="shared" si="27"/>
        <v>0.98040000000000005</v>
      </c>
      <c r="AY58">
        <f t="shared" si="27"/>
        <v>0.98040000000000005</v>
      </c>
      <c r="AZ58">
        <f t="shared" si="27"/>
        <v>0.98040000000000005</v>
      </c>
      <c r="BA58" s="6"/>
    </row>
    <row r="59" spans="1:53" x14ac:dyDescent="0.2">
      <c r="A59">
        <f t="shared" si="6"/>
        <v>6</v>
      </c>
      <c r="B59" s="3">
        <f t="shared" si="22"/>
        <v>12</v>
      </c>
      <c r="C59">
        <f t="shared" si="23"/>
        <v>0.98560000000000003</v>
      </c>
      <c r="D59">
        <f t="shared" si="23"/>
        <v>0.98560000000000003</v>
      </c>
      <c r="E59">
        <f t="shared" si="23"/>
        <v>0.98560000000000003</v>
      </c>
      <c r="F59">
        <f t="shared" si="23"/>
        <v>0.98560000000000003</v>
      </c>
      <c r="G59">
        <f t="shared" si="23"/>
        <v>0.98560000000000003</v>
      </c>
      <c r="H59">
        <f t="shared" si="23"/>
        <v>0.98560000000000003</v>
      </c>
      <c r="I59">
        <f t="shared" si="23"/>
        <v>0.98560000000000003</v>
      </c>
      <c r="J59">
        <f t="shared" si="23"/>
        <v>0.98560000000000003</v>
      </c>
      <c r="K59">
        <f t="shared" si="23"/>
        <v>0.98560000000000003</v>
      </c>
      <c r="L59">
        <f t="shared" si="23"/>
        <v>0.98560000000000003</v>
      </c>
      <c r="M59">
        <f t="shared" si="24"/>
        <v>0.98560000000000003</v>
      </c>
      <c r="N59">
        <f t="shared" si="24"/>
        <v>0.98560000000000003</v>
      </c>
      <c r="O59">
        <f t="shared" si="24"/>
        <v>0.98560000000000003</v>
      </c>
      <c r="P59">
        <f t="shared" si="24"/>
        <v>0.98560000000000003</v>
      </c>
      <c r="Q59">
        <f t="shared" si="24"/>
        <v>0.98560000000000003</v>
      </c>
      <c r="R59">
        <f t="shared" si="24"/>
        <v>0.98560000000000003</v>
      </c>
      <c r="S59">
        <f t="shared" si="24"/>
        <v>0.98560000000000003</v>
      </c>
      <c r="T59">
        <f t="shared" si="24"/>
        <v>0.98560000000000003</v>
      </c>
      <c r="U59">
        <f t="shared" si="24"/>
        <v>0.98560000000000003</v>
      </c>
      <c r="V59">
        <f t="shared" si="24"/>
        <v>0.98560000000000003</v>
      </c>
      <c r="W59">
        <f t="shared" si="25"/>
        <v>0.98560000000000003</v>
      </c>
      <c r="X59">
        <f t="shared" si="25"/>
        <v>0.98560000000000003</v>
      </c>
      <c r="Y59">
        <f t="shared" si="25"/>
        <v>0.98560000000000003</v>
      </c>
      <c r="Z59">
        <f t="shared" si="25"/>
        <v>0.98560000000000003</v>
      </c>
      <c r="AA59">
        <f t="shared" si="25"/>
        <v>0.98560000000000003</v>
      </c>
      <c r="AB59">
        <f t="shared" si="25"/>
        <v>0.98560000000000003</v>
      </c>
      <c r="AC59">
        <f t="shared" si="25"/>
        <v>0.98560000000000003</v>
      </c>
      <c r="AD59">
        <f t="shared" si="25"/>
        <v>0.98560000000000003</v>
      </c>
      <c r="AE59">
        <f t="shared" si="25"/>
        <v>0.98560000000000003</v>
      </c>
      <c r="AF59">
        <f t="shared" si="25"/>
        <v>0.98560000000000003</v>
      </c>
      <c r="AG59">
        <f t="shared" si="26"/>
        <v>0.98560000000000003</v>
      </c>
      <c r="AH59">
        <f t="shared" si="26"/>
        <v>0.98560000000000003</v>
      </c>
      <c r="AI59">
        <f t="shared" si="26"/>
        <v>0.98560000000000003</v>
      </c>
      <c r="AJ59">
        <f t="shared" si="26"/>
        <v>0.98560000000000003</v>
      </c>
      <c r="AK59">
        <f t="shared" si="26"/>
        <v>0.98560000000000003</v>
      </c>
      <c r="AL59">
        <f t="shared" si="26"/>
        <v>0.98560000000000003</v>
      </c>
      <c r="AM59">
        <f t="shared" si="26"/>
        <v>0.98560000000000003</v>
      </c>
      <c r="AN59">
        <f t="shared" si="26"/>
        <v>0.98560000000000003</v>
      </c>
      <c r="AO59">
        <f t="shared" si="26"/>
        <v>0.98560000000000003</v>
      </c>
      <c r="AP59">
        <f t="shared" si="26"/>
        <v>0.98560000000000003</v>
      </c>
      <c r="AQ59">
        <f t="shared" si="27"/>
        <v>0.98560000000000003</v>
      </c>
      <c r="AR59">
        <f t="shared" si="27"/>
        <v>0.98560000000000003</v>
      </c>
      <c r="AS59">
        <f t="shared" si="27"/>
        <v>0.98560000000000003</v>
      </c>
      <c r="AT59">
        <f t="shared" si="27"/>
        <v>0.98560000000000003</v>
      </c>
      <c r="AU59">
        <f t="shared" si="27"/>
        <v>0.98560000000000003</v>
      </c>
      <c r="AV59">
        <f t="shared" si="27"/>
        <v>0.98560000000000003</v>
      </c>
      <c r="AW59">
        <f t="shared" si="27"/>
        <v>0.98560000000000003</v>
      </c>
      <c r="AX59">
        <f t="shared" si="27"/>
        <v>0.98560000000000003</v>
      </c>
      <c r="AY59">
        <f t="shared" si="27"/>
        <v>0.98560000000000003</v>
      </c>
      <c r="AZ59">
        <f t="shared" si="27"/>
        <v>0.98560000000000003</v>
      </c>
      <c r="BA59" s="6"/>
    </row>
    <row r="60" spans="1:53" x14ac:dyDescent="0.2">
      <c r="A60">
        <f t="shared" si="6"/>
        <v>5</v>
      </c>
      <c r="B60" s="3">
        <f t="shared" si="22"/>
        <v>10</v>
      </c>
      <c r="C60">
        <f t="shared" si="23"/>
        <v>0.99</v>
      </c>
      <c r="D60">
        <f t="shared" si="23"/>
        <v>0.99</v>
      </c>
      <c r="E60">
        <f t="shared" si="23"/>
        <v>0.99</v>
      </c>
      <c r="F60">
        <f t="shared" si="23"/>
        <v>0.99</v>
      </c>
      <c r="G60">
        <f t="shared" si="23"/>
        <v>0.99</v>
      </c>
      <c r="H60">
        <f t="shared" si="23"/>
        <v>0.99</v>
      </c>
      <c r="I60">
        <f t="shared" si="23"/>
        <v>0.99</v>
      </c>
      <c r="J60">
        <f t="shared" si="23"/>
        <v>0.99</v>
      </c>
      <c r="K60">
        <f t="shared" si="23"/>
        <v>0.99</v>
      </c>
      <c r="L60">
        <f t="shared" si="23"/>
        <v>0.99</v>
      </c>
      <c r="M60">
        <f t="shared" si="24"/>
        <v>0.99</v>
      </c>
      <c r="N60">
        <f t="shared" si="24"/>
        <v>0.99</v>
      </c>
      <c r="O60">
        <f t="shared" si="24"/>
        <v>0.99</v>
      </c>
      <c r="P60">
        <f t="shared" si="24"/>
        <v>0.99</v>
      </c>
      <c r="Q60">
        <f t="shared" si="24"/>
        <v>0.99</v>
      </c>
      <c r="R60">
        <f t="shared" si="24"/>
        <v>0.99</v>
      </c>
      <c r="S60">
        <f t="shared" si="24"/>
        <v>0.99</v>
      </c>
      <c r="T60">
        <f t="shared" si="24"/>
        <v>0.99</v>
      </c>
      <c r="U60">
        <f t="shared" si="24"/>
        <v>0.99</v>
      </c>
      <c r="V60">
        <f t="shared" si="24"/>
        <v>0.99</v>
      </c>
      <c r="W60">
        <f t="shared" si="25"/>
        <v>0.99</v>
      </c>
      <c r="X60">
        <f t="shared" si="25"/>
        <v>0.99</v>
      </c>
      <c r="Y60">
        <f t="shared" si="25"/>
        <v>0.99</v>
      </c>
      <c r="Z60">
        <f t="shared" si="25"/>
        <v>0.99</v>
      </c>
      <c r="AA60">
        <f t="shared" si="25"/>
        <v>0.99</v>
      </c>
      <c r="AB60">
        <f t="shared" si="25"/>
        <v>0.99</v>
      </c>
      <c r="AC60">
        <f t="shared" si="25"/>
        <v>0.99</v>
      </c>
      <c r="AD60">
        <f t="shared" si="25"/>
        <v>0.99</v>
      </c>
      <c r="AE60">
        <f t="shared" si="25"/>
        <v>0.99</v>
      </c>
      <c r="AF60">
        <f t="shared" si="25"/>
        <v>0.99</v>
      </c>
      <c r="AG60">
        <f t="shared" si="26"/>
        <v>0.99</v>
      </c>
      <c r="AH60">
        <f t="shared" si="26"/>
        <v>0.99</v>
      </c>
      <c r="AI60">
        <f t="shared" si="26"/>
        <v>0.99</v>
      </c>
      <c r="AJ60">
        <f t="shared" si="26"/>
        <v>0.99</v>
      </c>
      <c r="AK60">
        <f t="shared" si="26"/>
        <v>0.99</v>
      </c>
      <c r="AL60">
        <f t="shared" si="26"/>
        <v>0.99</v>
      </c>
      <c r="AM60">
        <f t="shared" si="26"/>
        <v>0.99</v>
      </c>
      <c r="AN60">
        <f t="shared" si="26"/>
        <v>0.99</v>
      </c>
      <c r="AO60">
        <f t="shared" si="26"/>
        <v>0.99</v>
      </c>
      <c r="AP60">
        <f t="shared" si="26"/>
        <v>0.99</v>
      </c>
      <c r="AQ60">
        <f t="shared" si="27"/>
        <v>0.99</v>
      </c>
      <c r="AR60">
        <f t="shared" si="27"/>
        <v>0.99</v>
      </c>
      <c r="AS60">
        <f t="shared" si="27"/>
        <v>0.99</v>
      </c>
      <c r="AT60">
        <f t="shared" si="27"/>
        <v>0.99</v>
      </c>
      <c r="AU60">
        <f t="shared" si="27"/>
        <v>0.99</v>
      </c>
      <c r="AV60">
        <f t="shared" si="27"/>
        <v>0.99</v>
      </c>
      <c r="AW60">
        <f t="shared" si="27"/>
        <v>0.99</v>
      </c>
      <c r="AX60">
        <f t="shared" si="27"/>
        <v>0.99</v>
      </c>
      <c r="AY60">
        <f t="shared" si="27"/>
        <v>0.99</v>
      </c>
      <c r="AZ60">
        <f t="shared" si="27"/>
        <v>0.99</v>
      </c>
      <c r="BA60" s="6"/>
    </row>
    <row r="61" spans="1:53" x14ac:dyDescent="0.2">
      <c r="A61">
        <f t="shared" si="6"/>
        <v>4</v>
      </c>
      <c r="B61" s="3">
        <f t="shared" si="22"/>
        <v>8</v>
      </c>
      <c r="C61">
        <f t="shared" si="23"/>
        <v>0.99360000000000004</v>
      </c>
      <c r="D61">
        <f t="shared" si="23"/>
        <v>0.99360000000000004</v>
      </c>
      <c r="E61">
        <f t="shared" si="23"/>
        <v>0.99360000000000004</v>
      </c>
      <c r="F61">
        <f t="shared" si="23"/>
        <v>0.99360000000000004</v>
      </c>
      <c r="G61">
        <f t="shared" si="23"/>
        <v>0.99360000000000004</v>
      </c>
      <c r="H61">
        <f t="shared" si="23"/>
        <v>0.99360000000000004</v>
      </c>
      <c r="I61">
        <f t="shared" si="23"/>
        <v>0.99360000000000004</v>
      </c>
      <c r="J61">
        <f t="shared" si="23"/>
        <v>0.99360000000000004</v>
      </c>
      <c r="K61">
        <f t="shared" si="23"/>
        <v>0.99360000000000004</v>
      </c>
      <c r="L61">
        <f t="shared" si="23"/>
        <v>0.99360000000000004</v>
      </c>
      <c r="M61">
        <f t="shared" si="24"/>
        <v>0.99360000000000004</v>
      </c>
      <c r="N61">
        <f t="shared" si="24"/>
        <v>0.99360000000000004</v>
      </c>
      <c r="O61">
        <f t="shared" si="24"/>
        <v>0.99360000000000004</v>
      </c>
      <c r="P61">
        <f t="shared" si="24"/>
        <v>0.99360000000000004</v>
      </c>
      <c r="Q61">
        <f t="shared" si="24"/>
        <v>0.99360000000000004</v>
      </c>
      <c r="R61">
        <f t="shared" si="24"/>
        <v>0.99360000000000004</v>
      </c>
      <c r="S61">
        <f t="shared" si="24"/>
        <v>0.99360000000000004</v>
      </c>
      <c r="T61">
        <f t="shared" si="24"/>
        <v>0.99360000000000004</v>
      </c>
      <c r="U61">
        <f t="shared" si="24"/>
        <v>0.99360000000000004</v>
      </c>
      <c r="V61">
        <f t="shared" si="24"/>
        <v>0.99360000000000004</v>
      </c>
      <c r="W61">
        <f t="shared" si="25"/>
        <v>0.99360000000000004</v>
      </c>
      <c r="X61">
        <f t="shared" si="25"/>
        <v>0.99360000000000004</v>
      </c>
      <c r="Y61">
        <f t="shared" si="25"/>
        <v>0.99360000000000004</v>
      </c>
      <c r="Z61">
        <f t="shared" si="25"/>
        <v>0.99360000000000004</v>
      </c>
      <c r="AA61">
        <f t="shared" si="25"/>
        <v>0.99360000000000004</v>
      </c>
      <c r="AB61">
        <f t="shared" si="25"/>
        <v>0.99360000000000004</v>
      </c>
      <c r="AC61">
        <f t="shared" si="25"/>
        <v>0.99360000000000004</v>
      </c>
      <c r="AD61">
        <f t="shared" si="25"/>
        <v>0.99360000000000004</v>
      </c>
      <c r="AE61">
        <f t="shared" si="25"/>
        <v>0.99360000000000004</v>
      </c>
      <c r="AF61">
        <f t="shared" si="25"/>
        <v>0.99360000000000004</v>
      </c>
      <c r="AG61">
        <f t="shared" si="26"/>
        <v>0.99360000000000004</v>
      </c>
      <c r="AH61">
        <f t="shared" si="26"/>
        <v>0.99360000000000004</v>
      </c>
      <c r="AI61">
        <f t="shared" si="26"/>
        <v>0.99360000000000004</v>
      </c>
      <c r="AJ61">
        <f t="shared" si="26"/>
        <v>0.99360000000000004</v>
      </c>
      <c r="AK61">
        <f t="shared" si="26"/>
        <v>0.99360000000000004</v>
      </c>
      <c r="AL61">
        <f t="shared" si="26"/>
        <v>0.99360000000000004</v>
      </c>
      <c r="AM61">
        <f t="shared" si="26"/>
        <v>0.99360000000000004</v>
      </c>
      <c r="AN61">
        <f t="shared" si="26"/>
        <v>0.99360000000000004</v>
      </c>
      <c r="AO61">
        <f t="shared" si="26"/>
        <v>0.99360000000000004</v>
      </c>
      <c r="AP61">
        <f t="shared" si="26"/>
        <v>0.99360000000000004</v>
      </c>
      <c r="AQ61">
        <f t="shared" si="27"/>
        <v>0.99360000000000004</v>
      </c>
      <c r="AR61">
        <f t="shared" si="27"/>
        <v>0.99360000000000004</v>
      </c>
      <c r="AS61">
        <f t="shared" si="27"/>
        <v>0.99360000000000004</v>
      </c>
      <c r="AT61">
        <f t="shared" si="27"/>
        <v>0.99360000000000004</v>
      </c>
      <c r="AU61">
        <f t="shared" si="27"/>
        <v>0.99360000000000004</v>
      </c>
      <c r="AV61">
        <f t="shared" si="27"/>
        <v>0.99360000000000004</v>
      </c>
      <c r="AW61">
        <f t="shared" si="27"/>
        <v>0.99360000000000004</v>
      </c>
      <c r="AX61">
        <f t="shared" si="27"/>
        <v>0.99360000000000004</v>
      </c>
      <c r="AY61">
        <f t="shared" si="27"/>
        <v>0.99360000000000004</v>
      </c>
      <c r="AZ61">
        <f t="shared" si="27"/>
        <v>0.99360000000000004</v>
      </c>
      <c r="BA61" s="6"/>
    </row>
    <row r="62" spans="1:53" x14ac:dyDescent="0.2">
      <c r="A62">
        <f t="shared" si="6"/>
        <v>3</v>
      </c>
      <c r="B62" s="3">
        <f t="shared" si="22"/>
        <v>6</v>
      </c>
      <c r="C62">
        <f t="shared" si="23"/>
        <v>0.99639999999999995</v>
      </c>
      <c r="D62">
        <f t="shared" si="23"/>
        <v>0.99639999999999995</v>
      </c>
      <c r="E62">
        <f t="shared" si="23"/>
        <v>0.99639999999999995</v>
      </c>
      <c r="F62">
        <f t="shared" si="23"/>
        <v>0.99639999999999995</v>
      </c>
      <c r="G62">
        <f t="shared" si="23"/>
        <v>0.99639999999999995</v>
      </c>
      <c r="H62">
        <f t="shared" si="23"/>
        <v>0.99639999999999995</v>
      </c>
      <c r="I62">
        <f t="shared" si="23"/>
        <v>0.99639999999999995</v>
      </c>
      <c r="J62">
        <f t="shared" si="23"/>
        <v>0.99639999999999995</v>
      </c>
      <c r="K62">
        <f t="shared" si="23"/>
        <v>0.99639999999999995</v>
      </c>
      <c r="L62">
        <f t="shared" si="23"/>
        <v>0.99639999999999995</v>
      </c>
      <c r="M62">
        <f t="shared" si="24"/>
        <v>0.99639999999999995</v>
      </c>
      <c r="N62">
        <f t="shared" si="24"/>
        <v>0.99639999999999995</v>
      </c>
      <c r="O62">
        <f t="shared" si="24"/>
        <v>0.99639999999999995</v>
      </c>
      <c r="P62">
        <f t="shared" si="24"/>
        <v>0.99639999999999995</v>
      </c>
      <c r="Q62">
        <f t="shared" si="24"/>
        <v>0.99639999999999995</v>
      </c>
      <c r="R62">
        <f t="shared" si="24"/>
        <v>0.99639999999999995</v>
      </c>
      <c r="S62">
        <f t="shared" si="24"/>
        <v>0.99639999999999995</v>
      </c>
      <c r="T62">
        <f t="shared" si="24"/>
        <v>0.99639999999999995</v>
      </c>
      <c r="U62">
        <f t="shared" si="24"/>
        <v>0.99639999999999995</v>
      </c>
      <c r="V62">
        <f t="shared" si="24"/>
        <v>0.99639999999999995</v>
      </c>
      <c r="W62">
        <f t="shared" si="25"/>
        <v>0.99639999999999995</v>
      </c>
      <c r="X62">
        <f t="shared" si="25"/>
        <v>0.99639999999999995</v>
      </c>
      <c r="Y62">
        <f t="shared" si="25"/>
        <v>0.99639999999999995</v>
      </c>
      <c r="Z62">
        <f t="shared" si="25"/>
        <v>0.99639999999999995</v>
      </c>
      <c r="AA62">
        <f t="shared" si="25"/>
        <v>0.99639999999999995</v>
      </c>
      <c r="AB62">
        <f t="shared" si="25"/>
        <v>0.99639999999999995</v>
      </c>
      <c r="AC62">
        <f t="shared" si="25"/>
        <v>0.99639999999999995</v>
      </c>
      <c r="AD62">
        <f t="shared" si="25"/>
        <v>0.99639999999999995</v>
      </c>
      <c r="AE62">
        <f t="shared" si="25"/>
        <v>0.99639999999999995</v>
      </c>
      <c r="AF62">
        <f t="shared" si="25"/>
        <v>0.99639999999999995</v>
      </c>
      <c r="AG62">
        <f t="shared" si="26"/>
        <v>0.99639999999999995</v>
      </c>
      <c r="AH62">
        <f t="shared" si="26"/>
        <v>0.99639999999999995</v>
      </c>
      <c r="AI62">
        <f t="shared" si="26"/>
        <v>0.99639999999999995</v>
      </c>
      <c r="AJ62">
        <f t="shared" si="26"/>
        <v>0.99639999999999995</v>
      </c>
      <c r="AK62">
        <f t="shared" si="26"/>
        <v>0.99639999999999995</v>
      </c>
      <c r="AL62">
        <f t="shared" si="26"/>
        <v>0.99639999999999995</v>
      </c>
      <c r="AM62">
        <f t="shared" si="26"/>
        <v>0.99639999999999995</v>
      </c>
      <c r="AN62">
        <f t="shared" si="26"/>
        <v>0.99639999999999995</v>
      </c>
      <c r="AO62">
        <f t="shared" si="26"/>
        <v>0.99639999999999995</v>
      </c>
      <c r="AP62">
        <f t="shared" si="26"/>
        <v>0.99639999999999995</v>
      </c>
      <c r="AQ62">
        <f t="shared" si="27"/>
        <v>0.99639999999999995</v>
      </c>
      <c r="AR62">
        <f t="shared" si="27"/>
        <v>0.99639999999999995</v>
      </c>
      <c r="AS62">
        <f t="shared" si="27"/>
        <v>0.99639999999999995</v>
      </c>
      <c r="AT62">
        <f t="shared" si="27"/>
        <v>0.99639999999999995</v>
      </c>
      <c r="AU62">
        <f t="shared" si="27"/>
        <v>0.99639999999999995</v>
      </c>
      <c r="AV62">
        <f t="shared" si="27"/>
        <v>0.99639999999999995</v>
      </c>
      <c r="AW62">
        <f t="shared" si="27"/>
        <v>0.99639999999999995</v>
      </c>
      <c r="AX62">
        <f t="shared" si="27"/>
        <v>0.99639999999999995</v>
      </c>
      <c r="AY62">
        <f t="shared" si="27"/>
        <v>0.99639999999999995</v>
      </c>
      <c r="AZ62">
        <f t="shared" si="27"/>
        <v>0.99639999999999995</v>
      </c>
      <c r="BA62" s="6"/>
    </row>
    <row r="63" spans="1:53" x14ac:dyDescent="0.2">
      <c r="A63">
        <f t="shared" si="6"/>
        <v>2</v>
      </c>
      <c r="B63" s="3">
        <f t="shared" si="22"/>
        <v>4</v>
      </c>
      <c r="C63">
        <f t="shared" si="23"/>
        <v>0.99839999999999995</v>
      </c>
      <c r="D63">
        <f t="shared" si="23"/>
        <v>0.99839999999999995</v>
      </c>
      <c r="E63">
        <f t="shared" si="23"/>
        <v>0.99839999999999995</v>
      </c>
      <c r="F63">
        <f t="shared" si="23"/>
        <v>0.99839999999999995</v>
      </c>
      <c r="G63">
        <f t="shared" si="23"/>
        <v>0.99839999999999995</v>
      </c>
      <c r="H63">
        <f t="shared" si="23"/>
        <v>0.99839999999999995</v>
      </c>
      <c r="I63">
        <f t="shared" si="23"/>
        <v>0.99839999999999995</v>
      </c>
      <c r="J63">
        <f t="shared" si="23"/>
        <v>0.99839999999999995</v>
      </c>
      <c r="K63">
        <f t="shared" si="23"/>
        <v>0.99839999999999995</v>
      </c>
      <c r="L63">
        <f t="shared" si="23"/>
        <v>0.99839999999999995</v>
      </c>
      <c r="M63">
        <f t="shared" si="24"/>
        <v>0.99839999999999995</v>
      </c>
      <c r="N63">
        <f t="shared" si="24"/>
        <v>0.99839999999999995</v>
      </c>
      <c r="O63">
        <f t="shared" si="24"/>
        <v>0.99839999999999995</v>
      </c>
      <c r="P63">
        <f t="shared" si="24"/>
        <v>0.99839999999999995</v>
      </c>
      <c r="Q63">
        <f t="shared" si="24"/>
        <v>0.99839999999999995</v>
      </c>
      <c r="R63">
        <f t="shared" si="24"/>
        <v>0.99839999999999995</v>
      </c>
      <c r="S63">
        <f t="shared" si="24"/>
        <v>0.99839999999999995</v>
      </c>
      <c r="T63">
        <f t="shared" si="24"/>
        <v>0.99839999999999995</v>
      </c>
      <c r="U63">
        <f t="shared" si="24"/>
        <v>0.99839999999999995</v>
      </c>
      <c r="V63">
        <f t="shared" si="24"/>
        <v>0.99839999999999995</v>
      </c>
      <c r="W63">
        <f t="shared" si="25"/>
        <v>0.99839999999999995</v>
      </c>
      <c r="X63">
        <f t="shared" si="25"/>
        <v>0.99839999999999995</v>
      </c>
      <c r="Y63">
        <f t="shared" si="25"/>
        <v>0.99839999999999995</v>
      </c>
      <c r="Z63">
        <f t="shared" si="25"/>
        <v>0.99839999999999995</v>
      </c>
      <c r="AA63">
        <f t="shared" si="25"/>
        <v>0.99839999999999995</v>
      </c>
      <c r="AB63">
        <f t="shared" si="25"/>
        <v>0.99839999999999995</v>
      </c>
      <c r="AC63">
        <f t="shared" si="25"/>
        <v>0.99839999999999995</v>
      </c>
      <c r="AD63">
        <f t="shared" si="25"/>
        <v>0.99839999999999995</v>
      </c>
      <c r="AE63">
        <f t="shared" si="25"/>
        <v>0.99839999999999995</v>
      </c>
      <c r="AF63">
        <f t="shared" si="25"/>
        <v>0.99839999999999995</v>
      </c>
      <c r="AG63">
        <f t="shared" si="26"/>
        <v>0.99839999999999995</v>
      </c>
      <c r="AH63">
        <f t="shared" si="26"/>
        <v>0.99839999999999995</v>
      </c>
      <c r="AI63">
        <f t="shared" si="26"/>
        <v>0.99839999999999995</v>
      </c>
      <c r="AJ63">
        <f t="shared" si="26"/>
        <v>0.99839999999999995</v>
      </c>
      <c r="AK63">
        <f t="shared" si="26"/>
        <v>0.99839999999999995</v>
      </c>
      <c r="AL63">
        <f t="shared" si="26"/>
        <v>0.99839999999999995</v>
      </c>
      <c r="AM63">
        <f t="shared" si="26"/>
        <v>0.99839999999999995</v>
      </c>
      <c r="AN63">
        <f t="shared" si="26"/>
        <v>0.99839999999999995</v>
      </c>
      <c r="AO63">
        <f t="shared" si="26"/>
        <v>0.99839999999999995</v>
      </c>
      <c r="AP63">
        <f t="shared" si="26"/>
        <v>0.99839999999999995</v>
      </c>
      <c r="AQ63">
        <f t="shared" si="27"/>
        <v>0.99839999999999995</v>
      </c>
      <c r="AR63">
        <f t="shared" si="27"/>
        <v>0.99839999999999995</v>
      </c>
      <c r="AS63">
        <f t="shared" si="27"/>
        <v>0.99839999999999995</v>
      </c>
      <c r="AT63">
        <f t="shared" si="27"/>
        <v>0.99839999999999995</v>
      </c>
      <c r="AU63">
        <f t="shared" si="27"/>
        <v>0.99839999999999995</v>
      </c>
      <c r="AV63">
        <f t="shared" si="27"/>
        <v>0.99839999999999995</v>
      </c>
      <c r="AW63">
        <f t="shared" si="27"/>
        <v>0.99839999999999995</v>
      </c>
      <c r="AX63">
        <f t="shared" si="27"/>
        <v>0.99839999999999995</v>
      </c>
      <c r="AY63">
        <f t="shared" si="27"/>
        <v>0.99839999999999995</v>
      </c>
      <c r="AZ63">
        <f t="shared" si="27"/>
        <v>0.99839999999999995</v>
      </c>
      <c r="BA63" s="6"/>
    </row>
    <row r="64" spans="1:53" x14ac:dyDescent="0.2">
      <c r="A64">
        <f t="shared" si="6"/>
        <v>1</v>
      </c>
      <c r="B64" s="3">
        <f t="shared" si="22"/>
        <v>2</v>
      </c>
      <c r="C64">
        <f t="shared" si="23"/>
        <v>0.99960000000000004</v>
      </c>
      <c r="D64">
        <f t="shared" si="23"/>
        <v>0.99960000000000004</v>
      </c>
      <c r="E64">
        <f t="shared" si="23"/>
        <v>0.99960000000000004</v>
      </c>
      <c r="F64">
        <f t="shared" si="23"/>
        <v>0.99960000000000004</v>
      </c>
      <c r="G64">
        <f t="shared" si="23"/>
        <v>0.99960000000000004</v>
      </c>
      <c r="H64">
        <f t="shared" si="23"/>
        <v>0.99960000000000004</v>
      </c>
      <c r="I64">
        <f t="shared" si="23"/>
        <v>0.99960000000000004</v>
      </c>
      <c r="J64">
        <f t="shared" si="23"/>
        <v>0.99960000000000004</v>
      </c>
      <c r="K64">
        <f t="shared" si="23"/>
        <v>0.99960000000000004</v>
      </c>
      <c r="L64">
        <f t="shared" si="23"/>
        <v>0.99960000000000004</v>
      </c>
      <c r="M64">
        <f t="shared" si="24"/>
        <v>0.99960000000000004</v>
      </c>
      <c r="N64">
        <f t="shared" si="24"/>
        <v>0.99960000000000004</v>
      </c>
      <c r="O64">
        <f t="shared" si="24"/>
        <v>0.99960000000000004</v>
      </c>
      <c r="P64">
        <f t="shared" si="24"/>
        <v>0.99960000000000004</v>
      </c>
      <c r="Q64">
        <f t="shared" si="24"/>
        <v>0.99960000000000004</v>
      </c>
      <c r="R64">
        <f t="shared" si="24"/>
        <v>0.99960000000000004</v>
      </c>
      <c r="S64">
        <f t="shared" si="24"/>
        <v>0.99960000000000004</v>
      </c>
      <c r="T64">
        <f t="shared" si="24"/>
        <v>0.99960000000000004</v>
      </c>
      <c r="U64">
        <f t="shared" si="24"/>
        <v>0.99960000000000004</v>
      </c>
      <c r="V64">
        <f t="shared" si="24"/>
        <v>0.99960000000000004</v>
      </c>
      <c r="W64">
        <f t="shared" si="25"/>
        <v>0.99960000000000004</v>
      </c>
      <c r="X64">
        <f t="shared" si="25"/>
        <v>0.99960000000000004</v>
      </c>
      <c r="Y64">
        <f t="shared" si="25"/>
        <v>0.99960000000000004</v>
      </c>
      <c r="Z64">
        <f t="shared" si="25"/>
        <v>0.99960000000000004</v>
      </c>
      <c r="AA64">
        <f t="shared" si="25"/>
        <v>0.99960000000000004</v>
      </c>
      <c r="AB64">
        <f t="shared" si="25"/>
        <v>0.99960000000000004</v>
      </c>
      <c r="AC64">
        <f t="shared" si="25"/>
        <v>0.99960000000000004</v>
      </c>
      <c r="AD64">
        <f t="shared" si="25"/>
        <v>0.99960000000000004</v>
      </c>
      <c r="AE64">
        <f t="shared" si="25"/>
        <v>0.99960000000000004</v>
      </c>
      <c r="AF64">
        <f t="shared" si="25"/>
        <v>0.99960000000000004</v>
      </c>
      <c r="AG64">
        <f t="shared" si="26"/>
        <v>0.99960000000000004</v>
      </c>
      <c r="AH64">
        <f t="shared" si="26"/>
        <v>0.99960000000000004</v>
      </c>
      <c r="AI64">
        <f t="shared" si="26"/>
        <v>0.99960000000000004</v>
      </c>
      <c r="AJ64">
        <f t="shared" si="26"/>
        <v>0.99960000000000004</v>
      </c>
      <c r="AK64">
        <f t="shared" si="26"/>
        <v>0.99960000000000004</v>
      </c>
      <c r="AL64">
        <f t="shared" si="26"/>
        <v>0.99960000000000004</v>
      </c>
      <c r="AM64">
        <f t="shared" si="26"/>
        <v>0.99960000000000004</v>
      </c>
      <c r="AN64">
        <f t="shared" si="26"/>
        <v>0.99960000000000004</v>
      </c>
      <c r="AO64">
        <f t="shared" si="26"/>
        <v>0.99960000000000004</v>
      </c>
      <c r="AP64">
        <f t="shared" si="26"/>
        <v>0.99960000000000004</v>
      </c>
      <c r="AQ64">
        <f t="shared" si="27"/>
        <v>0.99960000000000004</v>
      </c>
      <c r="AR64">
        <f t="shared" si="27"/>
        <v>0.99960000000000004</v>
      </c>
      <c r="AS64">
        <f t="shared" si="27"/>
        <v>0.99960000000000004</v>
      </c>
      <c r="AT64">
        <f t="shared" si="27"/>
        <v>0.99960000000000004</v>
      </c>
      <c r="AU64">
        <f t="shared" si="27"/>
        <v>0.99960000000000004</v>
      </c>
      <c r="AV64">
        <f t="shared" si="27"/>
        <v>0.99960000000000004</v>
      </c>
      <c r="AW64">
        <f t="shared" si="27"/>
        <v>0.99960000000000004</v>
      </c>
      <c r="AX64">
        <f t="shared" si="27"/>
        <v>0.99960000000000004</v>
      </c>
      <c r="AY64">
        <f t="shared" si="27"/>
        <v>0.99960000000000004</v>
      </c>
      <c r="AZ64">
        <f t="shared" si="27"/>
        <v>0.99960000000000004</v>
      </c>
      <c r="BA64" s="6"/>
    </row>
    <row r="65" spans="1:53" x14ac:dyDescent="0.2">
      <c r="A65">
        <f t="shared" si="6"/>
        <v>0</v>
      </c>
      <c r="B65" s="3">
        <f t="shared" si="22"/>
        <v>0</v>
      </c>
      <c r="C65" s="2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</row>
    <row r="66" spans="1:53" x14ac:dyDescent="0.2">
      <c r="A66" s="1" t="s">
        <v>3</v>
      </c>
      <c r="B66" s="4">
        <v>0</v>
      </c>
      <c r="C66" s="1">
        <v>0</v>
      </c>
      <c r="D66" s="5">
        <f t="shared" ref="D66:AI66" si="28">D67*dt</f>
        <v>0.01</v>
      </c>
      <c r="E66" s="5">
        <f t="shared" si="28"/>
        <v>0.02</v>
      </c>
      <c r="F66" s="5">
        <f t="shared" si="28"/>
        <v>0.03</v>
      </c>
      <c r="G66" s="5">
        <f t="shared" si="28"/>
        <v>0.04</v>
      </c>
      <c r="H66" s="5">
        <f t="shared" si="28"/>
        <v>0.05</v>
      </c>
      <c r="I66" s="5">
        <f t="shared" si="28"/>
        <v>0.06</v>
      </c>
      <c r="J66" s="5">
        <f t="shared" si="28"/>
        <v>7.0000000000000007E-2</v>
      </c>
      <c r="K66" s="5">
        <f t="shared" si="28"/>
        <v>0.08</v>
      </c>
      <c r="L66" s="5">
        <f t="shared" si="28"/>
        <v>0.09</v>
      </c>
      <c r="M66" s="5">
        <f t="shared" si="28"/>
        <v>0.1</v>
      </c>
      <c r="N66" s="5">
        <f t="shared" si="28"/>
        <v>0.11</v>
      </c>
      <c r="O66" s="5">
        <f t="shared" si="28"/>
        <v>0.12</v>
      </c>
      <c r="P66" s="5">
        <f t="shared" si="28"/>
        <v>0.13</v>
      </c>
      <c r="Q66" s="5">
        <f t="shared" si="28"/>
        <v>0.14000000000000001</v>
      </c>
      <c r="R66" s="5">
        <f t="shared" si="28"/>
        <v>0.15</v>
      </c>
      <c r="S66" s="5">
        <f t="shared" si="28"/>
        <v>0.16</v>
      </c>
      <c r="T66" s="5">
        <f t="shared" si="28"/>
        <v>0.17</v>
      </c>
      <c r="U66" s="5">
        <f t="shared" si="28"/>
        <v>0.18</v>
      </c>
      <c r="V66" s="5">
        <f t="shared" si="28"/>
        <v>0.19</v>
      </c>
      <c r="W66" s="5">
        <f t="shared" si="28"/>
        <v>0.2</v>
      </c>
      <c r="X66" s="5">
        <f t="shared" si="28"/>
        <v>0.21</v>
      </c>
      <c r="Y66" s="5">
        <f t="shared" si="28"/>
        <v>0.22</v>
      </c>
      <c r="Z66" s="5">
        <f t="shared" si="28"/>
        <v>0.23</v>
      </c>
      <c r="AA66" s="5">
        <f t="shared" si="28"/>
        <v>0.24</v>
      </c>
      <c r="AB66" s="5">
        <f t="shared" si="28"/>
        <v>0.25</v>
      </c>
      <c r="AC66" s="5">
        <f t="shared" si="28"/>
        <v>0.26</v>
      </c>
      <c r="AD66" s="5">
        <f t="shared" si="28"/>
        <v>0.27</v>
      </c>
      <c r="AE66" s="5">
        <f t="shared" si="28"/>
        <v>0.28000000000000003</v>
      </c>
      <c r="AF66" s="5">
        <f t="shared" si="28"/>
        <v>0.28999999999999998</v>
      </c>
      <c r="AG66" s="5">
        <f t="shared" si="28"/>
        <v>0.3</v>
      </c>
      <c r="AH66" s="5">
        <f t="shared" si="28"/>
        <v>0.31</v>
      </c>
      <c r="AI66" s="5">
        <f t="shared" si="28"/>
        <v>0.32</v>
      </c>
      <c r="AJ66" s="5">
        <f t="shared" ref="AJ66:BA66" si="29">AJ67*dt</f>
        <v>0.33</v>
      </c>
      <c r="AK66" s="5">
        <f t="shared" si="29"/>
        <v>0.34</v>
      </c>
      <c r="AL66" s="5">
        <f t="shared" si="29"/>
        <v>0.35000000000000003</v>
      </c>
      <c r="AM66" s="5">
        <f t="shared" si="29"/>
        <v>0.36</v>
      </c>
      <c r="AN66" s="5">
        <f t="shared" si="29"/>
        <v>0.37</v>
      </c>
      <c r="AO66" s="5">
        <f t="shared" si="29"/>
        <v>0.38</v>
      </c>
      <c r="AP66" s="5">
        <f t="shared" si="29"/>
        <v>0.39</v>
      </c>
      <c r="AQ66" s="5">
        <f t="shared" si="29"/>
        <v>0.4</v>
      </c>
      <c r="AR66" s="5">
        <f t="shared" si="29"/>
        <v>0.41000000000000003</v>
      </c>
      <c r="AS66" s="5">
        <f t="shared" si="29"/>
        <v>0.42</v>
      </c>
      <c r="AT66" s="5">
        <f t="shared" si="29"/>
        <v>0.43</v>
      </c>
      <c r="AU66" s="5">
        <f t="shared" si="29"/>
        <v>0.44</v>
      </c>
      <c r="AV66" s="5">
        <f t="shared" si="29"/>
        <v>0.45</v>
      </c>
      <c r="AW66" s="5">
        <f t="shared" si="29"/>
        <v>0.46</v>
      </c>
      <c r="AX66" s="5">
        <f t="shared" si="29"/>
        <v>0.47000000000000003</v>
      </c>
      <c r="AY66" s="5">
        <f t="shared" si="29"/>
        <v>0.48</v>
      </c>
      <c r="AZ66" s="5">
        <f t="shared" si="29"/>
        <v>0.49</v>
      </c>
      <c r="BA66" s="5">
        <f t="shared" si="29"/>
        <v>0.5</v>
      </c>
    </row>
    <row r="67" spans="1:53" x14ac:dyDescent="0.2">
      <c r="A67" s="2" t="s">
        <v>4</v>
      </c>
      <c r="B67" s="3">
        <v>0</v>
      </c>
      <c r="C67" s="2">
        <v>0</v>
      </c>
      <c r="D67" s="2">
        <f>B67+1</f>
        <v>1</v>
      </c>
      <c r="E67" s="2">
        <f>D67+1</f>
        <v>2</v>
      </c>
      <c r="F67" s="2">
        <f>E67+1</f>
        <v>3</v>
      </c>
      <c r="G67" s="2">
        <f t="shared" ref="G67:BA67" si="30">F67+1</f>
        <v>4</v>
      </c>
      <c r="H67" s="2">
        <f t="shared" si="30"/>
        <v>5</v>
      </c>
      <c r="I67" s="2">
        <f t="shared" si="30"/>
        <v>6</v>
      </c>
      <c r="J67" s="2">
        <f t="shared" si="30"/>
        <v>7</v>
      </c>
      <c r="K67" s="2">
        <f t="shared" si="30"/>
        <v>8</v>
      </c>
      <c r="L67" s="2">
        <f t="shared" si="30"/>
        <v>9</v>
      </c>
      <c r="M67" s="2">
        <f t="shared" si="30"/>
        <v>10</v>
      </c>
      <c r="N67" s="2">
        <f t="shared" si="30"/>
        <v>11</v>
      </c>
      <c r="O67" s="2">
        <f t="shared" si="30"/>
        <v>12</v>
      </c>
      <c r="P67" s="2">
        <f t="shared" si="30"/>
        <v>13</v>
      </c>
      <c r="Q67" s="2">
        <f t="shared" si="30"/>
        <v>14</v>
      </c>
      <c r="R67" s="2">
        <f t="shared" si="30"/>
        <v>15</v>
      </c>
      <c r="S67" s="2">
        <f t="shared" si="30"/>
        <v>16</v>
      </c>
      <c r="T67" s="2">
        <f t="shared" si="30"/>
        <v>17</v>
      </c>
      <c r="U67" s="2">
        <f t="shared" si="30"/>
        <v>18</v>
      </c>
      <c r="V67" s="2">
        <f t="shared" si="30"/>
        <v>19</v>
      </c>
      <c r="W67" s="2">
        <f t="shared" si="30"/>
        <v>20</v>
      </c>
      <c r="X67" s="2">
        <f t="shared" si="30"/>
        <v>21</v>
      </c>
      <c r="Y67" s="2">
        <f t="shared" si="30"/>
        <v>22</v>
      </c>
      <c r="Z67" s="2">
        <f t="shared" si="30"/>
        <v>23</v>
      </c>
      <c r="AA67" s="2">
        <f t="shared" si="30"/>
        <v>24</v>
      </c>
      <c r="AB67" s="2">
        <f t="shared" si="30"/>
        <v>25</v>
      </c>
      <c r="AC67" s="2">
        <f t="shared" si="30"/>
        <v>26</v>
      </c>
      <c r="AD67" s="2">
        <f t="shared" si="30"/>
        <v>27</v>
      </c>
      <c r="AE67" s="2">
        <f t="shared" si="30"/>
        <v>28</v>
      </c>
      <c r="AF67" s="2">
        <f t="shared" si="30"/>
        <v>29</v>
      </c>
      <c r="AG67" s="2">
        <f t="shared" si="30"/>
        <v>30</v>
      </c>
      <c r="AH67" s="2">
        <f t="shared" si="30"/>
        <v>31</v>
      </c>
      <c r="AI67" s="2">
        <f t="shared" si="30"/>
        <v>32</v>
      </c>
      <c r="AJ67" s="2">
        <f t="shared" si="30"/>
        <v>33</v>
      </c>
      <c r="AK67" s="2">
        <f t="shared" si="30"/>
        <v>34</v>
      </c>
      <c r="AL67" s="2">
        <f t="shared" si="30"/>
        <v>35</v>
      </c>
      <c r="AM67" s="2">
        <f t="shared" si="30"/>
        <v>36</v>
      </c>
      <c r="AN67" s="2">
        <f t="shared" si="30"/>
        <v>37</v>
      </c>
      <c r="AO67" s="2">
        <f t="shared" si="30"/>
        <v>38</v>
      </c>
      <c r="AP67" s="2">
        <f t="shared" si="30"/>
        <v>39</v>
      </c>
      <c r="AQ67" s="2">
        <f t="shared" si="30"/>
        <v>40</v>
      </c>
      <c r="AR67" s="2">
        <f t="shared" si="30"/>
        <v>41</v>
      </c>
      <c r="AS67" s="2">
        <f t="shared" si="30"/>
        <v>42</v>
      </c>
      <c r="AT67" s="2">
        <f t="shared" si="30"/>
        <v>43</v>
      </c>
      <c r="AU67" s="2">
        <f t="shared" si="30"/>
        <v>44</v>
      </c>
      <c r="AV67" s="2">
        <f t="shared" si="30"/>
        <v>45</v>
      </c>
      <c r="AW67" s="2">
        <f t="shared" si="30"/>
        <v>46</v>
      </c>
      <c r="AX67" s="2">
        <f t="shared" si="30"/>
        <v>47</v>
      </c>
      <c r="AY67" s="2">
        <f t="shared" si="30"/>
        <v>48</v>
      </c>
      <c r="AZ67" s="2">
        <f t="shared" si="30"/>
        <v>49</v>
      </c>
      <c r="BA67" s="2">
        <f t="shared" si="30"/>
        <v>50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4:BA67"/>
  <sheetViews>
    <sheetView topLeftCell="AG12" workbookViewId="0">
      <selection activeCell="C16" sqref="C16:AZ64"/>
    </sheetView>
  </sheetViews>
  <sheetFormatPr defaultColWidth="8.85546875" defaultRowHeight="12.75" x14ac:dyDescent="0.2"/>
  <sheetData>
    <row r="14" spans="1:53" x14ac:dyDescent="0.2">
      <c r="A14" t="s">
        <v>12</v>
      </c>
      <c r="B14" t="s">
        <v>11</v>
      </c>
    </row>
    <row r="15" spans="1:53" x14ac:dyDescent="0.2">
      <c r="A15">
        <v>50</v>
      </c>
      <c r="B15" s="3">
        <f t="shared" ref="B15:B46" si="0">Smin+dS*A15</f>
        <v>100</v>
      </c>
      <c r="C15" s="2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</row>
    <row r="16" spans="1:53" x14ac:dyDescent="0.2">
      <c r="A16">
        <f>A15-1</f>
        <v>49</v>
      </c>
      <c r="B16" s="3">
        <f t="shared" si="0"/>
        <v>98</v>
      </c>
      <c r="C16">
        <f t="shared" ref="C16:L25" si="1">(0.5*sigma^2*$A16^2-0.5*(rate -d)*$A16)*dt</f>
        <v>0.4789750000000001</v>
      </c>
      <c r="D16">
        <f t="shared" si="1"/>
        <v>0.4789750000000001</v>
      </c>
      <c r="E16">
        <f t="shared" si="1"/>
        <v>0.4789750000000001</v>
      </c>
      <c r="F16">
        <f t="shared" si="1"/>
        <v>0.4789750000000001</v>
      </c>
      <c r="G16">
        <f t="shared" si="1"/>
        <v>0.4789750000000001</v>
      </c>
      <c r="H16">
        <f t="shared" si="1"/>
        <v>0.4789750000000001</v>
      </c>
      <c r="I16">
        <f t="shared" si="1"/>
        <v>0.4789750000000001</v>
      </c>
      <c r="J16">
        <f t="shared" si="1"/>
        <v>0.4789750000000001</v>
      </c>
      <c r="K16">
        <f t="shared" si="1"/>
        <v>0.4789750000000001</v>
      </c>
      <c r="L16">
        <f t="shared" si="1"/>
        <v>0.4789750000000001</v>
      </c>
      <c r="M16">
        <f t="shared" ref="M16:V25" si="2">(0.5*sigma^2*$A16^2-0.5*(rate -d)*$A16)*dt</f>
        <v>0.4789750000000001</v>
      </c>
      <c r="N16">
        <f t="shared" si="2"/>
        <v>0.4789750000000001</v>
      </c>
      <c r="O16">
        <f t="shared" si="2"/>
        <v>0.4789750000000001</v>
      </c>
      <c r="P16">
        <f t="shared" si="2"/>
        <v>0.4789750000000001</v>
      </c>
      <c r="Q16">
        <f t="shared" si="2"/>
        <v>0.4789750000000001</v>
      </c>
      <c r="R16">
        <f t="shared" si="2"/>
        <v>0.4789750000000001</v>
      </c>
      <c r="S16">
        <f t="shared" si="2"/>
        <v>0.4789750000000001</v>
      </c>
      <c r="T16">
        <f t="shared" si="2"/>
        <v>0.4789750000000001</v>
      </c>
      <c r="U16">
        <f t="shared" si="2"/>
        <v>0.4789750000000001</v>
      </c>
      <c r="V16">
        <f t="shared" si="2"/>
        <v>0.4789750000000001</v>
      </c>
      <c r="W16">
        <f t="shared" ref="W16:AF25" si="3">(0.5*sigma^2*$A16^2-0.5*(rate -d)*$A16)*dt</f>
        <v>0.4789750000000001</v>
      </c>
      <c r="X16">
        <f t="shared" si="3"/>
        <v>0.4789750000000001</v>
      </c>
      <c r="Y16">
        <f t="shared" si="3"/>
        <v>0.4789750000000001</v>
      </c>
      <c r="Z16">
        <f t="shared" si="3"/>
        <v>0.4789750000000001</v>
      </c>
      <c r="AA16">
        <f t="shared" si="3"/>
        <v>0.4789750000000001</v>
      </c>
      <c r="AB16">
        <f t="shared" si="3"/>
        <v>0.4789750000000001</v>
      </c>
      <c r="AC16">
        <f t="shared" si="3"/>
        <v>0.4789750000000001</v>
      </c>
      <c r="AD16">
        <f t="shared" si="3"/>
        <v>0.4789750000000001</v>
      </c>
      <c r="AE16">
        <f t="shared" si="3"/>
        <v>0.4789750000000001</v>
      </c>
      <c r="AF16">
        <f t="shared" si="3"/>
        <v>0.4789750000000001</v>
      </c>
      <c r="AG16">
        <f t="shared" ref="AG16:AP25" si="4">(0.5*sigma^2*$A16^2-0.5*(rate -d)*$A16)*dt</f>
        <v>0.4789750000000001</v>
      </c>
      <c r="AH16">
        <f t="shared" si="4"/>
        <v>0.4789750000000001</v>
      </c>
      <c r="AI16">
        <f t="shared" si="4"/>
        <v>0.4789750000000001</v>
      </c>
      <c r="AJ16">
        <f t="shared" si="4"/>
        <v>0.4789750000000001</v>
      </c>
      <c r="AK16">
        <f t="shared" si="4"/>
        <v>0.4789750000000001</v>
      </c>
      <c r="AL16">
        <f t="shared" si="4"/>
        <v>0.4789750000000001</v>
      </c>
      <c r="AM16">
        <f t="shared" si="4"/>
        <v>0.4789750000000001</v>
      </c>
      <c r="AN16">
        <f t="shared" si="4"/>
        <v>0.4789750000000001</v>
      </c>
      <c r="AO16">
        <f t="shared" si="4"/>
        <v>0.4789750000000001</v>
      </c>
      <c r="AP16">
        <f t="shared" si="4"/>
        <v>0.4789750000000001</v>
      </c>
      <c r="AQ16">
        <f t="shared" ref="AQ16:AZ25" si="5">(0.5*sigma^2*$A16^2-0.5*(rate -d)*$A16)*dt</f>
        <v>0.4789750000000001</v>
      </c>
      <c r="AR16">
        <f t="shared" si="5"/>
        <v>0.4789750000000001</v>
      </c>
      <c r="AS16">
        <f t="shared" si="5"/>
        <v>0.4789750000000001</v>
      </c>
      <c r="AT16">
        <f t="shared" si="5"/>
        <v>0.4789750000000001</v>
      </c>
      <c r="AU16">
        <f t="shared" si="5"/>
        <v>0.4789750000000001</v>
      </c>
      <c r="AV16">
        <f t="shared" si="5"/>
        <v>0.4789750000000001</v>
      </c>
      <c r="AW16">
        <f t="shared" si="5"/>
        <v>0.4789750000000001</v>
      </c>
      <c r="AX16">
        <f t="shared" si="5"/>
        <v>0.4789750000000001</v>
      </c>
      <c r="AY16">
        <f t="shared" si="5"/>
        <v>0.4789750000000001</v>
      </c>
      <c r="AZ16">
        <f t="shared" si="5"/>
        <v>0.4789750000000001</v>
      </c>
      <c r="BA16" s="6"/>
    </row>
    <row r="17" spans="1:53" x14ac:dyDescent="0.2">
      <c r="A17">
        <f t="shared" ref="A17:A65" si="6">A16-1</f>
        <v>48</v>
      </c>
      <c r="B17" s="3">
        <f t="shared" si="0"/>
        <v>96</v>
      </c>
      <c r="C17">
        <f t="shared" si="1"/>
        <v>0.45960000000000018</v>
      </c>
      <c r="D17">
        <f t="shared" si="1"/>
        <v>0.45960000000000018</v>
      </c>
      <c r="E17">
        <f t="shared" si="1"/>
        <v>0.45960000000000018</v>
      </c>
      <c r="F17">
        <f t="shared" si="1"/>
        <v>0.45960000000000018</v>
      </c>
      <c r="G17">
        <f t="shared" si="1"/>
        <v>0.45960000000000018</v>
      </c>
      <c r="H17">
        <f t="shared" si="1"/>
        <v>0.45960000000000018</v>
      </c>
      <c r="I17">
        <f t="shared" si="1"/>
        <v>0.45960000000000018</v>
      </c>
      <c r="J17">
        <f t="shared" si="1"/>
        <v>0.45960000000000018</v>
      </c>
      <c r="K17">
        <f t="shared" si="1"/>
        <v>0.45960000000000018</v>
      </c>
      <c r="L17">
        <f t="shared" si="1"/>
        <v>0.45960000000000018</v>
      </c>
      <c r="M17">
        <f t="shared" si="2"/>
        <v>0.45960000000000018</v>
      </c>
      <c r="N17">
        <f t="shared" si="2"/>
        <v>0.45960000000000018</v>
      </c>
      <c r="O17">
        <f t="shared" si="2"/>
        <v>0.45960000000000018</v>
      </c>
      <c r="P17">
        <f t="shared" si="2"/>
        <v>0.45960000000000018</v>
      </c>
      <c r="Q17">
        <f t="shared" si="2"/>
        <v>0.45960000000000018</v>
      </c>
      <c r="R17">
        <f t="shared" si="2"/>
        <v>0.45960000000000018</v>
      </c>
      <c r="S17">
        <f t="shared" si="2"/>
        <v>0.45960000000000018</v>
      </c>
      <c r="T17">
        <f t="shared" si="2"/>
        <v>0.45960000000000018</v>
      </c>
      <c r="U17">
        <f t="shared" si="2"/>
        <v>0.45960000000000018</v>
      </c>
      <c r="V17">
        <f t="shared" si="2"/>
        <v>0.45960000000000018</v>
      </c>
      <c r="W17">
        <f t="shared" si="3"/>
        <v>0.45960000000000018</v>
      </c>
      <c r="X17">
        <f t="shared" si="3"/>
        <v>0.45960000000000018</v>
      </c>
      <c r="Y17">
        <f t="shared" si="3"/>
        <v>0.45960000000000018</v>
      </c>
      <c r="Z17">
        <f t="shared" si="3"/>
        <v>0.45960000000000018</v>
      </c>
      <c r="AA17">
        <f t="shared" si="3"/>
        <v>0.45960000000000018</v>
      </c>
      <c r="AB17">
        <f t="shared" si="3"/>
        <v>0.45960000000000018</v>
      </c>
      <c r="AC17">
        <f t="shared" si="3"/>
        <v>0.45960000000000018</v>
      </c>
      <c r="AD17">
        <f t="shared" si="3"/>
        <v>0.45960000000000018</v>
      </c>
      <c r="AE17">
        <f t="shared" si="3"/>
        <v>0.45960000000000018</v>
      </c>
      <c r="AF17">
        <f t="shared" si="3"/>
        <v>0.45960000000000018</v>
      </c>
      <c r="AG17">
        <f t="shared" si="4"/>
        <v>0.45960000000000018</v>
      </c>
      <c r="AH17">
        <f t="shared" si="4"/>
        <v>0.45960000000000018</v>
      </c>
      <c r="AI17">
        <f t="shared" si="4"/>
        <v>0.45960000000000018</v>
      </c>
      <c r="AJ17">
        <f t="shared" si="4"/>
        <v>0.45960000000000018</v>
      </c>
      <c r="AK17">
        <f t="shared" si="4"/>
        <v>0.45960000000000018</v>
      </c>
      <c r="AL17">
        <f t="shared" si="4"/>
        <v>0.45960000000000018</v>
      </c>
      <c r="AM17">
        <f t="shared" si="4"/>
        <v>0.45960000000000018</v>
      </c>
      <c r="AN17">
        <f t="shared" si="4"/>
        <v>0.45960000000000018</v>
      </c>
      <c r="AO17">
        <f t="shared" si="4"/>
        <v>0.45960000000000018</v>
      </c>
      <c r="AP17">
        <f t="shared" si="4"/>
        <v>0.45960000000000018</v>
      </c>
      <c r="AQ17">
        <f t="shared" si="5"/>
        <v>0.45960000000000018</v>
      </c>
      <c r="AR17">
        <f t="shared" si="5"/>
        <v>0.45960000000000018</v>
      </c>
      <c r="AS17">
        <f t="shared" si="5"/>
        <v>0.45960000000000018</v>
      </c>
      <c r="AT17">
        <f t="shared" si="5"/>
        <v>0.45960000000000018</v>
      </c>
      <c r="AU17">
        <f t="shared" si="5"/>
        <v>0.45960000000000018</v>
      </c>
      <c r="AV17">
        <f t="shared" si="5"/>
        <v>0.45960000000000018</v>
      </c>
      <c r="AW17">
        <f t="shared" si="5"/>
        <v>0.45960000000000018</v>
      </c>
      <c r="AX17">
        <f t="shared" si="5"/>
        <v>0.45960000000000018</v>
      </c>
      <c r="AY17">
        <f t="shared" si="5"/>
        <v>0.45960000000000018</v>
      </c>
      <c r="AZ17">
        <f t="shared" si="5"/>
        <v>0.45960000000000018</v>
      </c>
      <c r="BA17" s="6"/>
    </row>
    <row r="18" spans="1:53" x14ac:dyDescent="0.2">
      <c r="A18">
        <f t="shared" si="6"/>
        <v>47</v>
      </c>
      <c r="B18" s="3">
        <f t="shared" si="0"/>
        <v>94</v>
      </c>
      <c r="C18">
        <f t="shared" si="1"/>
        <v>0.4406250000000001</v>
      </c>
      <c r="D18">
        <f t="shared" si="1"/>
        <v>0.4406250000000001</v>
      </c>
      <c r="E18">
        <f t="shared" si="1"/>
        <v>0.4406250000000001</v>
      </c>
      <c r="F18">
        <f t="shared" si="1"/>
        <v>0.4406250000000001</v>
      </c>
      <c r="G18">
        <f t="shared" si="1"/>
        <v>0.4406250000000001</v>
      </c>
      <c r="H18">
        <f t="shared" si="1"/>
        <v>0.4406250000000001</v>
      </c>
      <c r="I18">
        <f t="shared" si="1"/>
        <v>0.4406250000000001</v>
      </c>
      <c r="J18">
        <f t="shared" si="1"/>
        <v>0.4406250000000001</v>
      </c>
      <c r="K18">
        <f t="shared" si="1"/>
        <v>0.4406250000000001</v>
      </c>
      <c r="L18">
        <f t="shared" si="1"/>
        <v>0.4406250000000001</v>
      </c>
      <c r="M18">
        <f t="shared" si="2"/>
        <v>0.4406250000000001</v>
      </c>
      <c r="N18">
        <f t="shared" si="2"/>
        <v>0.4406250000000001</v>
      </c>
      <c r="O18">
        <f t="shared" si="2"/>
        <v>0.4406250000000001</v>
      </c>
      <c r="P18">
        <f t="shared" si="2"/>
        <v>0.4406250000000001</v>
      </c>
      <c r="Q18">
        <f t="shared" si="2"/>
        <v>0.4406250000000001</v>
      </c>
      <c r="R18">
        <f t="shared" si="2"/>
        <v>0.4406250000000001</v>
      </c>
      <c r="S18">
        <f t="shared" si="2"/>
        <v>0.4406250000000001</v>
      </c>
      <c r="T18">
        <f t="shared" si="2"/>
        <v>0.4406250000000001</v>
      </c>
      <c r="U18">
        <f t="shared" si="2"/>
        <v>0.4406250000000001</v>
      </c>
      <c r="V18">
        <f t="shared" si="2"/>
        <v>0.4406250000000001</v>
      </c>
      <c r="W18">
        <f t="shared" si="3"/>
        <v>0.4406250000000001</v>
      </c>
      <c r="X18">
        <f t="shared" si="3"/>
        <v>0.4406250000000001</v>
      </c>
      <c r="Y18">
        <f t="shared" si="3"/>
        <v>0.4406250000000001</v>
      </c>
      <c r="Z18">
        <f t="shared" si="3"/>
        <v>0.4406250000000001</v>
      </c>
      <c r="AA18">
        <f t="shared" si="3"/>
        <v>0.4406250000000001</v>
      </c>
      <c r="AB18">
        <f t="shared" si="3"/>
        <v>0.4406250000000001</v>
      </c>
      <c r="AC18">
        <f t="shared" si="3"/>
        <v>0.4406250000000001</v>
      </c>
      <c r="AD18">
        <f t="shared" si="3"/>
        <v>0.4406250000000001</v>
      </c>
      <c r="AE18">
        <f t="shared" si="3"/>
        <v>0.4406250000000001</v>
      </c>
      <c r="AF18">
        <f t="shared" si="3"/>
        <v>0.4406250000000001</v>
      </c>
      <c r="AG18">
        <f t="shared" si="4"/>
        <v>0.4406250000000001</v>
      </c>
      <c r="AH18">
        <f t="shared" si="4"/>
        <v>0.4406250000000001</v>
      </c>
      <c r="AI18">
        <f t="shared" si="4"/>
        <v>0.4406250000000001</v>
      </c>
      <c r="AJ18">
        <f t="shared" si="4"/>
        <v>0.4406250000000001</v>
      </c>
      <c r="AK18">
        <f t="shared" si="4"/>
        <v>0.4406250000000001</v>
      </c>
      <c r="AL18">
        <f t="shared" si="4"/>
        <v>0.4406250000000001</v>
      </c>
      <c r="AM18">
        <f t="shared" si="4"/>
        <v>0.4406250000000001</v>
      </c>
      <c r="AN18">
        <f t="shared" si="4"/>
        <v>0.4406250000000001</v>
      </c>
      <c r="AO18">
        <f t="shared" si="4"/>
        <v>0.4406250000000001</v>
      </c>
      <c r="AP18">
        <f t="shared" si="4"/>
        <v>0.4406250000000001</v>
      </c>
      <c r="AQ18">
        <f t="shared" si="5"/>
        <v>0.4406250000000001</v>
      </c>
      <c r="AR18">
        <f t="shared" si="5"/>
        <v>0.4406250000000001</v>
      </c>
      <c r="AS18">
        <f t="shared" si="5"/>
        <v>0.4406250000000001</v>
      </c>
      <c r="AT18">
        <f t="shared" si="5"/>
        <v>0.4406250000000001</v>
      </c>
      <c r="AU18">
        <f t="shared" si="5"/>
        <v>0.4406250000000001</v>
      </c>
      <c r="AV18">
        <f t="shared" si="5"/>
        <v>0.4406250000000001</v>
      </c>
      <c r="AW18">
        <f t="shared" si="5"/>
        <v>0.4406250000000001</v>
      </c>
      <c r="AX18">
        <f t="shared" si="5"/>
        <v>0.4406250000000001</v>
      </c>
      <c r="AY18">
        <f t="shared" si="5"/>
        <v>0.4406250000000001</v>
      </c>
      <c r="AZ18">
        <f t="shared" si="5"/>
        <v>0.4406250000000001</v>
      </c>
      <c r="BA18" s="6"/>
    </row>
    <row r="19" spans="1:53" x14ac:dyDescent="0.2">
      <c r="A19">
        <f t="shared" si="6"/>
        <v>46</v>
      </c>
      <c r="B19" s="3">
        <f t="shared" si="0"/>
        <v>92</v>
      </c>
      <c r="C19">
        <f t="shared" si="1"/>
        <v>0.42205000000000004</v>
      </c>
      <c r="D19">
        <f t="shared" si="1"/>
        <v>0.42205000000000004</v>
      </c>
      <c r="E19">
        <f t="shared" si="1"/>
        <v>0.42205000000000004</v>
      </c>
      <c r="F19">
        <f t="shared" si="1"/>
        <v>0.42205000000000004</v>
      </c>
      <c r="G19">
        <f t="shared" si="1"/>
        <v>0.42205000000000004</v>
      </c>
      <c r="H19">
        <f t="shared" si="1"/>
        <v>0.42205000000000004</v>
      </c>
      <c r="I19">
        <f t="shared" si="1"/>
        <v>0.42205000000000004</v>
      </c>
      <c r="J19">
        <f t="shared" si="1"/>
        <v>0.42205000000000004</v>
      </c>
      <c r="K19">
        <f t="shared" si="1"/>
        <v>0.42205000000000004</v>
      </c>
      <c r="L19">
        <f t="shared" si="1"/>
        <v>0.42205000000000004</v>
      </c>
      <c r="M19">
        <f t="shared" si="2"/>
        <v>0.42205000000000004</v>
      </c>
      <c r="N19">
        <f t="shared" si="2"/>
        <v>0.42205000000000004</v>
      </c>
      <c r="O19">
        <f t="shared" si="2"/>
        <v>0.42205000000000004</v>
      </c>
      <c r="P19">
        <f t="shared" si="2"/>
        <v>0.42205000000000004</v>
      </c>
      <c r="Q19">
        <f t="shared" si="2"/>
        <v>0.42205000000000004</v>
      </c>
      <c r="R19">
        <f t="shared" si="2"/>
        <v>0.42205000000000004</v>
      </c>
      <c r="S19">
        <f t="shared" si="2"/>
        <v>0.42205000000000004</v>
      </c>
      <c r="T19">
        <f t="shared" si="2"/>
        <v>0.42205000000000004</v>
      </c>
      <c r="U19">
        <f t="shared" si="2"/>
        <v>0.42205000000000004</v>
      </c>
      <c r="V19">
        <f t="shared" si="2"/>
        <v>0.42205000000000004</v>
      </c>
      <c r="W19">
        <f t="shared" si="3"/>
        <v>0.42205000000000004</v>
      </c>
      <c r="X19">
        <f t="shared" si="3"/>
        <v>0.42205000000000004</v>
      </c>
      <c r="Y19">
        <f t="shared" si="3"/>
        <v>0.42205000000000004</v>
      </c>
      <c r="Z19">
        <f t="shared" si="3"/>
        <v>0.42205000000000004</v>
      </c>
      <c r="AA19">
        <f t="shared" si="3"/>
        <v>0.42205000000000004</v>
      </c>
      <c r="AB19">
        <f t="shared" si="3"/>
        <v>0.42205000000000004</v>
      </c>
      <c r="AC19">
        <f t="shared" si="3"/>
        <v>0.42205000000000004</v>
      </c>
      <c r="AD19">
        <f t="shared" si="3"/>
        <v>0.42205000000000004</v>
      </c>
      <c r="AE19">
        <f t="shared" si="3"/>
        <v>0.42205000000000004</v>
      </c>
      <c r="AF19">
        <f t="shared" si="3"/>
        <v>0.42205000000000004</v>
      </c>
      <c r="AG19">
        <f t="shared" si="4"/>
        <v>0.42205000000000004</v>
      </c>
      <c r="AH19">
        <f t="shared" si="4"/>
        <v>0.42205000000000004</v>
      </c>
      <c r="AI19">
        <f t="shared" si="4"/>
        <v>0.42205000000000004</v>
      </c>
      <c r="AJ19">
        <f t="shared" si="4"/>
        <v>0.42205000000000004</v>
      </c>
      <c r="AK19">
        <f t="shared" si="4"/>
        <v>0.42205000000000004</v>
      </c>
      <c r="AL19">
        <f t="shared" si="4"/>
        <v>0.42205000000000004</v>
      </c>
      <c r="AM19">
        <f t="shared" si="4"/>
        <v>0.42205000000000004</v>
      </c>
      <c r="AN19">
        <f t="shared" si="4"/>
        <v>0.42205000000000004</v>
      </c>
      <c r="AO19">
        <f t="shared" si="4"/>
        <v>0.42205000000000004</v>
      </c>
      <c r="AP19">
        <f t="shared" si="4"/>
        <v>0.42205000000000004</v>
      </c>
      <c r="AQ19">
        <f t="shared" si="5"/>
        <v>0.42205000000000004</v>
      </c>
      <c r="AR19">
        <f t="shared" si="5"/>
        <v>0.42205000000000004</v>
      </c>
      <c r="AS19">
        <f t="shared" si="5"/>
        <v>0.42205000000000004</v>
      </c>
      <c r="AT19">
        <f t="shared" si="5"/>
        <v>0.42205000000000004</v>
      </c>
      <c r="AU19">
        <f t="shared" si="5"/>
        <v>0.42205000000000004</v>
      </c>
      <c r="AV19">
        <f t="shared" si="5"/>
        <v>0.42205000000000004</v>
      </c>
      <c r="AW19">
        <f t="shared" si="5"/>
        <v>0.42205000000000004</v>
      </c>
      <c r="AX19">
        <f t="shared" si="5"/>
        <v>0.42205000000000004</v>
      </c>
      <c r="AY19">
        <f t="shared" si="5"/>
        <v>0.42205000000000004</v>
      </c>
      <c r="AZ19">
        <f t="shared" si="5"/>
        <v>0.42205000000000004</v>
      </c>
      <c r="BA19" s="6"/>
    </row>
    <row r="20" spans="1:53" x14ac:dyDescent="0.2">
      <c r="A20">
        <f t="shared" si="6"/>
        <v>45</v>
      </c>
      <c r="B20" s="3">
        <f t="shared" si="0"/>
        <v>90</v>
      </c>
      <c r="C20">
        <f t="shared" si="1"/>
        <v>0.4038750000000001</v>
      </c>
      <c r="D20">
        <f t="shared" si="1"/>
        <v>0.4038750000000001</v>
      </c>
      <c r="E20">
        <f t="shared" si="1"/>
        <v>0.4038750000000001</v>
      </c>
      <c r="F20">
        <f t="shared" si="1"/>
        <v>0.4038750000000001</v>
      </c>
      <c r="G20">
        <f t="shared" si="1"/>
        <v>0.4038750000000001</v>
      </c>
      <c r="H20">
        <f t="shared" si="1"/>
        <v>0.4038750000000001</v>
      </c>
      <c r="I20">
        <f t="shared" si="1"/>
        <v>0.4038750000000001</v>
      </c>
      <c r="J20">
        <f t="shared" si="1"/>
        <v>0.4038750000000001</v>
      </c>
      <c r="K20">
        <f t="shared" si="1"/>
        <v>0.4038750000000001</v>
      </c>
      <c r="L20">
        <f t="shared" si="1"/>
        <v>0.4038750000000001</v>
      </c>
      <c r="M20">
        <f t="shared" si="2"/>
        <v>0.4038750000000001</v>
      </c>
      <c r="N20">
        <f t="shared" si="2"/>
        <v>0.4038750000000001</v>
      </c>
      <c r="O20">
        <f t="shared" si="2"/>
        <v>0.4038750000000001</v>
      </c>
      <c r="P20">
        <f t="shared" si="2"/>
        <v>0.4038750000000001</v>
      </c>
      <c r="Q20">
        <f t="shared" si="2"/>
        <v>0.4038750000000001</v>
      </c>
      <c r="R20">
        <f t="shared" si="2"/>
        <v>0.4038750000000001</v>
      </c>
      <c r="S20">
        <f t="shared" si="2"/>
        <v>0.4038750000000001</v>
      </c>
      <c r="T20">
        <f t="shared" si="2"/>
        <v>0.4038750000000001</v>
      </c>
      <c r="U20">
        <f t="shared" si="2"/>
        <v>0.4038750000000001</v>
      </c>
      <c r="V20">
        <f t="shared" si="2"/>
        <v>0.4038750000000001</v>
      </c>
      <c r="W20">
        <f t="shared" si="3"/>
        <v>0.4038750000000001</v>
      </c>
      <c r="X20">
        <f t="shared" si="3"/>
        <v>0.4038750000000001</v>
      </c>
      <c r="Y20">
        <f t="shared" si="3"/>
        <v>0.4038750000000001</v>
      </c>
      <c r="Z20">
        <f t="shared" si="3"/>
        <v>0.4038750000000001</v>
      </c>
      <c r="AA20">
        <f t="shared" si="3"/>
        <v>0.4038750000000001</v>
      </c>
      <c r="AB20">
        <f t="shared" si="3"/>
        <v>0.4038750000000001</v>
      </c>
      <c r="AC20">
        <f t="shared" si="3"/>
        <v>0.4038750000000001</v>
      </c>
      <c r="AD20">
        <f t="shared" si="3"/>
        <v>0.4038750000000001</v>
      </c>
      <c r="AE20">
        <f t="shared" si="3"/>
        <v>0.4038750000000001</v>
      </c>
      <c r="AF20">
        <f t="shared" si="3"/>
        <v>0.4038750000000001</v>
      </c>
      <c r="AG20">
        <f t="shared" si="4"/>
        <v>0.4038750000000001</v>
      </c>
      <c r="AH20">
        <f t="shared" si="4"/>
        <v>0.4038750000000001</v>
      </c>
      <c r="AI20">
        <f t="shared" si="4"/>
        <v>0.4038750000000001</v>
      </c>
      <c r="AJ20">
        <f t="shared" si="4"/>
        <v>0.4038750000000001</v>
      </c>
      <c r="AK20">
        <f t="shared" si="4"/>
        <v>0.4038750000000001</v>
      </c>
      <c r="AL20">
        <f t="shared" si="4"/>
        <v>0.4038750000000001</v>
      </c>
      <c r="AM20">
        <f t="shared" si="4"/>
        <v>0.4038750000000001</v>
      </c>
      <c r="AN20">
        <f t="shared" si="4"/>
        <v>0.4038750000000001</v>
      </c>
      <c r="AO20">
        <f t="shared" si="4"/>
        <v>0.4038750000000001</v>
      </c>
      <c r="AP20">
        <f t="shared" si="4"/>
        <v>0.4038750000000001</v>
      </c>
      <c r="AQ20">
        <f t="shared" si="5"/>
        <v>0.4038750000000001</v>
      </c>
      <c r="AR20">
        <f t="shared" si="5"/>
        <v>0.4038750000000001</v>
      </c>
      <c r="AS20">
        <f t="shared" si="5"/>
        <v>0.4038750000000001</v>
      </c>
      <c r="AT20">
        <f t="shared" si="5"/>
        <v>0.4038750000000001</v>
      </c>
      <c r="AU20">
        <f t="shared" si="5"/>
        <v>0.4038750000000001</v>
      </c>
      <c r="AV20">
        <f t="shared" si="5"/>
        <v>0.4038750000000001</v>
      </c>
      <c r="AW20">
        <f t="shared" si="5"/>
        <v>0.4038750000000001</v>
      </c>
      <c r="AX20">
        <f t="shared" si="5"/>
        <v>0.4038750000000001</v>
      </c>
      <c r="AY20">
        <f t="shared" si="5"/>
        <v>0.4038750000000001</v>
      </c>
      <c r="AZ20">
        <f t="shared" si="5"/>
        <v>0.4038750000000001</v>
      </c>
      <c r="BA20" s="6"/>
    </row>
    <row r="21" spans="1:53" x14ac:dyDescent="0.2">
      <c r="A21">
        <f t="shared" si="6"/>
        <v>44</v>
      </c>
      <c r="B21" s="3">
        <f t="shared" si="0"/>
        <v>88</v>
      </c>
      <c r="C21">
        <f t="shared" si="1"/>
        <v>0.38610000000000005</v>
      </c>
      <c r="D21">
        <f t="shared" si="1"/>
        <v>0.38610000000000005</v>
      </c>
      <c r="E21">
        <f t="shared" si="1"/>
        <v>0.38610000000000005</v>
      </c>
      <c r="F21">
        <f t="shared" si="1"/>
        <v>0.38610000000000005</v>
      </c>
      <c r="G21">
        <f t="shared" si="1"/>
        <v>0.38610000000000005</v>
      </c>
      <c r="H21">
        <f t="shared" si="1"/>
        <v>0.38610000000000005</v>
      </c>
      <c r="I21">
        <f t="shared" si="1"/>
        <v>0.38610000000000005</v>
      </c>
      <c r="J21">
        <f t="shared" si="1"/>
        <v>0.38610000000000005</v>
      </c>
      <c r="K21">
        <f t="shared" si="1"/>
        <v>0.38610000000000005</v>
      </c>
      <c r="L21">
        <f t="shared" si="1"/>
        <v>0.38610000000000005</v>
      </c>
      <c r="M21">
        <f t="shared" si="2"/>
        <v>0.38610000000000005</v>
      </c>
      <c r="N21">
        <f t="shared" si="2"/>
        <v>0.38610000000000005</v>
      </c>
      <c r="O21">
        <f t="shared" si="2"/>
        <v>0.38610000000000005</v>
      </c>
      <c r="P21">
        <f t="shared" si="2"/>
        <v>0.38610000000000005</v>
      </c>
      <c r="Q21">
        <f t="shared" si="2"/>
        <v>0.38610000000000005</v>
      </c>
      <c r="R21">
        <f t="shared" si="2"/>
        <v>0.38610000000000005</v>
      </c>
      <c r="S21">
        <f t="shared" si="2"/>
        <v>0.38610000000000005</v>
      </c>
      <c r="T21">
        <f t="shared" si="2"/>
        <v>0.38610000000000005</v>
      </c>
      <c r="U21">
        <f t="shared" si="2"/>
        <v>0.38610000000000005</v>
      </c>
      <c r="V21">
        <f t="shared" si="2"/>
        <v>0.38610000000000005</v>
      </c>
      <c r="W21">
        <f t="shared" si="3"/>
        <v>0.38610000000000005</v>
      </c>
      <c r="X21">
        <f t="shared" si="3"/>
        <v>0.38610000000000005</v>
      </c>
      <c r="Y21">
        <f t="shared" si="3"/>
        <v>0.38610000000000005</v>
      </c>
      <c r="Z21">
        <f t="shared" si="3"/>
        <v>0.38610000000000005</v>
      </c>
      <c r="AA21">
        <f t="shared" si="3"/>
        <v>0.38610000000000005</v>
      </c>
      <c r="AB21">
        <f t="shared" si="3"/>
        <v>0.38610000000000005</v>
      </c>
      <c r="AC21">
        <f t="shared" si="3"/>
        <v>0.38610000000000005</v>
      </c>
      <c r="AD21">
        <f t="shared" si="3"/>
        <v>0.38610000000000005</v>
      </c>
      <c r="AE21">
        <f t="shared" si="3"/>
        <v>0.38610000000000005</v>
      </c>
      <c r="AF21">
        <f t="shared" si="3"/>
        <v>0.38610000000000005</v>
      </c>
      <c r="AG21">
        <f t="shared" si="4"/>
        <v>0.38610000000000005</v>
      </c>
      <c r="AH21">
        <f t="shared" si="4"/>
        <v>0.38610000000000005</v>
      </c>
      <c r="AI21">
        <f t="shared" si="4"/>
        <v>0.38610000000000005</v>
      </c>
      <c r="AJ21">
        <f t="shared" si="4"/>
        <v>0.38610000000000005</v>
      </c>
      <c r="AK21">
        <f t="shared" si="4"/>
        <v>0.38610000000000005</v>
      </c>
      <c r="AL21">
        <f t="shared" si="4"/>
        <v>0.38610000000000005</v>
      </c>
      <c r="AM21">
        <f t="shared" si="4"/>
        <v>0.38610000000000005</v>
      </c>
      <c r="AN21">
        <f t="shared" si="4"/>
        <v>0.38610000000000005</v>
      </c>
      <c r="AO21">
        <f t="shared" si="4"/>
        <v>0.38610000000000005</v>
      </c>
      <c r="AP21">
        <f t="shared" si="4"/>
        <v>0.38610000000000005</v>
      </c>
      <c r="AQ21">
        <f t="shared" si="5"/>
        <v>0.38610000000000005</v>
      </c>
      <c r="AR21">
        <f t="shared" si="5"/>
        <v>0.38610000000000005</v>
      </c>
      <c r="AS21">
        <f t="shared" si="5"/>
        <v>0.38610000000000005</v>
      </c>
      <c r="AT21">
        <f t="shared" si="5"/>
        <v>0.38610000000000005</v>
      </c>
      <c r="AU21">
        <f t="shared" si="5"/>
        <v>0.38610000000000005</v>
      </c>
      <c r="AV21">
        <f t="shared" si="5"/>
        <v>0.38610000000000005</v>
      </c>
      <c r="AW21">
        <f t="shared" si="5"/>
        <v>0.38610000000000005</v>
      </c>
      <c r="AX21">
        <f t="shared" si="5"/>
        <v>0.38610000000000005</v>
      </c>
      <c r="AY21">
        <f t="shared" si="5"/>
        <v>0.38610000000000005</v>
      </c>
      <c r="AZ21">
        <f t="shared" si="5"/>
        <v>0.38610000000000005</v>
      </c>
      <c r="BA21" s="6"/>
    </row>
    <row r="22" spans="1:53" x14ac:dyDescent="0.2">
      <c r="A22">
        <f t="shared" si="6"/>
        <v>43</v>
      </c>
      <c r="B22" s="3">
        <f t="shared" si="0"/>
        <v>86</v>
      </c>
      <c r="C22">
        <f t="shared" si="1"/>
        <v>0.36872500000000002</v>
      </c>
      <c r="D22">
        <f t="shared" si="1"/>
        <v>0.36872500000000002</v>
      </c>
      <c r="E22">
        <f t="shared" si="1"/>
        <v>0.36872500000000002</v>
      </c>
      <c r="F22">
        <f t="shared" si="1"/>
        <v>0.36872500000000002</v>
      </c>
      <c r="G22">
        <f t="shared" si="1"/>
        <v>0.36872500000000002</v>
      </c>
      <c r="H22">
        <f t="shared" si="1"/>
        <v>0.36872500000000002</v>
      </c>
      <c r="I22">
        <f t="shared" si="1"/>
        <v>0.36872500000000002</v>
      </c>
      <c r="J22">
        <f t="shared" si="1"/>
        <v>0.36872500000000002</v>
      </c>
      <c r="K22">
        <f t="shared" si="1"/>
        <v>0.36872500000000002</v>
      </c>
      <c r="L22">
        <f t="shared" si="1"/>
        <v>0.36872500000000002</v>
      </c>
      <c r="M22">
        <f t="shared" si="2"/>
        <v>0.36872500000000002</v>
      </c>
      <c r="N22">
        <f t="shared" si="2"/>
        <v>0.36872500000000002</v>
      </c>
      <c r="O22">
        <f t="shared" si="2"/>
        <v>0.36872500000000002</v>
      </c>
      <c r="P22">
        <f t="shared" si="2"/>
        <v>0.36872500000000002</v>
      </c>
      <c r="Q22">
        <f t="shared" si="2"/>
        <v>0.36872500000000002</v>
      </c>
      <c r="R22">
        <f t="shared" si="2"/>
        <v>0.36872500000000002</v>
      </c>
      <c r="S22">
        <f t="shared" si="2"/>
        <v>0.36872500000000002</v>
      </c>
      <c r="T22">
        <f t="shared" si="2"/>
        <v>0.36872500000000002</v>
      </c>
      <c r="U22">
        <f t="shared" si="2"/>
        <v>0.36872500000000002</v>
      </c>
      <c r="V22">
        <f t="shared" si="2"/>
        <v>0.36872500000000002</v>
      </c>
      <c r="W22">
        <f t="shared" si="3"/>
        <v>0.36872500000000002</v>
      </c>
      <c r="X22">
        <f t="shared" si="3"/>
        <v>0.36872500000000002</v>
      </c>
      <c r="Y22">
        <f t="shared" si="3"/>
        <v>0.36872500000000002</v>
      </c>
      <c r="Z22">
        <f t="shared" si="3"/>
        <v>0.36872500000000002</v>
      </c>
      <c r="AA22">
        <f t="shared" si="3"/>
        <v>0.36872500000000002</v>
      </c>
      <c r="AB22">
        <f t="shared" si="3"/>
        <v>0.36872500000000002</v>
      </c>
      <c r="AC22">
        <f t="shared" si="3"/>
        <v>0.36872500000000002</v>
      </c>
      <c r="AD22">
        <f t="shared" si="3"/>
        <v>0.36872500000000002</v>
      </c>
      <c r="AE22">
        <f t="shared" si="3"/>
        <v>0.36872500000000002</v>
      </c>
      <c r="AF22">
        <f t="shared" si="3"/>
        <v>0.36872500000000002</v>
      </c>
      <c r="AG22">
        <f t="shared" si="4"/>
        <v>0.36872500000000002</v>
      </c>
      <c r="AH22">
        <f t="shared" si="4"/>
        <v>0.36872500000000002</v>
      </c>
      <c r="AI22">
        <f t="shared" si="4"/>
        <v>0.36872500000000002</v>
      </c>
      <c r="AJ22">
        <f t="shared" si="4"/>
        <v>0.36872500000000002</v>
      </c>
      <c r="AK22">
        <f t="shared" si="4"/>
        <v>0.36872500000000002</v>
      </c>
      <c r="AL22">
        <f t="shared" si="4"/>
        <v>0.36872500000000002</v>
      </c>
      <c r="AM22">
        <f t="shared" si="4"/>
        <v>0.36872500000000002</v>
      </c>
      <c r="AN22">
        <f t="shared" si="4"/>
        <v>0.36872500000000002</v>
      </c>
      <c r="AO22">
        <f t="shared" si="4"/>
        <v>0.36872500000000002</v>
      </c>
      <c r="AP22">
        <f t="shared" si="4"/>
        <v>0.36872500000000002</v>
      </c>
      <c r="AQ22">
        <f t="shared" si="5"/>
        <v>0.36872500000000002</v>
      </c>
      <c r="AR22">
        <f t="shared" si="5"/>
        <v>0.36872500000000002</v>
      </c>
      <c r="AS22">
        <f t="shared" si="5"/>
        <v>0.36872500000000002</v>
      </c>
      <c r="AT22">
        <f t="shared" si="5"/>
        <v>0.36872500000000002</v>
      </c>
      <c r="AU22">
        <f t="shared" si="5"/>
        <v>0.36872500000000002</v>
      </c>
      <c r="AV22">
        <f t="shared" si="5"/>
        <v>0.36872500000000002</v>
      </c>
      <c r="AW22">
        <f t="shared" si="5"/>
        <v>0.36872500000000002</v>
      </c>
      <c r="AX22">
        <f t="shared" si="5"/>
        <v>0.36872500000000002</v>
      </c>
      <c r="AY22">
        <f t="shared" si="5"/>
        <v>0.36872500000000002</v>
      </c>
      <c r="AZ22">
        <f t="shared" si="5"/>
        <v>0.36872500000000002</v>
      </c>
      <c r="BA22" s="6"/>
    </row>
    <row r="23" spans="1:53" x14ac:dyDescent="0.2">
      <c r="A23">
        <f t="shared" si="6"/>
        <v>42</v>
      </c>
      <c r="B23" s="3">
        <f t="shared" si="0"/>
        <v>84</v>
      </c>
      <c r="C23">
        <f t="shared" si="1"/>
        <v>0.35175000000000012</v>
      </c>
      <c r="D23">
        <f t="shared" si="1"/>
        <v>0.35175000000000012</v>
      </c>
      <c r="E23">
        <f t="shared" si="1"/>
        <v>0.35175000000000012</v>
      </c>
      <c r="F23">
        <f t="shared" si="1"/>
        <v>0.35175000000000012</v>
      </c>
      <c r="G23">
        <f t="shared" si="1"/>
        <v>0.35175000000000012</v>
      </c>
      <c r="H23">
        <f t="shared" si="1"/>
        <v>0.35175000000000012</v>
      </c>
      <c r="I23">
        <f t="shared" si="1"/>
        <v>0.35175000000000012</v>
      </c>
      <c r="J23">
        <f t="shared" si="1"/>
        <v>0.35175000000000012</v>
      </c>
      <c r="K23">
        <f t="shared" si="1"/>
        <v>0.35175000000000012</v>
      </c>
      <c r="L23">
        <f t="shared" si="1"/>
        <v>0.35175000000000012</v>
      </c>
      <c r="M23">
        <f t="shared" si="2"/>
        <v>0.35175000000000012</v>
      </c>
      <c r="N23">
        <f t="shared" si="2"/>
        <v>0.35175000000000012</v>
      </c>
      <c r="O23">
        <f t="shared" si="2"/>
        <v>0.35175000000000012</v>
      </c>
      <c r="P23">
        <f t="shared" si="2"/>
        <v>0.35175000000000012</v>
      </c>
      <c r="Q23">
        <f t="shared" si="2"/>
        <v>0.35175000000000012</v>
      </c>
      <c r="R23">
        <f t="shared" si="2"/>
        <v>0.35175000000000012</v>
      </c>
      <c r="S23">
        <f t="shared" si="2"/>
        <v>0.35175000000000012</v>
      </c>
      <c r="T23">
        <f t="shared" si="2"/>
        <v>0.35175000000000012</v>
      </c>
      <c r="U23">
        <f t="shared" si="2"/>
        <v>0.35175000000000012</v>
      </c>
      <c r="V23">
        <f t="shared" si="2"/>
        <v>0.35175000000000012</v>
      </c>
      <c r="W23">
        <f t="shared" si="3"/>
        <v>0.35175000000000012</v>
      </c>
      <c r="X23">
        <f t="shared" si="3"/>
        <v>0.35175000000000012</v>
      </c>
      <c r="Y23">
        <f t="shared" si="3"/>
        <v>0.35175000000000012</v>
      </c>
      <c r="Z23">
        <f t="shared" si="3"/>
        <v>0.35175000000000012</v>
      </c>
      <c r="AA23">
        <f t="shared" si="3"/>
        <v>0.35175000000000012</v>
      </c>
      <c r="AB23">
        <f t="shared" si="3"/>
        <v>0.35175000000000012</v>
      </c>
      <c r="AC23">
        <f t="shared" si="3"/>
        <v>0.35175000000000012</v>
      </c>
      <c r="AD23">
        <f t="shared" si="3"/>
        <v>0.35175000000000012</v>
      </c>
      <c r="AE23">
        <f t="shared" si="3"/>
        <v>0.35175000000000012</v>
      </c>
      <c r="AF23">
        <f t="shared" si="3"/>
        <v>0.35175000000000012</v>
      </c>
      <c r="AG23">
        <f t="shared" si="4"/>
        <v>0.35175000000000012</v>
      </c>
      <c r="AH23">
        <f t="shared" si="4"/>
        <v>0.35175000000000012</v>
      </c>
      <c r="AI23">
        <f t="shared" si="4"/>
        <v>0.35175000000000012</v>
      </c>
      <c r="AJ23">
        <f t="shared" si="4"/>
        <v>0.35175000000000012</v>
      </c>
      <c r="AK23">
        <f t="shared" si="4"/>
        <v>0.35175000000000012</v>
      </c>
      <c r="AL23">
        <f t="shared" si="4"/>
        <v>0.35175000000000012</v>
      </c>
      <c r="AM23">
        <f t="shared" si="4"/>
        <v>0.35175000000000012</v>
      </c>
      <c r="AN23">
        <f t="shared" si="4"/>
        <v>0.35175000000000012</v>
      </c>
      <c r="AO23">
        <f t="shared" si="4"/>
        <v>0.35175000000000012</v>
      </c>
      <c r="AP23">
        <f t="shared" si="4"/>
        <v>0.35175000000000012</v>
      </c>
      <c r="AQ23">
        <f t="shared" si="5"/>
        <v>0.35175000000000012</v>
      </c>
      <c r="AR23">
        <f t="shared" si="5"/>
        <v>0.35175000000000012</v>
      </c>
      <c r="AS23">
        <f t="shared" si="5"/>
        <v>0.35175000000000012</v>
      </c>
      <c r="AT23">
        <f t="shared" si="5"/>
        <v>0.35175000000000012</v>
      </c>
      <c r="AU23">
        <f t="shared" si="5"/>
        <v>0.35175000000000012</v>
      </c>
      <c r="AV23">
        <f t="shared" si="5"/>
        <v>0.35175000000000012</v>
      </c>
      <c r="AW23">
        <f t="shared" si="5"/>
        <v>0.35175000000000012</v>
      </c>
      <c r="AX23">
        <f t="shared" si="5"/>
        <v>0.35175000000000012</v>
      </c>
      <c r="AY23">
        <f t="shared" si="5"/>
        <v>0.35175000000000012</v>
      </c>
      <c r="AZ23">
        <f t="shared" si="5"/>
        <v>0.35175000000000012</v>
      </c>
      <c r="BA23" s="6"/>
    </row>
    <row r="24" spans="1:53" x14ac:dyDescent="0.2">
      <c r="A24">
        <f t="shared" si="6"/>
        <v>41</v>
      </c>
      <c r="B24" s="3">
        <f t="shared" si="0"/>
        <v>82</v>
      </c>
      <c r="C24">
        <f t="shared" si="1"/>
        <v>0.33517500000000006</v>
      </c>
      <c r="D24">
        <f t="shared" si="1"/>
        <v>0.33517500000000006</v>
      </c>
      <c r="E24">
        <f t="shared" si="1"/>
        <v>0.33517500000000006</v>
      </c>
      <c r="F24">
        <f t="shared" si="1"/>
        <v>0.33517500000000006</v>
      </c>
      <c r="G24">
        <f t="shared" si="1"/>
        <v>0.33517500000000006</v>
      </c>
      <c r="H24">
        <f t="shared" si="1"/>
        <v>0.33517500000000006</v>
      </c>
      <c r="I24">
        <f t="shared" si="1"/>
        <v>0.33517500000000006</v>
      </c>
      <c r="J24">
        <f t="shared" si="1"/>
        <v>0.33517500000000006</v>
      </c>
      <c r="K24">
        <f t="shared" si="1"/>
        <v>0.33517500000000006</v>
      </c>
      <c r="L24">
        <f t="shared" si="1"/>
        <v>0.33517500000000006</v>
      </c>
      <c r="M24">
        <f t="shared" si="2"/>
        <v>0.33517500000000006</v>
      </c>
      <c r="N24">
        <f t="shared" si="2"/>
        <v>0.33517500000000006</v>
      </c>
      <c r="O24">
        <f t="shared" si="2"/>
        <v>0.33517500000000006</v>
      </c>
      <c r="P24">
        <f t="shared" si="2"/>
        <v>0.33517500000000006</v>
      </c>
      <c r="Q24">
        <f t="shared" si="2"/>
        <v>0.33517500000000006</v>
      </c>
      <c r="R24">
        <f t="shared" si="2"/>
        <v>0.33517500000000006</v>
      </c>
      <c r="S24">
        <f t="shared" si="2"/>
        <v>0.33517500000000006</v>
      </c>
      <c r="T24">
        <f t="shared" si="2"/>
        <v>0.33517500000000006</v>
      </c>
      <c r="U24">
        <f t="shared" si="2"/>
        <v>0.33517500000000006</v>
      </c>
      <c r="V24">
        <f t="shared" si="2"/>
        <v>0.33517500000000006</v>
      </c>
      <c r="W24">
        <f t="shared" si="3"/>
        <v>0.33517500000000006</v>
      </c>
      <c r="X24">
        <f t="shared" si="3"/>
        <v>0.33517500000000006</v>
      </c>
      <c r="Y24">
        <f t="shared" si="3"/>
        <v>0.33517500000000006</v>
      </c>
      <c r="Z24">
        <f t="shared" si="3"/>
        <v>0.33517500000000006</v>
      </c>
      <c r="AA24">
        <f t="shared" si="3"/>
        <v>0.33517500000000006</v>
      </c>
      <c r="AB24">
        <f t="shared" si="3"/>
        <v>0.33517500000000006</v>
      </c>
      <c r="AC24">
        <f t="shared" si="3"/>
        <v>0.33517500000000006</v>
      </c>
      <c r="AD24">
        <f t="shared" si="3"/>
        <v>0.33517500000000006</v>
      </c>
      <c r="AE24">
        <f t="shared" si="3"/>
        <v>0.33517500000000006</v>
      </c>
      <c r="AF24">
        <f t="shared" si="3"/>
        <v>0.33517500000000006</v>
      </c>
      <c r="AG24">
        <f t="shared" si="4"/>
        <v>0.33517500000000006</v>
      </c>
      <c r="AH24">
        <f t="shared" si="4"/>
        <v>0.33517500000000006</v>
      </c>
      <c r="AI24">
        <f t="shared" si="4"/>
        <v>0.33517500000000006</v>
      </c>
      <c r="AJ24">
        <f t="shared" si="4"/>
        <v>0.33517500000000006</v>
      </c>
      <c r="AK24">
        <f t="shared" si="4"/>
        <v>0.33517500000000006</v>
      </c>
      <c r="AL24">
        <f t="shared" si="4"/>
        <v>0.33517500000000006</v>
      </c>
      <c r="AM24">
        <f t="shared" si="4"/>
        <v>0.33517500000000006</v>
      </c>
      <c r="AN24">
        <f t="shared" si="4"/>
        <v>0.33517500000000006</v>
      </c>
      <c r="AO24">
        <f t="shared" si="4"/>
        <v>0.33517500000000006</v>
      </c>
      <c r="AP24">
        <f t="shared" si="4"/>
        <v>0.33517500000000006</v>
      </c>
      <c r="AQ24">
        <f t="shared" si="5"/>
        <v>0.33517500000000006</v>
      </c>
      <c r="AR24">
        <f t="shared" si="5"/>
        <v>0.33517500000000006</v>
      </c>
      <c r="AS24">
        <f t="shared" si="5"/>
        <v>0.33517500000000006</v>
      </c>
      <c r="AT24">
        <f t="shared" si="5"/>
        <v>0.33517500000000006</v>
      </c>
      <c r="AU24">
        <f t="shared" si="5"/>
        <v>0.33517500000000006</v>
      </c>
      <c r="AV24">
        <f t="shared" si="5"/>
        <v>0.33517500000000006</v>
      </c>
      <c r="AW24">
        <f t="shared" si="5"/>
        <v>0.33517500000000006</v>
      </c>
      <c r="AX24">
        <f t="shared" si="5"/>
        <v>0.33517500000000006</v>
      </c>
      <c r="AY24">
        <f t="shared" si="5"/>
        <v>0.33517500000000006</v>
      </c>
      <c r="AZ24">
        <f t="shared" si="5"/>
        <v>0.33517500000000006</v>
      </c>
      <c r="BA24" s="6"/>
    </row>
    <row r="25" spans="1:53" x14ac:dyDescent="0.2">
      <c r="A25">
        <f t="shared" si="6"/>
        <v>40</v>
      </c>
      <c r="B25" s="3">
        <f t="shared" si="0"/>
        <v>80</v>
      </c>
      <c r="C25">
        <f t="shared" si="1"/>
        <v>0.31900000000000006</v>
      </c>
      <c r="D25">
        <f t="shared" si="1"/>
        <v>0.31900000000000006</v>
      </c>
      <c r="E25">
        <f t="shared" si="1"/>
        <v>0.31900000000000006</v>
      </c>
      <c r="F25">
        <f t="shared" si="1"/>
        <v>0.31900000000000006</v>
      </c>
      <c r="G25">
        <f t="shared" si="1"/>
        <v>0.31900000000000006</v>
      </c>
      <c r="H25">
        <f t="shared" si="1"/>
        <v>0.31900000000000006</v>
      </c>
      <c r="I25">
        <f t="shared" si="1"/>
        <v>0.31900000000000006</v>
      </c>
      <c r="J25">
        <f t="shared" si="1"/>
        <v>0.31900000000000006</v>
      </c>
      <c r="K25">
        <f t="shared" si="1"/>
        <v>0.31900000000000006</v>
      </c>
      <c r="L25">
        <f t="shared" si="1"/>
        <v>0.31900000000000006</v>
      </c>
      <c r="M25">
        <f t="shared" si="2"/>
        <v>0.31900000000000006</v>
      </c>
      <c r="N25">
        <f t="shared" si="2"/>
        <v>0.31900000000000006</v>
      </c>
      <c r="O25">
        <f t="shared" si="2"/>
        <v>0.31900000000000006</v>
      </c>
      <c r="P25">
        <f t="shared" si="2"/>
        <v>0.31900000000000006</v>
      </c>
      <c r="Q25">
        <f t="shared" si="2"/>
        <v>0.31900000000000006</v>
      </c>
      <c r="R25">
        <f t="shared" si="2"/>
        <v>0.31900000000000006</v>
      </c>
      <c r="S25">
        <f t="shared" si="2"/>
        <v>0.31900000000000006</v>
      </c>
      <c r="T25">
        <f t="shared" si="2"/>
        <v>0.31900000000000006</v>
      </c>
      <c r="U25">
        <f t="shared" si="2"/>
        <v>0.31900000000000006</v>
      </c>
      <c r="V25">
        <f t="shared" si="2"/>
        <v>0.31900000000000006</v>
      </c>
      <c r="W25">
        <f t="shared" si="3"/>
        <v>0.31900000000000006</v>
      </c>
      <c r="X25">
        <f t="shared" si="3"/>
        <v>0.31900000000000006</v>
      </c>
      <c r="Y25">
        <f t="shared" si="3"/>
        <v>0.31900000000000006</v>
      </c>
      <c r="Z25">
        <f t="shared" si="3"/>
        <v>0.31900000000000006</v>
      </c>
      <c r="AA25">
        <f t="shared" si="3"/>
        <v>0.31900000000000006</v>
      </c>
      <c r="AB25">
        <f t="shared" si="3"/>
        <v>0.31900000000000006</v>
      </c>
      <c r="AC25">
        <f t="shared" si="3"/>
        <v>0.31900000000000006</v>
      </c>
      <c r="AD25">
        <f t="shared" si="3"/>
        <v>0.31900000000000006</v>
      </c>
      <c r="AE25">
        <f t="shared" si="3"/>
        <v>0.31900000000000006</v>
      </c>
      <c r="AF25">
        <f t="shared" si="3"/>
        <v>0.31900000000000006</v>
      </c>
      <c r="AG25">
        <f t="shared" si="4"/>
        <v>0.31900000000000006</v>
      </c>
      <c r="AH25">
        <f t="shared" si="4"/>
        <v>0.31900000000000006</v>
      </c>
      <c r="AI25">
        <f t="shared" si="4"/>
        <v>0.31900000000000006</v>
      </c>
      <c r="AJ25">
        <f t="shared" si="4"/>
        <v>0.31900000000000006</v>
      </c>
      <c r="AK25">
        <f t="shared" si="4"/>
        <v>0.31900000000000006</v>
      </c>
      <c r="AL25">
        <f t="shared" si="4"/>
        <v>0.31900000000000006</v>
      </c>
      <c r="AM25">
        <f t="shared" si="4"/>
        <v>0.31900000000000006</v>
      </c>
      <c r="AN25">
        <f t="shared" si="4"/>
        <v>0.31900000000000006</v>
      </c>
      <c r="AO25">
        <f t="shared" si="4"/>
        <v>0.31900000000000006</v>
      </c>
      <c r="AP25">
        <f t="shared" si="4"/>
        <v>0.31900000000000006</v>
      </c>
      <c r="AQ25">
        <f t="shared" si="5"/>
        <v>0.31900000000000006</v>
      </c>
      <c r="AR25">
        <f t="shared" si="5"/>
        <v>0.31900000000000006</v>
      </c>
      <c r="AS25">
        <f t="shared" si="5"/>
        <v>0.31900000000000006</v>
      </c>
      <c r="AT25">
        <f t="shared" si="5"/>
        <v>0.31900000000000006</v>
      </c>
      <c r="AU25">
        <f t="shared" si="5"/>
        <v>0.31900000000000006</v>
      </c>
      <c r="AV25">
        <f t="shared" si="5"/>
        <v>0.31900000000000006</v>
      </c>
      <c r="AW25">
        <f t="shared" si="5"/>
        <v>0.31900000000000006</v>
      </c>
      <c r="AX25">
        <f t="shared" si="5"/>
        <v>0.31900000000000006</v>
      </c>
      <c r="AY25">
        <f t="shared" si="5"/>
        <v>0.31900000000000006</v>
      </c>
      <c r="AZ25">
        <f t="shared" si="5"/>
        <v>0.31900000000000006</v>
      </c>
      <c r="BA25" s="6"/>
    </row>
    <row r="26" spans="1:53" x14ac:dyDescent="0.2">
      <c r="A26">
        <f t="shared" si="6"/>
        <v>39</v>
      </c>
      <c r="B26" s="3">
        <f t="shared" si="0"/>
        <v>78</v>
      </c>
      <c r="C26">
        <f t="shared" ref="C26:L35" si="7">(0.5*sigma^2*$A26^2-0.5*(rate -d)*$A26)*dt</f>
        <v>0.30322500000000008</v>
      </c>
      <c r="D26">
        <f t="shared" si="7"/>
        <v>0.30322500000000008</v>
      </c>
      <c r="E26">
        <f t="shared" si="7"/>
        <v>0.30322500000000008</v>
      </c>
      <c r="F26">
        <f t="shared" si="7"/>
        <v>0.30322500000000008</v>
      </c>
      <c r="G26">
        <f t="shared" si="7"/>
        <v>0.30322500000000008</v>
      </c>
      <c r="H26">
        <f t="shared" si="7"/>
        <v>0.30322500000000008</v>
      </c>
      <c r="I26">
        <f t="shared" si="7"/>
        <v>0.30322500000000008</v>
      </c>
      <c r="J26">
        <f t="shared" si="7"/>
        <v>0.30322500000000008</v>
      </c>
      <c r="K26">
        <f t="shared" si="7"/>
        <v>0.30322500000000008</v>
      </c>
      <c r="L26">
        <f t="shared" si="7"/>
        <v>0.30322500000000008</v>
      </c>
      <c r="M26">
        <f t="shared" ref="M26:V35" si="8">(0.5*sigma^2*$A26^2-0.5*(rate -d)*$A26)*dt</f>
        <v>0.30322500000000008</v>
      </c>
      <c r="N26">
        <f t="shared" si="8"/>
        <v>0.30322500000000008</v>
      </c>
      <c r="O26">
        <f t="shared" si="8"/>
        <v>0.30322500000000008</v>
      </c>
      <c r="P26">
        <f t="shared" si="8"/>
        <v>0.30322500000000008</v>
      </c>
      <c r="Q26">
        <f t="shared" si="8"/>
        <v>0.30322500000000008</v>
      </c>
      <c r="R26">
        <f t="shared" si="8"/>
        <v>0.30322500000000008</v>
      </c>
      <c r="S26">
        <f t="shared" si="8"/>
        <v>0.30322500000000008</v>
      </c>
      <c r="T26">
        <f t="shared" si="8"/>
        <v>0.30322500000000008</v>
      </c>
      <c r="U26">
        <f t="shared" si="8"/>
        <v>0.30322500000000008</v>
      </c>
      <c r="V26">
        <f t="shared" si="8"/>
        <v>0.30322500000000008</v>
      </c>
      <c r="W26">
        <f t="shared" ref="W26:AF35" si="9">(0.5*sigma^2*$A26^2-0.5*(rate -d)*$A26)*dt</f>
        <v>0.30322500000000008</v>
      </c>
      <c r="X26">
        <f t="shared" si="9"/>
        <v>0.30322500000000008</v>
      </c>
      <c r="Y26">
        <f t="shared" si="9"/>
        <v>0.30322500000000008</v>
      </c>
      <c r="Z26">
        <f t="shared" si="9"/>
        <v>0.30322500000000008</v>
      </c>
      <c r="AA26">
        <f t="shared" si="9"/>
        <v>0.30322500000000008</v>
      </c>
      <c r="AB26">
        <f t="shared" si="9"/>
        <v>0.30322500000000008</v>
      </c>
      <c r="AC26">
        <f t="shared" si="9"/>
        <v>0.30322500000000008</v>
      </c>
      <c r="AD26">
        <f t="shared" si="9"/>
        <v>0.30322500000000008</v>
      </c>
      <c r="AE26">
        <f t="shared" si="9"/>
        <v>0.30322500000000008</v>
      </c>
      <c r="AF26">
        <f t="shared" si="9"/>
        <v>0.30322500000000008</v>
      </c>
      <c r="AG26">
        <f t="shared" ref="AG26:AP35" si="10">(0.5*sigma^2*$A26^2-0.5*(rate -d)*$A26)*dt</f>
        <v>0.30322500000000008</v>
      </c>
      <c r="AH26">
        <f t="shared" si="10"/>
        <v>0.30322500000000008</v>
      </c>
      <c r="AI26">
        <f t="shared" si="10"/>
        <v>0.30322500000000008</v>
      </c>
      <c r="AJ26">
        <f t="shared" si="10"/>
        <v>0.30322500000000008</v>
      </c>
      <c r="AK26">
        <f t="shared" si="10"/>
        <v>0.30322500000000008</v>
      </c>
      <c r="AL26">
        <f t="shared" si="10"/>
        <v>0.30322500000000008</v>
      </c>
      <c r="AM26">
        <f t="shared" si="10"/>
        <v>0.30322500000000008</v>
      </c>
      <c r="AN26">
        <f t="shared" si="10"/>
        <v>0.30322500000000008</v>
      </c>
      <c r="AO26">
        <f t="shared" si="10"/>
        <v>0.30322500000000008</v>
      </c>
      <c r="AP26">
        <f t="shared" si="10"/>
        <v>0.30322500000000008</v>
      </c>
      <c r="AQ26">
        <f t="shared" ref="AQ26:AZ35" si="11">(0.5*sigma^2*$A26^2-0.5*(rate -d)*$A26)*dt</f>
        <v>0.30322500000000008</v>
      </c>
      <c r="AR26">
        <f t="shared" si="11"/>
        <v>0.30322500000000008</v>
      </c>
      <c r="AS26">
        <f t="shared" si="11"/>
        <v>0.30322500000000008</v>
      </c>
      <c r="AT26">
        <f t="shared" si="11"/>
        <v>0.30322500000000008</v>
      </c>
      <c r="AU26">
        <f t="shared" si="11"/>
        <v>0.30322500000000008</v>
      </c>
      <c r="AV26">
        <f t="shared" si="11"/>
        <v>0.30322500000000008</v>
      </c>
      <c r="AW26">
        <f t="shared" si="11"/>
        <v>0.30322500000000008</v>
      </c>
      <c r="AX26">
        <f t="shared" si="11"/>
        <v>0.30322500000000008</v>
      </c>
      <c r="AY26">
        <f t="shared" si="11"/>
        <v>0.30322500000000008</v>
      </c>
      <c r="AZ26">
        <f t="shared" si="11"/>
        <v>0.30322500000000008</v>
      </c>
      <c r="BA26" s="6"/>
    </row>
    <row r="27" spans="1:53" x14ac:dyDescent="0.2">
      <c r="A27">
        <f t="shared" si="6"/>
        <v>38</v>
      </c>
      <c r="B27" s="3">
        <f t="shared" si="0"/>
        <v>76</v>
      </c>
      <c r="C27">
        <f t="shared" si="7"/>
        <v>0.28785000000000011</v>
      </c>
      <c r="D27">
        <f t="shared" si="7"/>
        <v>0.28785000000000011</v>
      </c>
      <c r="E27">
        <f t="shared" si="7"/>
        <v>0.28785000000000011</v>
      </c>
      <c r="F27">
        <f t="shared" si="7"/>
        <v>0.28785000000000011</v>
      </c>
      <c r="G27">
        <f t="shared" si="7"/>
        <v>0.28785000000000011</v>
      </c>
      <c r="H27">
        <f t="shared" si="7"/>
        <v>0.28785000000000011</v>
      </c>
      <c r="I27">
        <f t="shared" si="7"/>
        <v>0.28785000000000011</v>
      </c>
      <c r="J27">
        <f t="shared" si="7"/>
        <v>0.28785000000000011</v>
      </c>
      <c r="K27">
        <f t="shared" si="7"/>
        <v>0.28785000000000011</v>
      </c>
      <c r="L27">
        <f t="shared" si="7"/>
        <v>0.28785000000000011</v>
      </c>
      <c r="M27">
        <f t="shared" si="8"/>
        <v>0.28785000000000011</v>
      </c>
      <c r="N27">
        <f t="shared" si="8"/>
        <v>0.28785000000000011</v>
      </c>
      <c r="O27">
        <f t="shared" si="8"/>
        <v>0.28785000000000011</v>
      </c>
      <c r="P27">
        <f t="shared" si="8"/>
        <v>0.28785000000000011</v>
      </c>
      <c r="Q27">
        <f t="shared" si="8"/>
        <v>0.28785000000000011</v>
      </c>
      <c r="R27">
        <f t="shared" si="8"/>
        <v>0.28785000000000011</v>
      </c>
      <c r="S27">
        <f t="shared" si="8"/>
        <v>0.28785000000000011</v>
      </c>
      <c r="T27">
        <f t="shared" si="8"/>
        <v>0.28785000000000011</v>
      </c>
      <c r="U27">
        <f t="shared" si="8"/>
        <v>0.28785000000000011</v>
      </c>
      <c r="V27">
        <f t="shared" si="8"/>
        <v>0.28785000000000011</v>
      </c>
      <c r="W27">
        <f t="shared" si="9"/>
        <v>0.28785000000000011</v>
      </c>
      <c r="X27">
        <f t="shared" si="9"/>
        <v>0.28785000000000011</v>
      </c>
      <c r="Y27">
        <f t="shared" si="9"/>
        <v>0.28785000000000011</v>
      </c>
      <c r="Z27">
        <f t="shared" si="9"/>
        <v>0.28785000000000011</v>
      </c>
      <c r="AA27">
        <f t="shared" si="9"/>
        <v>0.28785000000000011</v>
      </c>
      <c r="AB27">
        <f t="shared" si="9"/>
        <v>0.28785000000000011</v>
      </c>
      <c r="AC27">
        <f t="shared" si="9"/>
        <v>0.28785000000000011</v>
      </c>
      <c r="AD27">
        <f t="shared" si="9"/>
        <v>0.28785000000000011</v>
      </c>
      <c r="AE27">
        <f t="shared" si="9"/>
        <v>0.28785000000000011</v>
      </c>
      <c r="AF27">
        <f t="shared" si="9"/>
        <v>0.28785000000000011</v>
      </c>
      <c r="AG27">
        <f t="shared" si="10"/>
        <v>0.28785000000000011</v>
      </c>
      <c r="AH27">
        <f t="shared" si="10"/>
        <v>0.28785000000000011</v>
      </c>
      <c r="AI27">
        <f t="shared" si="10"/>
        <v>0.28785000000000011</v>
      </c>
      <c r="AJ27">
        <f t="shared" si="10"/>
        <v>0.28785000000000011</v>
      </c>
      <c r="AK27">
        <f t="shared" si="10"/>
        <v>0.28785000000000011</v>
      </c>
      <c r="AL27">
        <f t="shared" si="10"/>
        <v>0.28785000000000011</v>
      </c>
      <c r="AM27">
        <f t="shared" si="10"/>
        <v>0.28785000000000011</v>
      </c>
      <c r="AN27">
        <f t="shared" si="10"/>
        <v>0.28785000000000011</v>
      </c>
      <c r="AO27">
        <f t="shared" si="10"/>
        <v>0.28785000000000011</v>
      </c>
      <c r="AP27">
        <f t="shared" si="10"/>
        <v>0.28785000000000011</v>
      </c>
      <c r="AQ27">
        <f t="shared" si="11"/>
        <v>0.28785000000000011</v>
      </c>
      <c r="AR27">
        <f t="shared" si="11"/>
        <v>0.28785000000000011</v>
      </c>
      <c r="AS27">
        <f t="shared" si="11"/>
        <v>0.28785000000000011</v>
      </c>
      <c r="AT27">
        <f t="shared" si="11"/>
        <v>0.28785000000000011</v>
      </c>
      <c r="AU27">
        <f t="shared" si="11"/>
        <v>0.28785000000000011</v>
      </c>
      <c r="AV27">
        <f t="shared" si="11"/>
        <v>0.28785000000000011</v>
      </c>
      <c r="AW27">
        <f t="shared" si="11"/>
        <v>0.28785000000000011</v>
      </c>
      <c r="AX27">
        <f t="shared" si="11"/>
        <v>0.28785000000000011</v>
      </c>
      <c r="AY27">
        <f t="shared" si="11"/>
        <v>0.28785000000000011</v>
      </c>
      <c r="AZ27">
        <f t="shared" si="11"/>
        <v>0.28785000000000011</v>
      </c>
      <c r="BA27" s="6"/>
    </row>
    <row r="28" spans="1:53" x14ac:dyDescent="0.2">
      <c r="A28">
        <f t="shared" si="6"/>
        <v>37</v>
      </c>
      <c r="B28" s="3">
        <f t="shared" si="0"/>
        <v>74</v>
      </c>
      <c r="C28">
        <f t="shared" si="7"/>
        <v>0.27287500000000003</v>
      </c>
      <c r="D28">
        <f t="shared" si="7"/>
        <v>0.27287500000000003</v>
      </c>
      <c r="E28">
        <f t="shared" si="7"/>
        <v>0.27287500000000003</v>
      </c>
      <c r="F28">
        <f t="shared" si="7"/>
        <v>0.27287500000000003</v>
      </c>
      <c r="G28">
        <f t="shared" si="7"/>
        <v>0.27287500000000003</v>
      </c>
      <c r="H28">
        <f t="shared" si="7"/>
        <v>0.27287500000000003</v>
      </c>
      <c r="I28">
        <f t="shared" si="7"/>
        <v>0.27287500000000003</v>
      </c>
      <c r="J28">
        <f t="shared" si="7"/>
        <v>0.27287500000000003</v>
      </c>
      <c r="K28">
        <f t="shared" si="7"/>
        <v>0.27287500000000003</v>
      </c>
      <c r="L28">
        <f t="shared" si="7"/>
        <v>0.27287500000000003</v>
      </c>
      <c r="M28">
        <f t="shared" si="8"/>
        <v>0.27287500000000003</v>
      </c>
      <c r="N28">
        <f t="shared" si="8"/>
        <v>0.27287500000000003</v>
      </c>
      <c r="O28">
        <f t="shared" si="8"/>
        <v>0.27287500000000003</v>
      </c>
      <c r="P28">
        <f t="shared" si="8"/>
        <v>0.27287500000000003</v>
      </c>
      <c r="Q28">
        <f t="shared" si="8"/>
        <v>0.27287500000000003</v>
      </c>
      <c r="R28">
        <f t="shared" si="8"/>
        <v>0.27287500000000003</v>
      </c>
      <c r="S28">
        <f t="shared" si="8"/>
        <v>0.27287500000000003</v>
      </c>
      <c r="T28">
        <f t="shared" si="8"/>
        <v>0.27287500000000003</v>
      </c>
      <c r="U28">
        <f t="shared" si="8"/>
        <v>0.27287500000000003</v>
      </c>
      <c r="V28">
        <f t="shared" si="8"/>
        <v>0.27287500000000003</v>
      </c>
      <c r="W28">
        <f t="shared" si="9"/>
        <v>0.27287500000000003</v>
      </c>
      <c r="X28">
        <f t="shared" si="9"/>
        <v>0.27287500000000003</v>
      </c>
      <c r="Y28">
        <f t="shared" si="9"/>
        <v>0.27287500000000003</v>
      </c>
      <c r="Z28">
        <f t="shared" si="9"/>
        <v>0.27287500000000003</v>
      </c>
      <c r="AA28">
        <f t="shared" si="9"/>
        <v>0.27287500000000003</v>
      </c>
      <c r="AB28">
        <f t="shared" si="9"/>
        <v>0.27287500000000003</v>
      </c>
      <c r="AC28">
        <f t="shared" si="9"/>
        <v>0.27287500000000003</v>
      </c>
      <c r="AD28">
        <f t="shared" si="9"/>
        <v>0.27287500000000003</v>
      </c>
      <c r="AE28">
        <f t="shared" si="9"/>
        <v>0.27287500000000003</v>
      </c>
      <c r="AF28">
        <f t="shared" si="9"/>
        <v>0.27287500000000003</v>
      </c>
      <c r="AG28">
        <f t="shared" si="10"/>
        <v>0.27287500000000003</v>
      </c>
      <c r="AH28">
        <f t="shared" si="10"/>
        <v>0.27287500000000003</v>
      </c>
      <c r="AI28">
        <f t="shared" si="10"/>
        <v>0.27287500000000003</v>
      </c>
      <c r="AJ28">
        <f t="shared" si="10"/>
        <v>0.27287500000000003</v>
      </c>
      <c r="AK28">
        <f t="shared" si="10"/>
        <v>0.27287500000000003</v>
      </c>
      <c r="AL28">
        <f t="shared" si="10"/>
        <v>0.27287500000000003</v>
      </c>
      <c r="AM28">
        <f t="shared" si="10"/>
        <v>0.27287500000000003</v>
      </c>
      <c r="AN28">
        <f t="shared" si="10"/>
        <v>0.27287500000000003</v>
      </c>
      <c r="AO28">
        <f t="shared" si="10"/>
        <v>0.27287500000000003</v>
      </c>
      <c r="AP28">
        <f t="shared" si="10"/>
        <v>0.27287500000000003</v>
      </c>
      <c r="AQ28">
        <f t="shared" si="11"/>
        <v>0.27287500000000003</v>
      </c>
      <c r="AR28">
        <f t="shared" si="11"/>
        <v>0.27287500000000003</v>
      </c>
      <c r="AS28">
        <f t="shared" si="11"/>
        <v>0.27287500000000003</v>
      </c>
      <c r="AT28">
        <f t="shared" si="11"/>
        <v>0.27287500000000003</v>
      </c>
      <c r="AU28">
        <f t="shared" si="11"/>
        <v>0.27287500000000003</v>
      </c>
      <c r="AV28">
        <f t="shared" si="11"/>
        <v>0.27287500000000003</v>
      </c>
      <c r="AW28">
        <f t="shared" si="11"/>
        <v>0.27287500000000003</v>
      </c>
      <c r="AX28">
        <f t="shared" si="11"/>
        <v>0.27287500000000003</v>
      </c>
      <c r="AY28">
        <f t="shared" si="11"/>
        <v>0.27287500000000003</v>
      </c>
      <c r="AZ28">
        <f t="shared" si="11"/>
        <v>0.27287500000000003</v>
      </c>
      <c r="BA28" s="6"/>
    </row>
    <row r="29" spans="1:53" x14ac:dyDescent="0.2">
      <c r="A29">
        <f t="shared" si="6"/>
        <v>36</v>
      </c>
      <c r="B29" s="3">
        <f t="shared" si="0"/>
        <v>72</v>
      </c>
      <c r="C29">
        <f t="shared" si="7"/>
        <v>0.25830000000000009</v>
      </c>
      <c r="D29">
        <f t="shared" si="7"/>
        <v>0.25830000000000009</v>
      </c>
      <c r="E29">
        <f t="shared" si="7"/>
        <v>0.25830000000000009</v>
      </c>
      <c r="F29">
        <f t="shared" si="7"/>
        <v>0.25830000000000009</v>
      </c>
      <c r="G29">
        <f t="shared" si="7"/>
        <v>0.25830000000000009</v>
      </c>
      <c r="H29">
        <f t="shared" si="7"/>
        <v>0.25830000000000009</v>
      </c>
      <c r="I29">
        <f t="shared" si="7"/>
        <v>0.25830000000000009</v>
      </c>
      <c r="J29">
        <f t="shared" si="7"/>
        <v>0.25830000000000009</v>
      </c>
      <c r="K29">
        <f t="shared" si="7"/>
        <v>0.25830000000000009</v>
      </c>
      <c r="L29">
        <f t="shared" si="7"/>
        <v>0.25830000000000009</v>
      </c>
      <c r="M29">
        <f t="shared" si="8"/>
        <v>0.25830000000000009</v>
      </c>
      <c r="N29">
        <f t="shared" si="8"/>
        <v>0.25830000000000009</v>
      </c>
      <c r="O29">
        <f t="shared" si="8"/>
        <v>0.25830000000000009</v>
      </c>
      <c r="P29">
        <f t="shared" si="8"/>
        <v>0.25830000000000009</v>
      </c>
      <c r="Q29">
        <f t="shared" si="8"/>
        <v>0.25830000000000009</v>
      </c>
      <c r="R29">
        <f t="shared" si="8"/>
        <v>0.25830000000000009</v>
      </c>
      <c r="S29">
        <f t="shared" si="8"/>
        <v>0.25830000000000009</v>
      </c>
      <c r="T29">
        <f t="shared" si="8"/>
        <v>0.25830000000000009</v>
      </c>
      <c r="U29">
        <f t="shared" si="8"/>
        <v>0.25830000000000009</v>
      </c>
      <c r="V29">
        <f t="shared" si="8"/>
        <v>0.25830000000000009</v>
      </c>
      <c r="W29">
        <f t="shared" si="9"/>
        <v>0.25830000000000009</v>
      </c>
      <c r="X29">
        <f t="shared" si="9"/>
        <v>0.25830000000000009</v>
      </c>
      <c r="Y29">
        <f t="shared" si="9"/>
        <v>0.25830000000000009</v>
      </c>
      <c r="Z29">
        <f t="shared" si="9"/>
        <v>0.25830000000000009</v>
      </c>
      <c r="AA29">
        <f t="shared" si="9"/>
        <v>0.25830000000000009</v>
      </c>
      <c r="AB29">
        <f t="shared" si="9"/>
        <v>0.25830000000000009</v>
      </c>
      <c r="AC29">
        <f t="shared" si="9"/>
        <v>0.25830000000000009</v>
      </c>
      <c r="AD29">
        <f t="shared" si="9"/>
        <v>0.25830000000000009</v>
      </c>
      <c r="AE29">
        <f t="shared" si="9"/>
        <v>0.25830000000000009</v>
      </c>
      <c r="AF29">
        <f t="shared" si="9"/>
        <v>0.25830000000000009</v>
      </c>
      <c r="AG29">
        <f t="shared" si="10"/>
        <v>0.25830000000000009</v>
      </c>
      <c r="AH29">
        <f t="shared" si="10"/>
        <v>0.25830000000000009</v>
      </c>
      <c r="AI29">
        <f t="shared" si="10"/>
        <v>0.25830000000000009</v>
      </c>
      <c r="AJ29">
        <f t="shared" si="10"/>
        <v>0.25830000000000009</v>
      </c>
      <c r="AK29">
        <f t="shared" si="10"/>
        <v>0.25830000000000009</v>
      </c>
      <c r="AL29">
        <f t="shared" si="10"/>
        <v>0.25830000000000009</v>
      </c>
      <c r="AM29">
        <f t="shared" si="10"/>
        <v>0.25830000000000009</v>
      </c>
      <c r="AN29">
        <f t="shared" si="10"/>
        <v>0.25830000000000009</v>
      </c>
      <c r="AO29">
        <f t="shared" si="10"/>
        <v>0.25830000000000009</v>
      </c>
      <c r="AP29">
        <f t="shared" si="10"/>
        <v>0.25830000000000009</v>
      </c>
      <c r="AQ29">
        <f t="shared" si="11"/>
        <v>0.25830000000000009</v>
      </c>
      <c r="AR29">
        <f t="shared" si="11"/>
        <v>0.25830000000000009</v>
      </c>
      <c r="AS29">
        <f t="shared" si="11"/>
        <v>0.25830000000000009</v>
      </c>
      <c r="AT29">
        <f t="shared" si="11"/>
        <v>0.25830000000000009</v>
      </c>
      <c r="AU29">
        <f t="shared" si="11"/>
        <v>0.25830000000000009</v>
      </c>
      <c r="AV29">
        <f t="shared" si="11"/>
        <v>0.25830000000000009</v>
      </c>
      <c r="AW29">
        <f t="shared" si="11"/>
        <v>0.25830000000000009</v>
      </c>
      <c r="AX29">
        <f t="shared" si="11"/>
        <v>0.25830000000000009</v>
      </c>
      <c r="AY29">
        <f t="shared" si="11"/>
        <v>0.25830000000000009</v>
      </c>
      <c r="AZ29">
        <f t="shared" si="11"/>
        <v>0.25830000000000009</v>
      </c>
      <c r="BA29" s="6"/>
    </row>
    <row r="30" spans="1:53" x14ac:dyDescent="0.2">
      <c r="A30">
        <f t="shared" si="6"/>
        <v>35</v>
      </c>
      <c r="B30" s="3">
        <f t="shared" si="0"/>
        <v>70</v>
      </c>
      <c r="C30">
        <f t="shared" si="7"/>
        <v>0.24412500000000006</v>
      </c>
      <c r="D30">
        <f t="shared" si="7"/>
        <v>0.24412500000000006</v>
      </c>
      <c r="E30">
        <f t="shared" si="7"/>
        <v>0.24412500000000006</v>
      </c>
      <c r="F30">
        <f t="shared" si="7"/>
        <v>0.24412500000000006</v>
      </c>
      <c r="G30">
        <f t="shared" si="7"/>
        <v>0.24412500000000006</v>
      </c>
      <c r="H30">
        <f t="shared" si="7"/>
        <v>0.24412500000000006</v>
      </c>
      <c r="I30">
        <f t="shared" si="7"/>
        <v>0.24412500000000006</v>
      </c>
      <c r="J30">
        <f t="shared" si="7"/>
        <v>0.24412500000000006</v>
      </c>
      <c r="K30">
        <f t="shared" si="7"/>
        <v>0.24412500000000006</v>
      </c>
      <c r="L30">
        <f t="shared" si="7"/>
        <v>0.24412500000000006</v>
      </c>
      <c r="M30">
        <f t="shared" si="8"/>
        <v>0.24412500000000006</v>
      </c>
      <c r="N30">
        <f t="shared" si="8"/>
        <v>0.24412500000000006</v>
      </c>
      <c r="O30">
        <f t="shared" si="8"/>
        <v>0.24412500000000006</v>
      </c>
      <c r="P30">
        <f t="shared" si="8"/>
        <v>0.24412500000000006</v>
      </c>
      <c r="Q30">
        <f t="shared" si="8"/>
        <v>0.24412500000000006</v>
      </c>
      <c r="R30">
        <f t="shared" si="8"/>
        <v>0.24412500000000006</v>
      </c>
      <c r="S30">
        <f t="shared" si="8"/>
        <v>0.24412500000000006</v>
      </c>
      <c r="T30">
        <f t="shared" si="8"/>
        <v>0.24412500000000006</v>
      </c>
      <c r="U30">
        <f t="shared" si="8"/>
        <v>0.24412500000000006</v>
      </c>
      <c r="V30">
        <f t="shared" si="8"/>
        <v>0.24412500000000006</v>
      </c>
      <c r="W30">
        <f t="shared" si="9"/>
        <v>0.24412500000000006</v>
      </c>
      <c r="X30">
        <f t="shared" si="9"/>
        <v>0.24412500000000006</v>
      </c>
      <c r="Y30">
        <f t="shared" si="9"/>
        <v>0.24412500000000006</v>
      </c>
      <c r="Z30">
        <f t="shared" si="9"/>
        <v>0.24412500000000006</v>
      </c>
      <c r="AA30">
        <f t="shared" si="9"/>
        <v>0.24412500000000006</v>
      </c>
      <c r="AB30">
        <f t="shared" si="9"/>
        <v>0.24412500000000006</v>
      </c>
      <c r="AC30">
        <f t="shared" si="9"/>
        <v>0.24412500000000006</v>
      </c>
      <c r="AD30">
        <f t="shared" si="9"/>
        <v>0.24412500000000006</v>
      </c>
      <c r="AE30">
        <f t="shared" si="9"/>
        <v>0.24412500000000006</v>
      </c>
      <c r="AF30">
        <f t="shared" si="9"/>
        <v>0.24412500000000006</v>
      </c>
      <c r="AG30">
        <f t="shared" si="10"/>
        <v>0.24412500000000006</v>
      </c>
      <c r="AH30">
        <f t="shared" si="10"/>
        <v>0.24412500000000006</v>
      </c>
      <c r="AI30">
        <f t="shared" si="10"/>
        <v>0.24412500000000006</v>
      </c>
      <c r="AJ30">
        <f t="shared" si="10"/>
        <v>0.24412500000000006</v>
      </c>
      <c r="AK30">
        <f t="shared" si="10"/>
        <v>0.24412500000000006</v>
      </c>
      <c r="AL30">
        <f t="shared" si="10"/>
        <v>0.24412500000000006</v>
      </c>
      <c r="AM30">
        <f t="shared" si="10"/>
        <v>0.24412500000000006</v>
      </c>
      <c r="AN30">
        <f t="shared" si="10"/>
        <v>0.24412500000000006</v>
      </c>
      <c r="AO30">
        <f t="shared" si="10"/>
        <v>0.24412500000000006</v>
      </c>
      <c r="AP30">
        <f t="shared" si="10"/>
        <v>0.24412500000000006</v>
      </c>
      <c r="AQ30">
        <f t="shared" si="11"/>
        <v>0.24412500000000006</v>
      </c>
      <c r="AR30">
        <f t="shared" si="11"/>
        <v>0.24412500000000006</v>
      </c>
      <c r="AS30">
        <f t="shared" si="11"/>
        <v>0.24412500000000006</v>
      </c>
      <c r="AT30">
        <f t="shared" si="11"/>
        <v>0.24412500000000006</v>
      </c>
      <c r="AU30">
        <f t="shared" si="11"/>
        <v>0.24412500000000006</v>
      </c>
      <c r="AV30">
        <f t="shared" si="11"/>
        <v>0.24412500000000006</v>
      </c>
      <c r="AW30">
        <f t="shared" si="11"/>
        <v>0.24412500000000006</v>
      </c>
      <c r="AX30">
        <f t="shared" si="11"/>
        <v>0.24412500000000006</v>
      </c>
      <c r="AY30">
        <f t="shared" si="11"/>
        <v>0.24412500000000006</v>
      </c>
      <c r="AZ30">
        <f t="shared" si="11"/>
        <v>0.24412500000000006</v>
      </c>
      <c r="BA30" s="6"/>
    </row>
    <row r="31" spans="1:53" x14ac:dyDescent="0.2">
      <c r="A31">
        <f t="shared" si="6"/>
        <v>34</v>
      </c>
      <c r="B31" s="3">
        <f t="shared" si="0"/>
        <v>68</v>
      </c>
      <c r="C31">
        <f t="shared" si="7"/>
        <v>0.23035000000000005</v>
      </c>
      <c r="D31">
        <f t="shared" si="7"/>
        <v>0.23035000000000005</v>
      </c>
      <c r="E31">
        <f t="shared" si="7"/>
        <v>0.23035000000000005</v>
      </c>
      <c r="F31">
        <f t="shared" si="7"/>
        <v>0.23035000000000005</v>
      </c>
      <c r="G31">
        <f t="shared" si="7"/>
        <v>0.23035000000000005</v>
      </c>
      <c r="H31">
        <f t="shared" si="7"/>
        <v>0.23035000000000005</v>
      </c>
      <c r="I31">
        <f t="shared" si="7"/>
        <v>0.23035000000000005</v>
      </c>
      <c r="J31">
        <f t="shared" si="7"/>
        <v>0.23035000000000005</v>
      </c>
      <c r="K31">
        <f t="shared" si="7"/>
        <v>0.23035000000000005</v>
      </c>
      <c r="L31">
        <f t="shared" si="7"/>
        <v>0.23035000000000005</v>
      </c>
      <c r="M31">
        <f t="shared" si="8"/>
        <v>0.23035000000000005</v>
      </c>
      <c r="N31">
        <f t="shared" si="8"/>
        <v>0.23035000000000005</v>
      </c>
      <c r="O31">
        <f t="shared" si="8"/>
        <v>0.23035000000000005</v>
      </c>
      <c r="P31">
        <f t="shared" si="8"/>
        <v>0.23035000000000005</v>
      </c>
      <c r="Q31">
        <f t="shared" si="8"/>
        <v>0.23035000000000005</v>
      </c>
      <c r="R31">
        <f t="shared" si="8"/>
        <v>0.23035000000000005</v>
      </c>
      <c r="S31">
        <f t="shared" si="8"/>
        <v>0.23035000000000005</v>
      </c>
      <c r="T31">
        <f t="shared" si="8"/>
        <v>0.23035000000000005</v>
      </c>
      <c r="U31">
        <f t="shared" si="8"/>
        <v>0.23035000000000005</v>
      </c>
      <c r="V31">
        <f t="shared" si="8"/>
        <v>0.23035000000000005</v>
      </c>
      <c r="W31">
        <f t="shared" si="9"/>
        <v>0.23035000000000005</v>
      </c>
      <c r="X31">
        <f t="shared" si="9"/>
        <v>0.23035000000000005</v>
      </c>
      <c r="Y31">
        <f t="shared" si="9"/>
        <v>0.23035000000000005</v>
      </c>
      <c r="Z31">
        <f t="shared" si="9"/>
        <v>0.23035000000000005</v>
      </c>
      <c r="AA31">
        <f t="shared" si="9"/>
        <v>0.23035000000000005</v>
      </c>
      <c r="AB31">
        <f t="shared" si="9"/>
        <v>0.23035000000000005</v>
      </c>
      <c r="AC31">
        <f t="shared" si="9"/>
        <v>0.23035000000000005</v>
      </c>
      <c r="AD31">
        <f t="shared" si="9"/>
        <v>0.23035000000000005</v>
      </c>
      <c r="AE31">
        <f t="shared" si="9"/>
        <v>0.23035000000000005</v>
      </c>
      <c r="AF31">
        <f t="shared" si="9"/>
        <v>0.23035000000000005</v>
      </c>
      <c r="AG31">
        <f t="shared" si="10"/>
        <v>0.23035000000000005</v>
      </c>
      <c r="AH31">
        <f t="shared" si="10"/>
        <v>0.23035000000000005</v>
      </c>
      <c r="AI31">
        <f t="shared" si="10"/>
        <v>0.23035000000000005</v>
      </c>
      <c r="AJ31">
        <f t="shared" si="10"/>
        <v>0.23035000000000005</v>
      </c>
      <c r="AK31">
        <f t="shared" si="10"/>
        <v>0.23035000000000005</v>
      </c>
      <c r="AL31">
        <f t="shared" si="10"/>
        <v>0.23035000000000005</v>
      </c>
      <c r="AM31">
        <f t="shared" si="10"/>
        <v>0.23035000000000005</v>
      </c>
      <c r="AN31">
        <f t="shared" si="10"/>
        <v>0.23035000000000005</v>
      </c>
      <c r="AO31">
        <f t="shared" si="10"/>
        <v>0.23035000000000005</v>
      </c>
      <c r="AP31">
        <f t="shared" si="10"/>
        <v>0.23035000000000005</v>
      </c>
      <c r="AQ31">
        <f t="shared" si="11"/>
        <v>0.23035000000000005</v>
      </c>
      <c r="AR31">
        <f t="shared" si="11"/>
        <v>0.23035000000000005</v>
      </c>
      <c r="AS31">
        <f t="shared" si="11"/>
        <v>0.23035000000000005</v>
      </c>
      <c r="AT31">
        <f t="shared" si="11"/>
        <v>0.23035000000000005</v>
      </c>
      <c r="AU31">
        <f t="shared" si="11"/>
        <v>0.23035000000000005</v>
      </c>
      <c r="AV31">
        <f t="shared" si="11"/>
        <v>0.23035000000000005</v>
      </c>
      <c r="AW31">
        <f t="shared" si="11"/>
        <v>0.23035000000000005</v>
      </c>
      <c r="AX31">
        <f t="shared" si="11"/>
        <v>0.23035000000000005</v>
      </c>
      <c r="AY31">
        <f t="shared" si="11"/>
        <v>0.23035000000000005</v>
      </c>
      <c r="AZ31">
        <f t="shared" si="11"/>
        <v>0.23035000000000005</v>
      </c>
      <c r="BA31" s="6"/>
    </row>
    <row r="32" spans="1:53" x14ac:dyDescent="0.2">
      <c r="A32">
        <f t="shared" si="6"/>
        <v>33</v>
      </c>
      <c r="B32" s="3">
        <f t="shared" si="0"/>
        <v>66</v>
      </c>
      <c r="C32">
        <f t="shared" si="7"/>
        <v>0.21697500000000006</v>
      </c>
      <c r="D32">
        <f t="shared" si="7"/>
        <v>0.21697500000000006</v>
      </c>
      <c r="E32">
        <f t="shared" si="7"/>
        <v>0.21697500000000006</v>
      </c>
      <c r="F32">
        <f t="shared" si="7"/>
        <v>0.21697500000000006</v>
      </c>
      <c r="G32">
        <f t="shared" si="7"/>
        <v>0.21697500000000006</v>
      </c>
      <c r="H32">
        <f t="shared" si="7"/>
        <v>0.21697500000000006</v>
      </c>
      <c r="I32">
        <f t="shared" si="7"/>
        <v>0.21697500000000006</v>
      </c>
      <c r="J32">
        <f t="shared" si="7"/>
        <v>0.21697500000000006</v>
      </c>
      <c r="K32">
        <f t="shared" si="7"/>
        <v>0.21697500000000006</v>
      </c>
      <c r="L32">
        <f t="shared" si="7"/>
        <v>0.21697500000000006</v>
      </c>
      <c r="M32">
        <f t="shared" si="8"/>
        <v>0.21697500000000006</v>
      </c>
      <c r="N32">
        <f t="shared" si="8"/>
        <v>0.21697500000000006</v>
      </c>
      <c r="O32">
        <f t="shared" si="8"/>
        <v>0.21697500000000006</v>
      </c>
      <c r="P32">
        <f t="shared" si="8"/>
        <v>0.21697500000000006</v>
      </c>
      <c r="Q32">
        <f t="shared" si="8"/>
        <v>0.21697500000000006</v>
      </c>
      <c r="R32">
        <f t="shared" si="8"/>
        <v>0.21697500000000006</v>
      </c>
      <c r="S32">
        <f t="shared" si="8"/>
        <v>0.21697500000000006</v>
      </c>
      <c r="T32">
        <f t="shared" si="8"/>
        <v>0.21697500000000006</v>
      </c>
      <c r="U32">
        <f t="shared" si="8"/>
        <v>0.21697500000000006</v>
      </c>
      <c r="V32">
        <f t="shared" si="8"/>
        <v>0.21697500000000006</v>
      </c>
      <c r="W32">
        <f t="shared" si="9"/>
        <v>0.21697500000000006</v>
      </c>
      <c r="X32">
        <f t="shared" si="9"/>
        <v>0.21697500000000006</v>
      </c>
      <c r="Y32">
        <f t="shared" si="9"/>
        <v>0.21697500000000006</v>
      </c>
      <c r="Z32">
        <f t="shared" si="9"/>
        <v>0.21697500000000006</v>
      </c>
      <c r="AA32">
        <f t="shared" si="9"/>
        <v>0.21697500000000006</v>
      </c>
      <c r="AB32">
        <f t="shared" si="9"/>
        <v>0.21697500000000006</v>
      </c>
      <c r="AC32">
        <f t="shared" si="9"/>
        <v>0.21697500000000006</v>
      </c>
      <c r="AD32">
        <f t="shared" si="9"/>
        <v>0.21697500000000006</v>
      </c>
      <c r="AE32">
        <f t="shared" si="9"/>
        <v>0.21697500000000006</v>
      </c>
      <c r="AF32">
        <f t="shared" si="9"/>
        <v>0.21697500000000006</v>
      </c>
      <c r="AG32">
        <f t="shared" si="10"/>
        <v>0.21697500000000006</v>
      </c>
      <c r="AH32">
        <f t="shared" si="10"/>
        <v>0.21697500000000006</v>
      </c>
      <c r="AI32">
        <f t="shared" si="10"/>
        <v>0.21697500000000006</v>
      </c>
      <c r="AJ32">
        <f t="shared" si="10"/>
        <v>0.21697500000000006</v>
      </c>
      <c r="AK32">
        <f t="shared" si="10"/>
        <v>0.21697500000000006</v>
      </c>
      <c r="AL32">
        <f t="shared" si="10"/>
        <v>0.21697500000000006</v>
      </c>
      <c r="AM32">
        <f t="shared" si="10"/>
        <v>0.21697500000000006</v>
      </c>
      <c r="AN32">
        <f t="shared" si="10"/>
        <v>0.21697500000000006</v>
      </c>
      <c r="AO32">
        <f t="shared" si="10"/>
        <v>0.21697500000000006</v>
      </c>
      <c r="AP32">
        <f t="shared" si="10"/>
        <v>0.21697500000000006</v>
      </c>
      <c r="AQ32">
        <f t="shared" si="11"/>
        <v>0.21697500000000006</v>
      </c>
      <c r="AR32">
        <f t="shared" si="11"/>
        <v>0.21697500000000006</v>
      </c>
      <c r="AS32">
        <f t="shared" si="11"/>
        <v>0.21697500000000006</v>
      </c>
      <c r="AT32">
        <f t="shared" si="11"/>
        <v>0.21697500000000006</v>
      </c>
      <c r="AU32">
        <f t="shared" si="11"/>
        <v>0.21697500000000006</v>
      </c>
      <c r="AV32">
        <f t="shared" si="11"/>
        <v>0.21697500000000006</v>
      </c>
      <c r="AW32">
        <f t="shared" si="11"/>
        <v>0.21697500000000006</v>
      </c>
      <c r="AX32">
        <f t="shared" si="11"/>
        <v>0.21697500000000006</v>
      </c>
      <c r="AY32">
        <f t="shared" si="11"/>
        <v>0.21697500000000006</v>
      </c>
      <c r="AZ32">
        <f t="shared" si="11"/>
        <v>0.21697500000000006</v>
      </c>
      <c r="BA32" s="6"/>
    </row>
    <row r="33" spans="1:53" x14ac:dyDescent="0.2">
      <c r="A33">
        <f t="shared" si="6"/>
        <v>32</v>
      </c>
      <c r="B33" s="3">
        <f t="shared" si="0"/>
        <v>64</v>
      </c>
      <c r="C33">
        <f t="shared" si="7"/>
        <v>0.20400000000000007</v>
      </c>
      <c r="D33">
        <f t="shared" si="7"/>
        <v>0.20400000000000007</v>
      </c>
      <c r="E33">
        <f t="shared" si="7"/>
        <v>0.20400000000000007</v>
      </c>
      <c r="F33">
        <f t="shared" si="7"/>
        <v>0.20400000000000007</v>
      </c>
      <c r="G33">
        <f t="shared" si="7"/>
        <v>0.20400000000000007</v>
      </c>
      <c r="H33">
        <f t="shared" si="7"/>
        <v>0.20400000000000007</v>
      </c>
      <c r="I33">
        <f t="shared" si="7"/>
        <v>0.20400000000000007</v>
      </c>
      <c r="J33">
        <f t="shared" si="7"/>
        <v>0.20400000000000007</v>
      </c>
      <c r="K33">
        <f t="shared" si="7"/>
        <v>0.20400000000000007</v>
      </c>
      <c r="L33">
        <f t="shared" si="7"/>
        <v>0.20400000000000007</v>
      </c>
      <c r="M33">
        <f t="shared" si="8"/>
        <v>0.20400000000000007</v>
      </c>
      <c r="N33">
        <f t="shared" si="8"/>
        <v>0.20400000000000007</v>
      </c>
      <c r="O33">
        <f t="shared" si="8"/>
        <v>0.20400000000000007</v>
      </c>
      <c r="P33">
        <f t="shared" si="8"/>
        <v>0.20400000000000007</v>
      </c>
      <c r="Q33">
        <f t="shared" si="8"/>
        <v>0.20400000000000007</v>
      </c>
      <c r="R33">
        <f t="shared" si="8"/>
        <v>0.20400000000000007</v>
      </c>
      <c r="S33">
        <f t="shared" si="8"/>
        <v>0.20400000000000007</v>
      </c>
      <c r="T33">
        <f t="shared" si="8"/>
        <v>0.20400000000000007</v>
      </c>
      <c r="U33">
        <f t="shared" si="8"/>
        <v>0.20400000000000007</v>
      </c>
      <c r="V33">
        <f t="shared" si="8"/>
        <v>0.20400000000000007</v>
      </c>
      <c r="W33">
        <f t="shared" si="9"/>
        <v>0.20400000000000007</v>
      </c>
      <c r="X33">
        <f t="shared" si="9"/>
        <v>0.20400000000000007</v>
      </c>
      <c r="Y33">
        <f t="shared" si="9"/>
        <v>0.20400000000000007</v>
      </c>
      <c r="Z33">
        <f t="shared" si="9"/>
        <v>0.20400000000000007</v>
      </c>
      <c r="AA33">
        <f t="shared" si="9"/>
        <v>0.20400000000000007</v>
      </c>
      <c r="AB33">
        <f t="shared" si="9"/>
        <v>0.20400000000000007</v>
      </c>
      <c r="AC33">
        <f t="shared" si="9"/>
        <v>0.20400000000000007</v>
      </c>
      <c r="AD33">
        <f t="shared" si="9"/>
        <v>0.20400000000000007</v>
      </c>
      <c r="AE33">
        <f t="shared" si="9"/>
        <v>0.20400000000000007</v>
      </c>
      <c r="AF33">
        <f t="shared" si="9"/>
        <v>0.20400000000000007</v>
      </c>
      <c r="AG33">
        <f t="shared" si="10"/>
        <v>0.20400000000000007</v>
      </c>
      <c r="AH33">
        <f t="shared" si="10"/>
        <v>0.20400000000000007</v>
      </c>
      <c r="AI33">
        <f t="shared" si="10"/>
        <v>0.20400000000000007</v>
      </c>
      <c r="AJ33">
        <f t="shared" si="10"/>
        <v>0.20400000000000007</v>
      </c>
      <c r="AK33">
        <f t="shared" si="10"/>
        <v>0.20400000000000007</v>
      </c>
      <c r="AL33">
        <f t="shared" si="10"/>
        <v>0.20400000000000007</v>
      </c>
      <c r="AM33">
        <f t="shared" si="10"/>
        <v>0.20400000000000007</v>
      </c>
      <c r="AN33">
        <f t="shared" si="10"/>
        <v>0.20400000000000007</v>
      </c>
      <c r="AO33">
        <f t="shared" si="10"/>
        <v>0.20400000000000007</v>
      </c>
      <c r="AP33">
        <f t="shared" si="10"/>
        <v>0.20400000000000007</v>
      </c>
      <c r="AQ33">
        <f t="shared" si="11"/>
        <v>0.20400000000000007</v>
      </c>
      <c r="AR33">
        <f t="shared" si="11"/>
        <v>0.20400000000000007</v>
      </c>
      <c r="AS33">
        <f t="shared" si="11"/>
        <v>0.20400000000000007</v>
      </c>
      <c r="AT33">
        <f t="shared" si="11"/>
        <v>0.20400000000000007</v>
      </c>
      <c r="AU33">
        <f t="shared" si="11"/>
        <v>0.20400000000000007</v>
      </c>
      <c r="AV33">
        <f t="shared" si="11"/>
        <v>0.20400000000000007</v>
      </c>
      <c r="AW33">
        <f t="shared" si="11"/>
        <v>0.20400000000000007</v>
      </c>
      <c r="AX33">
        <f t="shared" si="11"/>
        <v>0.20400000000000007</v>
      </c>
      <c r="AY33">
        <f t="shared" si="11"/>
        <v>0.20400000000000007</v>
      </c>
      <c r="AZ33">
        <f t="shared" si="11"/>
        <v>0.20400000000000007</v>
      </c>
      <c r="BA33" s="6"/>
    </row>
    <row r="34" spans="1:53" x14ac:dyDescent="0.2">
      <c r="A34">
        <f t="shared" si="6"/>
        <v>31</v>
      </c>
      <c r="B34" s="3">
        <f t="shared" si="0"/>
        <v>62</v>
      </c>
      <c r="C34">
        <f t="shared" si="7"/>
        <v>0.19142500000000001</v>
      </c>
      <c r="D34">
        <f t="shared" si="7"/>
        <v>0.19142500000000001</v>
      </c>
      <c r="E34">
        <f t="shared" si="7"/>
        <v>0.19142500000000001</v>
      </c>
      <c r="F34">
        <f t="shared" si="7"/>
        <v>0.19142500000000001</v>
      </c>
      <c r="G34">
        <f t="shared" si="7"/>
        <v>0.19142500000000001</v>
      </c>
      <c r="H34">
        <f t="shared" si="7"/>
        <v>0.19142500000000001</v>
      </c>
      <c r="I34">
        <f t="shared" si="7"/>
        <v>0.19142500000000001</v>
      </c>
      <c r="J34">
        <f t="shared" si="7"/>
        <v>0.19142500000000001</v>
      </c>
      <c r="K34">
        <f t="shared" si="7"/>
        <v>0.19142500000000001</v>
      </c>
      <c r="L34">
        <f t="shared" si="7"/>
        <v>0.19142500000000001</v>
      </c>
      <c r="M34">
        <f t="shared" si="8"/>
        <v>0.19142500000000001</v>
      </c>
      <c r="N34">
        <f t="shared" si="8"/>
        <v>0.19142500000000001</v>
      </c>
      <c r="O34">
        <f t="shared" si="8"/>
        <v>0.19142500000000001</v>
      </c>
      <c r="P34">
        <f t="shared" si="8"/>
        <v>0.19142500000000001</v>
      </c>
      <c r="Q34">
        <f t="shared" si="8"/>
        <v>0.19142500000000001</v>
      </c>
      <c r="R34">
        <f t="shared" si="8"/>
        <v>0.19142500000000001</v>
      </c>
      <c r="S34">
        <f t="shared" si="8"/>
        <v>0.19142500000000001</v>
      </c>
      <c r="T34">
        <f t="shared" si="8"/>
        <v>0.19142500000000001</v>
      </c>
      <c r="U34">
        <f t="shared" si="8"/>
        <v>0.19142500000000001</v>
      </c>
      <c r="V34">
        <f t="shared" si="8"/>
        <v>0.19142500000000001</v>
      </c>
      <c r="W34">
        <f t="shared" si="9"/>
        <v>0.19142500000000001</v>
      </c>
      <c r="X34">
        <f t="shared" si="9"/>
        <v>0.19142500000000001</v>
      </c>
      <c r="Y34">
        <f t="shared" si="9"/>
        <v>0.19142500000000001</v>
      </c>
      <c r="Z34">
        <f t="shared" si="9"/>
        <v>0.19142500000000001</v>
      </c>
      <c r="AA34">
        <f t="shared" si="9"/>
        <v>0.19142500000000001</v>
      </c>
      <c r="AB34">
        <f t="shared" si="9"/>
        <v>0.19142500000000001</v>
      </c>
      <c r="AC34">
        <f t="shared" si="9"/>
        <v>0.19142500000000001</v>
      </c>
      <c r="AD34">
        <f t="shared" si="9"/>
        <v>0.19142500000000001</v>
      </c>
      <c r="AE34">
        <f t="shared" si="9"/>
        <v>0.19142500000000001</v>
      </c>
      <c r="AF34">
        <f t="shared" si="9"/>
        <v>0.19142500000000001</v>
      </c>
      <c r="AG34">
        <f t="shared" si="10"/>
        <v>0.19142500000000001</v>
      </c>
      <c r="AH34">
        <f t="shared" si="10"/>
        <v>0.19142500000000001</v>
      </c>
      <c r="AI34">
        <f t="shared" si="10"/>
        <v>0.19142500000000001</v>
      </c>
      <c r="AJ34">
        <f t="shared" si="10"/>
        <v>0.19142500000000001</v>
      </c>
      <c r="AK34">
        <f t="shared" si="10"/>
        <v>0.19142500000000001</v>
      </c>
      <c r="AL34">
        <f t="shared" si="10"/>
        <v>0.19142500000000001</v>
      </c>
      <c r="AM34">
        <f t="shared" si="10"/>
        <v>0.19142500000000001</v>
      </c>
      <c r="AN34">
        <f t="shared" si="10"/>
        <v>0.19142500000000001</v>
      </c>
      <c r="AO34">
        <f t="shared" si="10"/>
        <v>0.19142500000000001</v>
      </c>
      <c r="AP34">
        <f t="shared" si="10"/>
        <v>0.19142500000000001</v>
      </c>
      <c r="AQ34">
        <f t="shared" si="11"/>
        <v>0.19142500000000001</v>
      </c>
      <c r="AR34">
        <f t="shared" si="11"/>
        <v>0.19142500000000001</v>
      </c>
      <c r="AS34">
        <f t="shared" si="11"/>
        <v>0.19142500000000001</v>
      </c>
      <c r="AT34">
        <f t="shared" si="11"/>
        <v>0.19142500000000001</v>
      </c>
      <c r="AU34">
        <f t="shared" si="11"/>
        <v>0.19142500000000001</v>
      </c>
      <c r="AV34">
        <f t="shared" si="11"/>
        <v>0.19142500000000001</v>
      </c>
      <c r="AW34">
        <f t="shared" si="11"/>
        <v>0.19142500000000001</v>
      </c>
      <c r="AX34">
        <f t="shared" si="11"/>
        <v>0.19142500000000001</v>
      </c>
      <c r="AY34">
        <f t="shared" si="11"/>
        <v>0.19142500000000001</v>
      </c>
      <c r="AZ34">
        <f t="shared" si="11"/>
        <v>0.19142500000000001</v>
      </c>
      <c r="BA34" s="6"/>
    </row>
    <row r="35" spans="1:53" x14ac:dyDescent="0.2">
      <c r="A35">
        <f t="shared" si="6"/>
        <v>30</v>
      </c>
      <c r="B35" s="3">
        <f t="shared" si="0"/>
        <v>60</v>
      </c>
      <c r="C35">
        <f t="shared" si="7"/>
        <v>0.17925000000000005</v>
      </c>
      <c r="D35">
        <f t="shared" si="7"/>
        <v>0.17925000000000005</v>
      </c>
      <c r="E35">
        <f t="shared" si="7"/>
        <v>0.17925000000000005</v>
      </c>
      <c r="F35">
        <f t="shared" si="7"/>
        <v>0.17925000000000005</v>
      </c>
      <c r="G35">
        <f t="shared" si="7"/>
        <v>0.17925000000000005</v>
      </c>
      <c r="H35">
        <f t="shared" si="7"/>
        <v>0.17925000000000005</v>
      </c>
      <c r="I35">
        <f t="shared" si="7"/>
        <v>0.17925000000000005</v>
      </c>
      <c r="J35">
        <f t="shared" si="7"/>
        <v>0.17925000000000005</v>
      </c>
      <c r="K35">
        <f t="shared" si="7"/>
        <v>0.17925000000000005</v>
      </c>
      <c r="L35">
        <f t="shared" si="7"/>
        <v>0.17925000000000005</v>
      </c>
      <c r="M35">
        <f t="shared" si="8"/>
        <v>0.17925000000000005</v>
      </c>
      <c r="N35">
        <f t="shared" si="8"/>
        <v>0.17925000000000005</v>
      </c>
      <c r="O35">
        <f t="shared" si="8"/>
        <v>0.17925000000000005</v>
      </c>
      <c r="P35">
        <f t="shared" si="8"/>
        <v>0.17925000000000005</v>
      </c>
      <c r="Q35">
        <f t="shared" si="8"/>
        <v>0.17925000000000005</v>
      </c>
      <c r="R35">
        <f t="shared" si="8"/>
        <v>0.17925000000000005</v>
      </c>
      <c r="S35">
        <f t="shared" si="8"/>
        <v>0.17925000000000005</v>
      </c>
      <c r="T35">
        <f t="shared" si="8"/>
        <v>0.17925000000000005</v>
      </c>
      <c r="U35">
        <f t="shared" si="8"/>
        <v>0.17925000000000005</v>
      </c>
      <c r="V35">
        <f t="shared" si="8"/>
        <v>0.17925000000000005</v>
      </c>
      <c r="W35">
        <f t="shared" si="9"/>
        <v>0.17925000000000005</v>
      </c>
      <c r="X35">
        <f t="shared" si="9"/>
        <v>0.17925000000000005</v>
      </c>
      <c r="Y35">
        <f t="shared" si="9"/>
        <v>0.17925000000000005</v>
      </c>
      <c r="Z35">
        <f t="shared" si="9"/>
        <v>0.17925000000000005</v>
      </c>
      <c r="AA35">
        <f t="shared" si="9"/>
        <v>0.17925000000000005</v>
      </c>
      <c r="AB35">
        <f t="shared" si="9"/>
        <v>0.17925000000000005</v>
      </c>
      <c r="AC35">
        <f t="shared" si="9"/>
        <v>0.17925000000000005</v>
      </c>
      <c r="AD35">
        <f t="shared" si="9"/>
        <v>0.17925000000000005</v>
      </c>
      <c r="AE35">
        <f t="shared" si="9"/>
        <v>0.17925000000000005</v>
      </c>
      <c r="AF35">
        <f t="shared" si="9"/>
        <v>0.17925000000000005</v>
      </c>
      <c r="AG35">
        <f t="shared" si="10"/>
        <v>0.17925000000000005</v>
      </c>
      <c r="AH35">
        <f t="shared" si="10"/>
        <v>0.17925000000000005</v>
      </c>
      <c r="AI35">
        <f t="shared" si="10"/>
        <v>0.17925000000000005</v>
      </c>
      <c r="AJ35">
        <f t="shared" si="10"/>
        <v>0.17925000000000005</v>
      </c>
      <c r="AK35">
        <f t="shared" si="10"/>
        <v>0.17925000000000005</v>
      </c>
      <c r="AL35">
        <f t="shared" si="10"/>
        <v>0.17925000000000005</v>
      </c>
      <c r="AM35">
        <f t="shared" si="10"/>
        <v>0.17925000000000005</v>
      </c>
      <c r="AN35">
        <f t="shared" si="10"/>
        <v>0.17925000000000005</v>
      </c>
      <c r="AO35">
        <f t="shared" si="10"/>
        <v>0.17925000000000005</v>
      </c>
      <c r="AP35">
        <f t="shared" si="10"/>
        <v>0.17925000000000005</v>
      </c>
      <c r="AQ35">
        <f t="shared" si="11"/>
        <v>0.17925000000000005</v>
      </c>
      <c r="AR35">
        <f t="shared" si="11"/>
        <v>0.17925000000000005</v>
      </c>
      <c r="AS35">
        <f t="shared" si="11"/>
        <v>0.17925000000000005</v>
      </c>
      <c r="AT35">
        <f t="shared" si="11"/>
        <v>0.17925000000000005</v>
      </c>
      <c r="AU35">
        <f t="shared" si="11"/>
        <v>0.17925000000000005</v>
      </c>
      <c r="AV35">
        <f t="shared" si="11"/>
        <v>0.17925000000000005</v>
      </c>
      <c r="AW35">
        <f t="shared" si="11"/>
        <v>0.17925000000000005</v>
      </c>
      <c r="AX35">
        <f t="shared" si="11"/>
        <v>0.17925000000000005</v>
      </c>
      <c r="AY35">
        <f t="shared" si="11"/>
        <v>0.17925000000000005</v>
      </c>
      <c r="AZ35">
        <f t="shared" si="11"/>
        <v>0.17925000000000005</v>
      </c>
      <c r="BA35" s="6"/>
    </row>
    <row r="36" spans="1:53" x14ac:dyDescent="0.2">
      <c r="A36">
        <f t="shared" si="6"/>
        <v>29</v>
      </c>
      <c r="B36" s="3">
        <f t="shared" si="0"/>
        <v>58</v>
      </c>
      <c r="C36">
        <f t="shared" ref="C36:L45" si="12">(0.5*sigma^2*$A36^2-0.5*(rate -d)*$A36)*dt</f>
        <v>0.16747500000000001</v>
      </c>
      <c r="D36">
        <f t="shared" si="12"/>
        <v>0.16747500000000001</v>
      </c>
      <c r="E36">
        <f t="shared" si="12"/>
        <v>0.16747500000000001</v>
      </c>
      <c r="F36">
        <f t="shared" si="12"/>
        <v>0.16747500000000001</v>
      </c>
      <c r="G36">
        <f t="shared" si="12"/>
        <v>0.16747500000000001</v>
      </c>
      <c r="H36">
        <f t="shared" si="12"/>
        <v>0.16747500000000001</v>
      </c>
      <c r="I36">
        <f t="shared" si="12"/>
        <v>0.16747500000000001</v>
      </c>
      <c r="J36">
        <f t="shared" si="12"/>
        <v>0.16747500000000001</v>
      </c>
      <c r="K36">
        <f t="shared" si="12"/>
        <v>0.16747500000000001</v>
      </c>
      <c r="L36">
        <f t="shared" si="12"/>
        <v>0.16747500000000001</v>
      </c>
      <c r="M36">
        <f t="shared" ref="M36:V45" si="13">(0.5*sigma^2*$A36^2-0.5*(rate -d)*$A36)*dt</f>
        <v>0.16747500000000001</v>
      </c>
      <c r="N36">
        <f t="shared" si="13"/>
        <v>0.16747500000000001</v>
      </c>
      <c r="O36">
        <f t="shared" si="13"/>
        <v>0.16747500000000001</v>
      </c>
      <c r="P36">
        <f t="shared" si="13"/>
        <v>0.16747500000000001</v>
      </c>
      <c r="Q36">
        <f t="shared" si="13"/>
        <v>0.16747500000000001</v>
      </c>
      <c r="R36">
        <f t="shared" si="13"/>
        <v>0.16747500000000001</v>
      </c>
      <c r="S36">
        <f t="shared" si="13"/>
        <v>0.16747500000000001</v>
      </c>
      <c r="T36">
        <f t="shared" si="13"/>
        <v>0.16747500000000001</v>
      </c>
      <c r="U36">
        <f t="shared" si="13"/>
        <v>0.16747500000000001</v>
      </c>
      <c r="V36">
        <f t="shared" si="13"/>
        <v>0.16747500000000001</v>
      </c>
      <c r="W36">
        <f t="shared" ref="W36:AF45" si="14">(0.5*sigma^2*$A36^2-0.5*(rate -d)*$A36)*dt</f>
        <v>0.16747500000000001</v>
      </c>
      <c r="X36">
        <f t="shared" si="14"/>
        <v>0.16747500000000001</v>
      </c>
      <c r="Y36">
        <f t="shared" si="14"/>
        <v>0.16747500000000001</v>
      </c>
      <c r="Z36">
        <f t="shared" si="14"/>
        <v>0.16747500000000001</v>
      </c>
      <c r="AA36">
        <f t="shared" si="14"/>
        <v>0.16747500000000001</v>
      </c>
      <c r="AB36">
        <f t="shared" si="14"/>
        <v>0.16747500000000001</v>
      </c>
      <c r="AC36">
        <f t="shared" si="14"/>
        <v>0.16747500000000001</v>
      </c>
      <c r="AD36">
        <f t="shared" si="14"/>
        <v>0.16747500000000001</v>
      </c>
      <c r="AE36">
        <f t="shared" si="14"/>
        <v>0.16747500000000001</v>
      </c>
      <c r="AF36">
        <f t="shared" si="14"/>
        <v>0.16747500000000001</v>
      </c>
      <c r="AG36">
        <f t="shared" ref="AG36:AP45" si="15">(0.5*sigma^2*$A36^2-0.5*(rate -d)*$A36)*dt</f>
        <v>0.16747500000000001</v>
      </c>
      <c r="AH36">
        <f t="shared" si="15"/>
        <v>0.16747500000000001</v>
      </c>
      <c r="AI36">
        <f t="shared" si="15"/>
        <v>0.16747500000000001</v>
      </c>
      <c r="AJ36">
        <f t="shared" si="15"/>
        <v>0.16747500000000001</v>
      </c>
      <c r="AK36">
        <f t="shared" si="15"/>
        <v>0.16747500000000001</v>
      </c>
      <c r="AL36">
        <f t="shared" si="15"/>
        <v>0.16747500000000001</v>
      </c>
      <c r="AM36">
        <f t="shared" si="15"/>
        <v>0.16747500000000001</v>
      </c>
      <c r="AN36">
        <f t="shared" si="15"/>
        <v>0.16747500000000001</v>
      </c>
      <c r="AO36">
        <f t="shared" si="15"/>
        <v>0.16747500000000001</v>
      </c>
      <c r="AP36">
        <f t="shared" si="15"/>
        <v>0.16747500000000001</v>
      </c>
      <c r="AQ36">
        <f t="shared" ref="AQ36:AZ45" si="16">(0.5*sigma^2*$A36^2-0.5*(rate -d)*$A36)*dt</f>
        <v>0.16747500000000001</v>
      </c>
      <c r="AR36">
        <f t="shared" si="16"/>
        <v>0.16747500000000001</v>
      </c>
      <c r="AS36">
        <f t="shared" si="16"/>
        <v>0.16747500000000001</v>
      </c>
      <c r="AT36">
        <f t="shared" si="16"/>
        <v>0.16747500000000001</v>
      </c>
      <c r="AU36">
        <f t="shared" si="16"/>
        <v>0.16747500000000001</v>
      </c>
      <c r="AV36">
        <f t="shared" si="16"/>
        <v>0.16747500000000001</v>
      </c>
      <c r="AW36">
        <f t="shared" si="16"/>
        <v>0.16747500000000001</v>
      </c>
      <c r="AX36">
        <f t="shared" si="16"/>
        <v>0.16747500000000001</v>
      </c>
      <c r="AY36">
        <f t="shared" si="16"/>
        <v>0.16747500000000001</v>
      </c>
      <c r="AZ36">
        <f t="shared" si="16"/>
        <v>0.16747500000000001</v>
      </c>
      <c r="BA36" s="6"/>
    </row>
    <row r="37" spans="1:53" x14ac:dyDescent="0.2">
      <c r="A37">
        <f t="shared" si="6"/>
        <v>28</v>
      </c>
      <c r="B37" s="3">
        <f t="shared" si="0"/>
        <v>56</v>
      </c>
      <c r="C37">
        <f t="shared" si="12"/>
        <v>0.15610000000000004</v>
      </c>
      <c r="D37">
        <f t="shared" si="12"/>
        <v>0.15610000000000004</v>
      </c>
      <c r="E37">
        <f t="shared" si="12"/>
        <v>0.15610000000000004</v>
      </c>
      <c r="F37">
        <f t="shared" si="12"/>
        <v>0.15610000000000004</v>
      </c>
      <c r="G37">
        <f t="shared" si="12"/>
        <v>0.15610000000000004</v>
      </c>
      <c r="H37">
        <f t="shared" si="12"/>
        <v>0.15610000000000004</v>
      </c>
      <c r="I37">
        <f t="shared" si="12"/>
        <v>0.15610000000000004</v>
      </c>
      <c r="J37">
        <f t="shared" si="12"/>
        <v>0.15610000000000004</v>
      </c>
      <c r="K37">
        <f t="shared" si="12"/>
        <v>0.15610000000000004</v>
      </c>
      <c r="L37">
        <f t="shared" si="12"/>
        <v>0.15610000000000004</v>
      </c>
      <c r="M37">
        <f t="shared" si="13"/>
        <v>0.15610000000000004</v>
      </c>
      <c r="N37">
        <f t="shared" si="13"/>
        <v>0.15610000000000004</v>
      </c>
      <c r="O37">
        <f t="shared" si="13"/>
        <v>0.15610000000000004</v>
      </c>
      <c r="P37">
        <f t="shared" si="13"/>
        <v>0.15610000000000004</v>
      </c>
      <c r="Q37">
        <f t="shared" si="13"/>
        <v>0.15610000000000004</v>
      </c>
      <c r="R37">
        <f t="shared" si="13"/>
        <v>0.15610000000000004</v>
      </c>
      <c r="S37">
        <f t="shared" si="13"/>
        <v>0.15610000000000004</v>
      </c>
      <c r="T37">
        <f t="shared" si="13"/>
        <v>0.15610000000000004</v>
      </c>
      <c r="U37">
        <f t="shared" si="13"/>
        <v>0.15610000000000004</v>
      </c>
      <c r="V37">
        <f t="shared" si="13"/>
        <v>0.15610000000000004</v>
      </c>
      <c r="W37">
        <f t="shared" si="14"/>
        <v>0.15610000000000004</v>
      </c>
      <c r="X37">
        <f t="shared" si="14"/>
        <v>0.15610000000000004</v>
      </c>
      <c r="Y37">
        <f t="shared" si="14"/>
        <v>0.15610000000000004</v>
      </c>
      <c r="Z37">
        <f t="shared" si="14"/>
        <v>0.15610000000000004</v>
      </c>
      <c r="AA37">
        <f t="shared" si="14"/>
        <v>0.15610000000000004</v>
      </c>
      <c r="AB37">
        <f t="shared" si="14"/>
        <v>0.15610000000000004</v>
      </c>
      <c r="AC37">
        <f t="shared" si="14"/>
        <v>0.15610000000000004</v>
      </c>
      <c r="AD37">
        <f t="shared" si="14"/>
        <v>0.15610000000000004</v>
      </c>
      <c r="AE37">
        <f t="shared" si="14"/>
        <v>0.15610000000000004</v>
      </c>
      <c r="AF37">
        <f t="shared" si="14"/>
        <v>0.15610000000000004</v>
      </c>
      <c r="AG37">
        <f t="shared" si="15"/>
        <v>0.15610000000000004</v>
      </c>
      <c r="AH37">
        <f t="shared" si="15"/>
        <v>0.15610000000000004</v>
      </c>
      <c r="AI37">
        <f t="shared" si="15"/>
        <v>0.15610000000000004</v>
      </c>
      <c r="AJ37">
        <f t="shared" si="15"/>
        <v>0.15610000000000004</v>
      </c>
      <c r="AK37">
        <f t="shared" si="15"/>
        <v>0.15610000000000004</v>
      </c>
      <c r="AL37">
        <f t="shared" si="15"/>
        <v>0.15610000000000004</v>
      </c>
      <c r="AM37">
        <f t="shared" si="15"/>
        <v>0.15610000000000004</v>
      </c>
      <c r="AN37">
        <f t="shared" si="15"/>
        <v>0.15610000000000004</v>
      </c>
      <c r="AO37">
        <f t="shared" si="15"/>
        <v>0.15610000000000004</v>
      </c>
      <c r="AP37">
        <f t="shared" si="15"/>
        <v>0.15610000000000004</v>
      </c>
      <c r="AQ37">
        <f t="shared" si="16"/>
        <v>0.15610000000000004</v>
      </c>
      <c r="AR37">
        <f t="shared" si="16"/>
        <v>0.15610000000000004</v>
      </c>
      <c r="AS37">
        <f t="shared" si="16"/>
        <v>0.15610000000000004</v>
      </c>
      <c r="AT37">
        <f t="shared" si="16"/>
        <v>0.15610000000000004</v>
      </c>
      <c r="AU37">
        <f t="shared" si="16"/>
        <v>0.15610000000000004</v>
      </c>
      <c r="AV37">
        <f t="shared" si="16"/>
        <v>0.15610000000000004</v>
      </c>
      <c r="AW37">
        <f t="shared" si="16"/>
        <v>0.15610000000000004</v>
      </c>
      <c r="AX37">
        <f t="shared" si="16"/>
        <v>0.15610000000000004</v>
      </c>
      <c r="AY37">
        <f t="shared" si="16"/>
        <v>0.15610000000000004</v>
      </c>
      <c r="AZ37">
        <f t="shared" si="16"/>
        <v>0.15610000000000004</v>
      </c>
      <c r="BA37" s="6"/>
    </row>
    <row r="38" spans="1:53" x14ac:dyDescent="0.2">
      <c r="A38">
        <f t="shared" si="6"/>
        <v>27</v>
      </c>
      <c r="B38" s="3">
        <f t="shared" si="0"/>
        <v>54</v>
      </c>
      <c r="C38">
        <f t="shared" si="12"/>
        <v>0.14512500000000003</v>
      </c>
      <c r="D38">
        <f t="shared" si="12"/>
        <v>0.14512500000000003</v>
      </c>
      <c r="E38">
        <f t="shared" si="12"/>
        <v>0.14512500000000003</v>
      </c>
      <c r="F38">
        <f t="shared" si="12"/>
        <v>0.14512500000000003</v>
      </c>
      <c r="G38">
        <f t="shared" si="12"/>
        <v>0.14512500000000003</v>
      </c>
      <c r="H38">
        <f t="shared" si="12"/>
        <v>0.14512500000000003</v>
      </c>
      <c r="I38">
        <f t="shared" si="12"/>
        <v>0.14512500000000003</v>
      </c>
      <c r="J38">
        <f t="shared" si="12"/>
        <v>0.14512500000000003</v>
      </c>
      <c r="K38">
        <f t="shared" si="12"/>
        <v>0.14512500000000003</v>
      </c>
      <c r="L38">
        <f t="shared" si="12"/>
        <v>0.14512500000000003</v>
      </c>
      <c r="M38">
        <f t="shared" si="13"/>
        <v>0.14512500000000003</v>
      </c>
      <c r="N38">
        <f t="shared" si="13"/>
        <v>0.14512500000000003</v>
      </c>
      <c r="O38">
        <f t="shared" si="13"/>
        <v>0.14512500000000003</v>
      </c>
      <c r="P38">
        <f t="shared" si="13"/>
        <v>0.14512500000000003</v>
      </c>
      <c r="Q38">
        <f t="shared" si="13"/>
        <v>0.14512500000000003</v>
      </c>
      <c r="R38">
        <f t="shared" si="13"/>
        <v>0.14512500000000003</v>
      </c>
      <c r="S38">
        <f t="shared" si="13"/>
        <v>0.14512500000000003</v>
      </c>
      <c r="T38">
        <f t="shared" si="13"/>
        <v>0.14512500000000003</v>
      </c>
      <c r="U38">
        <f t="shared" si="13"/>
        <v>0.14512500000000003</v>
      </c>
      <c r="V38">
        <f t="shared" si="13"/>
        <v>0.14512500000000003</v>
      </c>
      <c r="W38">
        <f t="shared" si="14"/>
        <v>0.14512500000000003</v>
      </c>
      <c r="X38">
        <f t="shared" si="14"/>
        <v>0.14512500000000003</v>
      </c>
      <c r="Y38">
        <f t="shared" si="14"/>
        <v>0.14512500000000003</v>
      </c>
      <c r="Z38">
        <f t="shared" si="14"/>
        <v>0.14512500000000003</v>
      </c>
      <c r="AA38">
        <f t="shared" si="14"/>
        <v>0.14512500000000003</v>
      </c>
      <c r="AB38">
        <f t="shared" si="14"/>
        <v>0.14512500000000003</v>
      </c>
      <c r="AC38">
        <f t="shared" si="14"/>
        <v>0.14512500000000003</v>
      </c>
      <c r="AD38">
        <f t="shared" si="14"/>
        <v>0.14512500000000003</v>
      </c>
      <c r="AE38">
        <f t="shared" si="14"/>
        <v>0.14512500000000003</v>
      </c>
      <c r="AF38">
        <f t="shared" si="14"/>
        <v>0.14512500000000003</v>
      </c>
      <c r="AG38">
        <f t="shared" si="15"/>
        <v>0.14512500000000003</v>
      </c>
      <c r="AH38">
        <f t="shared" si="15"/>
        <v>0.14512500000000003</v>
      </c>
      <c r="AI38">
        <f t="shared" si="15"/>
        <v>0.14512500000000003</v>
      </c>
      <c r="AJ38">
        <f t="shared" si="15"/>
        <v>0.14512500000000003</v>
      </c>
      <c r="AK38">
        <f t="shared" si="15"/>
        <v>0.14512500000000003</v>
      </c>
      <c r="AL38">
        <f t="shared" si="15"/>
        <v>0.14512500000000003</v>
      </c>
      <c r="AM38">
        <f t="shared" si="15"/>
        <v>0.14512500000000003</v>
      </c>
      <c r="AN38">
        <f t="shared" si="15"/>
        <v>0.14512500000000003</v>
      </c>
      <c r="AO38">
        <f t="shared" si="15"/>
        <v>0.14512500000000003</v>
      </c>
      <c r="AP38">
        <f t="shared" si="15"/>
        <v>0.14512500000000003</v>
      </c>
      <c r="AQ38">
        <f t="shared" si="16"/>
        <v>0.14512500000000003</v>
      </c>
      <c r="AR38">
        <f t="shared" si="16"/>
        <v>0.14512500000000003</v>
      </c>
      <c r="AS38">
        <f t="shared" si="16"/>
        <v>0.14512500000000003</v>
      </c>
      <c r="AT38">
        <f t="shared" si="16"/>
        <v>0.14512500000000003</v>
      </c>
      <c r="AU38">
        <f t="shared" si="16"/>
        <v>0.14512500000000003</v>
      </c>
      <c r="AV38">
        <f t="shared" si="16"/>
        <v>0.14512500000000003</v>
      </c>
      <c r="AW38">
        <f t="shared" si="16"/>
        <v>0.14512500000000003</v>
      </c>
      <c r="AX38">
        <f t="shared" si="16"/>
        <v>0.14512500000000003</v>
      </c>
      <c r="AY38">
        <f t="shared" si="16"/>
        <v>0.14512500000000003</v>
      </c>
      <c r="AZ38">
        <f t="shared" si="16"/>
        <v>0.14512500000000003</v>
      </c>
      <c r="BA38" s="6"/>
    </row>
    <row r="39" spans="1:53" x14ac:dyDescent="0.2">
      <c r="A39">
        <f t="shared" si="6"/>
        <v>26</v>
      </c>
      <c r="B39" s="3">
        <f t="shared" si="0"/>
        <v>52</v>
      </c>
      <c r="C39">
        <f t="shared" si="12"/>
        <v>0.13455000000000003</v>
      </c>
      <c r="D39">
        <f t="shared" si="12"/>
        <v>0.13455000000000003</v>
      </c>
      <c r="E39">
        <f t="shared" si="12"/>
        <v>0.13455000000000003</v>
      </c>
      <c r="F39">
        <f t="shared" si="12"/>
        <v>0.13455000000000003</v>
      </c>
      <c r="G39">
        <f t="shared" si="12"/>
        <v>0.13455000000000003</v>
      </c>
      <c r="H39">
        <f t="shared" si="12"/>
        <v>0.13455000000000003</v>
      </c>
      <c r="I39">
        <f t="shared" si="12"/>
        <v>0.13455000000000003</v>
      </c>
      <c r="J39">
        <f t="shared" si="12"/>
        <v>0.13455000000000003</v>
      </c>
      <c r="K39">
        <f t="shared" si="12"/>
        <v>0.13455000000000003</v>
      </c>
      <c r="L39">
        <f t="shared" si="12"/>
        <v>0.13455000000000003</v>
      </c>
      <c r="M39">
        <f t="shared" si="13"/>
        <v>0.13455000000000003</v>
      </c>
      <c r="N39">
        <f t="shared" si="13"/>
        <v>0.13455000000000003</v>
      </c>
      <c r="O39">
        <f t="shared" si="13"/>
        <v>0.13455000000000003</v>
      </c>
      <c r="P39">
        <f t="shared" si="13"/>
        <v>0.13455000000000003</v>
      </c>
      <c r="Q39">
        <f t="shared" si="13"/>
        <v>0.13455000000000003</v>
      </c>
      <c r="R39">
        <f t="shared" si="13"/>
        <v>0.13455000000000003</v>
      </c>
      <c r="S39">
        <f t="shared" si="13"/>
        <v>0.13455000000000003</v>
      </c>
      <c r="T39">
        <f t="shared" si="13"/>
        <v>0.13455000000000003</v>
      </c>
      <c r="U39">
        <f t="shared" si="13"/>
        <v>0.13455000000000003</v>
      </c>
      <c r="V39">
        <f t="shared" si="13"/>
        <v>0.13455000000000003</v>
      </c>
      <c r="W39">
        <f t="shared" si="14"/>
        <v>0.13455000000000003</v>
      </c>
      <c r="X39">
        <f t="shared" si="14"/>
        <v>0.13455000000000003</v>
      </c>
      <c r="Y39">
        <f t="shared" si="14"/>
        <v>0.13455000000000003</v>
      </c>
      <c r="Z39">
        <f t="shared" si="14"/>
        <v>0.13455000000000003</v>
      </c>
      <c r="AA39">
        <f t="shared" si="14"/>
        <v>0.13455000000000003</v>
      </c>
      <c r="AB39">
        <f t="shared" si="14"/>
        <v>0.13455000000000003</v>
      </c>
      <c r="AC39">
        <f t="shared" si="14"/>
        <v>0.13455000000000003</v>
      </c>
      <c r="AD39">
        <f t="shared" si="14"/>
        <v>0.13455000000000003</v>
      </c>
      <c r="AE39">
        <f t="shared" si="14"/>
        <v>0.13455000000000003</v>
      </c>
      <c r="AF39">
        <f t="shared" si="14"/>
        <v>0.13455000000000003</v>
      </c>
      <c r="AG39">
        <f t="shared" si="15"/>
        <v>0.13455000000000003</v>
      </c>
      <c r="AH39">
        <f t="shared" si="15"/>
        <v>0.13455000000000003</v>
      </c>
      <c r="AI39">
        <f t="shared" si="15"/>
        <v>0.13455000000000003</v>
      </c>
      <c r="AJ39">
        <f t="shared" si="15"/>
        <v>0.13455000000000003</v>
      </c>
      <c r="AK39">
        <f t="shared" si="15"/>
        <v>0.13455000000000003</v>
      </c>
      <c r="AL39">
        <f t="shared" si="15"/>
        <v>0.13455000000000003</v>
      </c>
      <c r="AM39">
        <f t="shared" si="15"/>
        <v>0.13455000000000003</v>
      </c>
      <c r="AN39">
        <f t="shared" si="15"/>
        <v>0.13455000000000003</v>
      </c>
      <c r="AO39">
        <f t="shared" si="15"/>
        <v>0.13455000000000003</v>
      </c>
      <c r="AP39">
        <f t="shared" si="15"/>
        <v>0.13455000000000003</v>
      </c>
      <c r="AQ39">
        <f t="shared" si="16"/>
        <v>0.13455000000000003</v>
      </c>
      <c r="AR39">
        <f t="shared" si="16"/>
        <v>0.13455000000000003</v>
      </c>
      <c r="AS39">
        <f t="shared" si="16"/>
        <v>0.13455000000000003</v>
      </c>
      <c r="AT39">
        <f t="shared" si="16"/>
        <v>0.13455000000000003</v>
      </c>
      <c r="AU39">
        <f t="shared" si="16"/>
        <v>0.13455000000000003</v>
      </c>
      <c r="AV39">
        <f t="shared" si="16"/>
        <v>0.13455000000000003</v>
      </c>
      <c r="AW39">
        <f t="shared" si="16"/>
        <v>0.13455000000000003</v>
      </c>
      <c r="AX39">
        <f t="shared" si="16"/>
        <v>0.13455000000000003</v>
      </c>
      <c r="AY39">
        <f t="shared" si="16"/>
        <v>0.13455000000000003</v>
      </c>
      <c r="AZ39">
        <f t="shared" si="16"/>
        <v>0.13455000000000003</v>
      </c>
      <c r="BA39" s="6"/>
    </row>
    <row r="40" spans="1:53" x14ac:dyDescent="0.2">
      <c r="A40">
        <f t="shared" si="6"/>
        <v>25</v>
      </c>
      <c r="B40" s="3">
        <f t="shared" si="0"/>
        <v>50</v>
      </c>
      <c r="C40">
        <f t="shared" si="12"/>
        <v>0.12437500000000003</v>
      </c>
      <c r="D40">
        <f t="shared" si="12"/>
        <v>0.12437500000000003</v>
      </c>
      <c r="E40">
        <f t="shared" si="12"/>
        <v>0.12437500000000003</v>
      </c>
      <c r="F40">
        <f t="shared" si="12"/>
        <v>0.12437500000000003</v>
      </c>
      <c r="G40">
        <f t="shared" si="12"/>
        <v>0.12437500000000003</v>
      </c>
      <c r="H40">
        <f t="shared" si="12"/>
        <v>0.12437500000000003</v>
      </c>
      <c r="I40">
        <f t="shared" si="12"/>
        <v>0.12437500000000003</v>
      </c>
      <c r="J40">
        <f t="shared" si="12"/>
        <v>0.12437500000000003</v>
      </c>
      <c r="K40">
        <f t="shared" si="12"/>
        <v>0.12437500000000003</v>
      </c>
      <c r="L40">
        <f t="shared" si="12"/>
        <v>0.12437500000000003</v>
      </c>
      <c r="M40">
        <f t="shared" si="13"/>
        <v>0.12437500000000003</v>
      </c>
      <c r="N40">
        <f t="shared" si="13"/>
        <v>0.12437500000000003</v>
      </c>
      <c r="O40">
        <f t="shared" si="13"/>
        <v>0.12437500000000003</v>
      </c>
      <c r="P40">
        <f t="shared" si="13"/>
        <v>0.12437500000000003</v>
      </c>
      <c r="Q40">
        <f t="shared" si="13"/>
        <v>0.12437500000000003</v>
      </c>
      <c r="R40">
        <f t="shared" si="13"/>
        <v>0.12437500000000003</v>
      </c>
      <c r="S40">
        <f t="shared" si="13"/>
        <v>0.12437500000000003</v>
      </c>
      <c r="T40">
        <f t="shared" si="13"/>
        <v>0.12437500000000003</v>
      </c>
      <c r="U40">
        <f t="shared" si="13"/>
        <v>0.12437500000000003</v>
      </c>
      <c r="V40">
        <f t="shared" si="13"/>
        <v>0.12437500000000003</v>
      </c>
      <c r="W40">
        <f t="shared" si="14"/>
        <v>0.12437500000000003</v>
      </c>
      <c r="X40">
        <f t="shared" si="14"/>
        <v>0.12437500000000003</v>
      </c>
      <c r="Y40">
        <f t="shared" si="14"/>
        <v>0.12437500000000003</v>
      </c>
      <c r="Z40">
        <f t="shared" si="14"/>
        <v>0.12437500000000003</v>
      </c>
      <c r="AA40">
        <f t="shared" si="14"/>
        <v>0.12437500000000003</v>
      </c>
      <c r="AB40">
        <f t="shared" si="14"/>
        <v>0.12437500000000003</v>
      </c>
      <c r="AC40">
        <f t="shared" si="14"/>
        <v>0.12437500000000003</v>
      </c>
      <c r="AD40">
        <f t="shared" si="14"/>
        <v>0.12437500000000003</v>
      </c>
      <c r="AE40">
        <f t="shared" si="14"/>
        <v>0.12437500000000003</v>
      </c>
      <c r="AF40">
        <f t="shared" si="14"/>
        <v>0.12437500000000003</v>
      </c>
      <c r="AG40">
        <f t="shared" si="15"/>
        <v>0.12437500000000003</v>
      </c>
      <c r="AH40">
        <f t="shared" si="15"/>
        <v>0.12437500000000003</v>
      </c>
      <c r="AI40">
        <f t="shared" si="15"/>
        <v>0.12437500000000003</v>
      </c>
      <c r="AJ40">
        <f t="shared" si="15"/>
        <v>0.12437500000000003</v>
      </c>
      <c r="AK40">
        <f t="shared" si="15"/>
        <v>0.12437500000000003</v>
      </c>
      <c r="AL40">
        <f t="shared" si="15"/>
        <v>0.12437500000000003</v>
      </c>
      <c r="AM40">
        <f t="shared" si="15"/>
        <v>0.12437500000000003</v>
      </c>
      <c r="AN40">
        <f t="shared" si="15"/>
        <v>0.12437500000000003</v>
      </c>
      <c r="AO40">
        <f t="shared" si="15"/>
        <v>0.12437500000000003</v>
      </c>
      <c r="AP40">
        <f t="shared" si="15"/>
        <v>0.12437500000000003</v>
      </c>
      <c r="AQ40">
        <f t="shared" si="16"/>
        <v>0.12437500000000003</v>
      </c>
      <c r="AR40">
        <f t="shared" si="16"/>
        <v>0.12437500000000003</v>
      </c>
      <c r="AS40">
        <f t="shared" si="16"/>
        <v>0.12437500000000003</v>
      </c>
      <c r="AT40">
        <f t="shared" si="16"/>
        <v>0.12437500000000003</v>
      </c>
      <c r="AU40">
        <f t="shared" si="16"/>
        <v>0.12437500000000003</v>
      </c>
      <c r="AV40">
        <f t="shared" si="16"/>
        <v>0.12437500000000003</v>
      </c>
      <c r="AW40">
        <f t="shared" si="16"/>
        <v>0.12437500000000003</v>
      </c>
      <c r="AX40">
        <f t="shared" si="16"/>
        <v>0.12437500000000003</v>
      </c>
      <c r="AY40">
        <f t="shared" si="16"/>
        <v>0.12437500000000003</v>
      </c>
      <c r="AZ40">
        <f t="shared" si="16"/>
        <v>0.12437500000000003</v>
      </c>
      <c r="BA40" s="6"/>
    </row>
    <row r="41" spans="1:53" x14ac:dyDescent="0.2">
      <c r="A41">
        <f t="shared" si="6"/>
        <v>24</v>
      </c>
      <c r="B41" s="3">
        <f t="shared" si="0"/>
        <v>48</v>
      </c>
      <c r="C41">
        <f t="shared" si="12"/>
        <v>0.11460000000000004</v>
      </c>
      <c r="D41">
        <f t="shared" si="12"/>
        <v>0.11460000000000004</v>
      </c>
      <c r="E41">
        <f t="shared" si="12"/>
        <v>0.11460000000000004</v>
      </c>
      <c r="F41">
        <f t="shared" si="12"/>
        <v>0.11460000000000004</v>
      </c>
      <c r="G41">
        <f t="shared" si="12"/>
        <v>0.11460000000000004</v>
      </c>
      <c r="H41">
        <f t="shared" si="12"/>
        <v>0.11460000000000004</v>
      </c>
      <c r="I41">
        <f t="shared" si="12"/>
        <v>0.11460000000000004</v>
      </c>
      <c r="J41">
        <f t="shared" si="12"/>
        <v>0.11460000000000004</v>
      </c>
      <c r="K41">
        <f t="shared" si="12"/>
        <v>0.11460000000000004</v>
      </c>
      <c r="L41">
        <f t="shared" si="12"/>
        <v>0.11460000000000004</v>
      </c>
      <c r="M41">
        <f t="shared" si="13"/>
        <v>0.11460000000000004</v>
      </c>
      <c r="N41">
        <f t="shared" si="13"/>
        <v>0.11460000000000004</v>
      </c>
      <c r="O41">
        <f t="shared" si="13"/>
        <v>0.11460000000000004</v>
      </c>
      <c r="P41">
        <f t="shared" si="13"/>
        <v>0.11460000000000004</v>
      </c>
      <c r="Q41">
        <f t="shared" si="13"/>
        <v>0.11460000000000004</v>
      </c>
      <c r="R41">
        <f t="shared" si="13"/>
        <v>0.11460000000000004</v>
      </c>
      <c r="S41">
        <f t="shared" si="13"/>
        <v>0.11460000000000004</v>
      </c>
      <c r="T41">
        <f t="shared" si="13"/>
        <v>0.11460000000000004</v>
      </c>
      <c r="U41">
        <f t="shared" si="13"/>
        <v>0.11460000000000004</v>
      </c>
      <c r="V41">
        <f t="shared" si="13"/>
        <v>0.11460000000000004</v>
      </c>
      <c r="W41">
        <f t="shared" si="14"/>
        <v>0.11460000000000004</v>
      </c>
      <c r="X41">
        <f t="shared" si="14"/>
        <v>0.11460000000000004</v>
      </c>
      <c r="Y41">
        <f t="shared" si="14"/>
        <v>0.11460000000000004</v>
      </c>
      <c r="Z41">
        <f t="shared" si="14"/>
        <v>0.11460000000000004</v>
      </c>
      <c r="AA41">
        <f t="shared" si="14"/>
        <v>0.11460000000000004</v>
      </c>
      <c r="AB41">
        <f t="shared" si="14"/>
        <v>0.11460000000000004</v>
      </c>
      <c r="AC41">
        <f t="shared" si="14"/>
        <v>0.11460000000000004</v>
      </c>
      <c r="AD41">
        <f t="shared" si="14"/>
        <v>0.11460000000000004</v>
      </c>
      <c r="AE41">
        <f t="shared" si="14"/>
        <v>0.11460000000000004</v>
      </c>
      <c r="AF41">
        <f t="shared" si="14"/>
        <v>0.11460000000000004</v>
      </c>
      <c r="AG41">
        <f t="shared" si="15"/>
        <v>0.11460000000000004</v>
      </c>
      <c r="AH41">
        <f t="shared" si="15"/>
        <v>0.11460000000000004</v>
      </c>
      <c r="AI41">
        <f t="shared" si="15"/>
        <v>0.11460000000000004</v>
      </c>
      <c r="AJ41">
        <f t="shared" si="15"/>
        <v>0.11460000000000004</v>
      </c>
      <c r="AK41">
        <f t="shared" si="15"/>
        <v>0.11460000000000004</v>
      </c>
      <c r="AL41">
        <f t="shared" si="15"/>
        <v>0.11460000000000004</v>
      </c>
      <c r="AM41">
        <f t="shared" si="15"/>
        <v>0.11460000000000004</v>
      </c>
      <c r="AN41">
        <f t="shared" si="15"/>
        <v>0.11460000000000004</v>
      </c>
      <c r="AO41">
        <f t="shared" si="15"/>
        <v>0.11460000000000004</v>
      </c>
      <c r="AP41">
        <f t="shared" si="15"/>
        <v>0.11460000000000004</v>
      </c>
      <c r="AQ41">
        <f t="shared" si="16"/>
        <v>0.11460000000000004</v>
      </c>
      <c r="AR41">
        <f t="shared" si="16"/>
        <v>0.11460000000000004</v>
      </c>
      <c r="AS41">
        <f t="shared" si="16"/>
        <v>0.11460000000000004</v>
      </c>
      <c r="AT41">
        <f t="shared" si="16"/>
        <v>0.11460000000000004</v>
      </c>
      <c r="AU41">
        <f t="shared" si="16"/>
        <v>0.11460000000000004</v>
      </c>
      <c r="AV41">
        <f t="shared" si="16"/>
        <v>0.11460000000000004</v>
      </c>
      <c r="AW41">
        <f t="shared" si="16"/>
        <v>0.11460000000000004</v>
      </c>
      <c r="AX41">
        <f t="shared" si="16"/>
        <v>0.11460000000000004</v>
      </c>
      <c r="AY41">
        <f t="shared" si="16"/>
        <v>0.11460000000000004</v>
      </c>
      <c r="AZ41">
        <f t="shared" si="16"/>
        <v>0.11460000000000004</v>
      </c>
      <c r="BA41" s="6"/>
    </row>
    <row r="42" spans="1:53" x14ac:dyDescent="0.2">
      <c r="A42">
        <f t="shared" si="6"/>
        <v>23</v>
      </c>
      <c r="B42" s="3">
        <f t="shared" si="0"/>
        <v>46</v>
      </c>
      <c r="C42">
        <f t="shared" si="12"/>
        <v>0.10522500000000003</v>
      </c>
      <c r="D42">
        <f t="shared" si="12"/>
        <v>0.10522500000000003</v>
      </c>
      <c r="E42">
        <f t="shared" si="12"/>
        <v>0.10522500000000003</v>
      </c>
      <c r="F42">
        <f t="shared" si="12"/>
        <v>0.10522500000000003</v>
      </c>
      <c r="G42">
        <f t="shared" si="12"/>
        <v>0.10522500000000003</v>
      </c>
      <c r="H42">
        <f t="shared" si="12"/>
        <v>0.10522500000000003</v>
      </c>
      <c r="I42">
        <f t="shared" si="12"/>
        <v>0.10522500000000003</v>
      </c>
      <c r="J42">
        <f t="shared" si="12"/>
        <v>0.10522500000000003</v>
      </c>
      <c r="K42">
        <f t="shared" si="12"/>
        <v>0.10522500000000003</v>
      </c>
      <c r="L42">
        <f t="shared" si="12"/>
        <v>0.10522500000000003</v>
      </c>
      <c r="M42">
        <f t="shared" si="13"/>
        <v>0.10522500000000003</v>
      </c>
      <c r="N42">
        <f t="shared" si="13"/>
        <v>0.10522500000000003</v>
      </c>
      <c r="O42">
        <f t="shared" si="13"/>
        <v>0.10522500000000003</v>
      </c>
      <c r="P42">
        <f t="shared" si="13"/>
        <v>0.10522500000000003</v>
      </c>
      <c r="Q42">
        <f t="shared" si="13"/>
        <v>0.10522500000000003</v>
      </c>
      <c r="R42">
        <f t="shared" si="13"/>
        <v>0.10522500000000003</v>
      </c>
      <c r="S42">
        <f t="shared" si="13"/>
        <v>0.10522500000000003</v>
      </c>
      <c r="T42">
        <f t="shared" si="13"/>
        <v>0.10522500000000003</v>
      </c>
      <c r="U42">
        <f t="shared" si="13"/>
        <v>0.10522500000000003</v>
      </c>
      <c r="V42">
        <f t="shared" si="13"/>
        <v>0.10522500000000003</v>
      </c>
      <c r="W42">
        <f t="shared" si="14"/>
        <v>0.10522500000000003</v>
      </c>
      <c r="X42">
        <f t="shared" si="14"/>
        <v>0.10522500000000003</v>
      </c>
      <c r="Y42">
        <f t="shared" si="14"/>
        <v>0.10522500000000003</v>
      </c>
      <c r="Z42">
        <f t="shared" si="14"/>
        <v>0.10522500000000003</v>
      </c>
      <c r="AA42">
        <f t="shared" si="14"/>
        <v>0.10522500000000003</v>
      </c>
      <c r="AB42">
        <f t="shared" si="14"/>
        <v>0.10522500000000003</v>
      </c>
      <c r="AC42">
        <f t="shared" si="14"/>
        <v>0.10522500000000003</v>
      </c>
      <c r="AD42">
        <f t="shared" si="14"/>
        <v>0.10522500000000003</v>
      </c>
      <c r="AE42">
        <f t="shared" si="14"/>
        <v>0.10522500000000003</v>
      </c>
      <c r="AF42">
        <f t="shared" si="14"/>
        <v>0.10522500000000003</v>
      </c>
      <c r="AG42">
        <f t="shared" si="15"/>
        <v>0.10522500000000003</v>
      </c>
      <c r="AH42">
        <f t="shared" si="15"/>
        <v>0.10522500000000003</v>
      </c>
      <c r="AI42">
        <f t="shared" si="15"/>
        <v>0.10522500000000003</v>
      </c>
      <c r="AJ42">
        <f t="shared" si="15"/>
        <v>0.10522500000000003</v>
      </c>
      <c r="AK42">
        <f t="shared" si="15"/>
        <v>0.10522500000000003</v>
      </c>
      <c r="AL42">
        <f t="shared" si="15"/>
        <v>0.10522500000000003</v>
      </c>
      <c r="AM42">
        <f t="shared" si="15"/>
        <v>0.10522500000000003</v>
      </c>
      <c r="AN42">
        <f t="shared" si="15"/>
        <v>0.10522500000000003</v>
      </c>
      <c r="AO42">
        <f t="shared" si="15"/>
        <v>0.10522500000000003</v>
      </c>
      <c r="AP42">
        <f t="shared" si="15"/>
        <v>0.10522500000000003</v>
      </c>
      <c r="AQ42">
        <f t="shared" si="16"/>
        <v>0.10522500000000003</v>
      </c>
      <c r="AR42">
        <f t="shared" si="16"/>
        <v>0.10522500000000003</v>
      </c>
      <c r="AS42">
        <f t="shared" si="16"/>
        <v>0.10522500000000003</v>
      </c>
      <c r="AT42">
        <f t="shared" si="16"/>
        <v>0.10522500000000003</v>
      </c>
      <c r="AU42">
        <f t="shared" si="16"/>
        <v>0.10522500000000003</v>
      </c>
      <c r="AV42">
        <f t="shared" si="16"/>
        <v>0.10522500000000003</v>
      </c>
      <c r="AW42">
        <f t="shared" si="16"/>
        <v>0.10522500000000003</v>
      </c>
      <c r="AX42">
        <f t="shared" si="16"/>
        <v>0.10522500000000003</v>
      </c>
      <c r="AY42">
        <f t="shared" si="16"/>
        <v>0.10522500000000003</v>
      </c>
      <c r="AZ42">
        <f t="shared" si="16"/>
        <v>0.10522500000000003</v>
      </c>
      <c r="BA42" s="6"/>
    </row>
    <row r="43" spans="1:53" x14ac:dyDescent="0.2">
      <c r="A43">
        <f t="shared" si="6"/>
        <v>22</v>
      </c>
      <c r="B43" s="3">
        <f t="shared" si="0"/>
        <v>44</v>
      </c>
      <c r="C43">
        <f t="shared" si="12"/>
        <v>9.6250000000000016E-2</v>
      </c>
      <c r="D43">
        <f t="shared" si="12"/>
        <v>9.6250000000000016E-2</v>
      </c>
      <c r="E43">
        <f t="shared" si="12"/>
        <v>9.6250000000000016E-2</v>
      </c>
      <c r="F43">
        <f t="shared" si="12"/>
        <v>9.6250000000000016E-2</v>
      </c>
      <c r="G43">
        <f t="shared" si="12"/>
        <v>9.6250000000000016E-2</v>
      </c>
      <c r="H43">
        <f t="shared" si="12"/>
        <v>9.6250000000000016E-2</v>
      </c>
      <c r="I43">
        <f t="shared" si="12"/>
        <v>9.6250000000000016E-2</v>
      </c>
      <c r="J43">
        <f t="shared" si="12"/>
        <v>9.6250000000000016E-2</v>
      </c>
      <c r="K43">
        <f t="shared" si="12"/>
        <v>9.6250000000000016E-2</v>
      </c>
      <c r="L43">
        <f t="shared" si="12"/>
        <v>9.6250000000000016E-2</v>
      </c>
      <c r="M43">
        <f t="shared" si="13"/>
        <v>9.6250000000000016E-2</v>
      </c>
      <c r="N43">
        <f t="shared" si="13"/>
        <v>9.6250000000000016E-2</v>
      </c>
      <c r="O43">
        <f t="shared" si="13"/>
        <v>9.6250000000000016E-2</v>
      </c>
      <c r="P43">
        <f t="shared" si="13"/>
        <v>9.6250000000000016E-2</v>
      </c>
      <c r="Q43">
        <f t="shared" si="13"/>
        <v>9.6250000000000016E-2</v>
      </c>
      <c r="R43">
        <f t="shared" si="13"/>
        <v>9.6250000000000016E-2</v>
      </c>
      <c r="S43">
        <f t="shared" si="13"/>
        <v>9.6250000000000016E-2</v>
      </c>
      <c r="T43">
        <f t="shared" si="13"/>
        <v>9.6250000000000016E-2</v>
      </c>
      <c r="U43">
        <f t="shared" si="13"/>
        <v>9.6250000000000016E-2</v>
      </c>
      <c r="V43">
        <f t="shared" si="13"/>
        <v>9.6250000000000016E-2</v>
      </c>
      <c r="W43">
        <f t="shared" si="14"/>
        <v>9.6250000000000016E-2</v>
      </c>
      <c r="X43">
        <f t="shared" si="14"/>
        <v>9.6250000000000016E-2</v>
      </c>
      <c r="Y43">
        <f t="shared" si="14"/>
        <v>9.6250000000000016E-2</v>
      </c>
      <c r="Z43">
        <f t="shared" si="14"/>
        <v>9.6250000000000016E-2</v>
      </c>
      <c r="AA43">
        <f t="shared" si="14"/>
        <v>9.6250000000000016E-2</v>
      </c>
      <c r="AB43">
        <f t="shared" si="14"/>
        <v>9.6250000000000016E-2</v>
      </c>
      <c r="AC43">
        <f t="shared" si="14"/>
        <v>9.6250000000000016E-2</v>
      </c>
      <c r="AD43">
        <f t="shared" si="14"/>
        <v>9.6250000000000016E-2</v>
      </c>
      <c r="AE43">
        <f t="shared" si="14"/>
        <v>9.6250000000000016E-2</v>
      </c>
      <c r="AF43">
        <f t="shared" si="14"/>
        <v>9.6250000000000016E-2</v>
      </c>
      <c r="AG43">
        <f t="shared" si="15"/>
        <v>9.6250000000000016E-2</v>
      </c>
      <c r="AH43">
        <f t="shared" si="15"/>
        <v>9.6250000000000016E-2</v>
      </c>
      <c r="AI43">
        <f t="shared" si="15"/>
        <v>9.6250000000000016E-2</v>
      </c>
      <c r="AJ43">
        <f t="shared" si="15"/>
        <v>9.6250000000000016E-2</v>
      </c>
      <c r="AK43">
        <f t="shared" si="15"/>
        <v>9.6250000000000016E-2</v>
      </c>
      <c r="AL43">
        <f t="shared" si="15"/>
        <v>9.6250000000000016E-2</v>
      </c>
      <c r="AM43">
        <f t="shared" si="15"/>
        <v>9.6250000000000016E-2</v>
      </c>
      <c r="AN43">
        <f t="shared" si="15"/>
        <v>9.6250000000000016E-2</v>
      </c>
      <c r="AO43">
        <f t="shared" si="15"/>
        <v>9.6250000000000016E-2</v>
      </c>
      <c r="AP43">
        <f t="shared" si="15"/>
        <v>9.6250000000000016E-2</v>
      </c>
      <c r="AQ43">
        <f t="shared" si="16"/>
        <v>9.6250000000000016E-2</v>
      </c>
      <c r="AR43">
        <f t="shared" si="16"/>
        <v>9.6250000000000016E-2</v>
      </c>
      <c r="AS43">
        <f t="shared" si="16"/>
        <v>9.6250000000000016E-2</v>
      </c>
      <c r="AT43">
        <f t="shared" si="16"/>
        <v>9.6250000000000016E-2</v>
      </c>
      <c r="AU43">
        <f t="shared" si="16"/>
        <v>9.6250000000000016E-2</v>
      </c>
      <c r="AV43">
        <f t="shared" si="16"/>
        <v>9.6250000000000016E-2</v>
      </c>
      <c r="AW43">
        <f t="shared" si="16"/>
        <v>9.6250000000000016E-2</v>
      </c>
      <c r="AX43">
        <f t="shared" si="16"/>
        <v>9.6250000000000016E-2</v>
      </c>
      <c r="AY43">
        <f t="shared" si="16"/>
        <v>9.6250000000000016E-2</v>
      </c>
      <c r="AZ43">
        <f t="shared" si="16"/>
        <v>9.6250000000000016E-2</v>
      </c>
      <c r="BA43" s="6"/>
    </row>
    <row r="44" spans="1:53" x14ac:dyDescent="0.2">
      <c r="A44">
        <f t="shared" si="6"/>
        <v>21</v>
      </c>
      <c r="B44" s="3">
        <f t="shared" si="0"/>
        <v>42</v>
      </c>
      <c r="C44">
        <f t="shared" si="12"/>
        <v>8.7675000000000017E-2</v>
      </c>
      <c r="D44">
        <f t="shared" si="12"/>
        <v>8.7675000000000017E-2</v>
      </c>
      <c r="E44">
        <f t="shared" si="12"/>
        <v>8.7675000000000017E-2</v>
      </c>
      <c r="F44">
        <f t="shared" si="12"/>
        <v>8.7675000000000017E-2</v>
      </c>
      <c r="G44">
        <f t="shared" si="12"/>
        <v>8.7675000000000017E-2</v>
      </c>
      <c r="H44">
        <f t="shared" si="12"/>
        <v>8.7675000000000017E-2</v>
      </c>
      <c r="I44">
        <f t="shared" si="12"/>
        <v>8.7675000000000017E-2</v>
      </c>
      <c r="J44">
        <f t="shared" si="12"/>
        <v>8.7675000000000017E-2</v>
      </c>
      <c r="K44">
        <f t="shared" si="12"/>
        <v>8.7675000000000017E-2</v>
      </c>
      <c r="L44">
        <f t="shared" si="12"/>
        <v>8.7675000000000017E-2</v>
      </c>
      <c r="M44">
        <f t="shared" si="13"/>
        <v>8.7675000000000017E-2</v>
      </c>
      <c r="N44">
        <f t="shared" si="13"/>
        <v>8.7675000000000017E-2</v>
      </c>
      <c r="O44">
        <f t="shared" si="13"/>
        <v>8.7675000000000017E-2</v>
      </c>
      <c r="P44">
        <f t="shared" si="13"/>
        <v>8.7675000000000017E-2</v>
      </c>
      <c r="Q44">
        <f t="shared" si="13"/>
        <v>8.7675000000000017E-2</v>
      </c>
      <c r="R44">
        <f t="shared" si="13"/>
        <v>8.7675000000000017E-2</v>
      </c>
      <c r="S44">
        <f t="shared" si="13"/>
        <v>8.7675000000000017E-2</v>
      </c>
      <c r="T44">
        <f t="shared" si="13"/>
        <v>8.7675000000000017E-2</v>
      </c>
      <c r="U44">
        <f t="shared" si="13"/>
        <v>8.7675000000000017E-2</v>
      </c>
      <c r="V44">
        <f t="shared" si="13"/>
        <v>8.7675000000000017E-2</v>
      </c>
      <c r="W44">
        <f t="shared" si="14"/>
        <v>8.7675000000000017E-2</v>
      </c>
      <c r="X44">
        <f t="shared" si="14"/>
        <v>8.7675000000000017E-2</v>
      </c>
      <c r="Y44">
        <f t="shared" si="14"/>
        <v>8.7675000000000017E-2</v>
      </c>
      <c r="Z44">
        <f t="shared" si="14"/>
        <v>8.7675000000000017E-2</v>
      </c>
      <c r="AA44">
        <f t="shared" si="14"/>
        <v>8.7675000000000017E-2</v>
      </c>
      <c r="AB44">
        <f t="shared" si="14"/>
        <v>8.7675000000000017E-2</v>
      </c>
      <c r="AC44">
        <f t="shared" si="14"/>
        <v>8.7675000000000017E-2</v>
      </c>
      <c r="AD44">
        <f t="shared" si="14"/>
        <v>8.7675000000000017E-2</v>
      </c>
      <c r="AE44">
        <f t="shared" si="14"/>
        <v>8.7675000000000017E-2</v>
      </c>
      <c r="AF44">
        <f t="shared" si="14"/>
        <v>8.7675000000000017E-2</v>
      </c>
      <c r="AG44">
        <f t="shared" si="15"/>
        <v>8.7675000000000017E-2</v>
      </c>
      <c r="AH44">
        <f t="shared" si="15"/>
        <v>8.7675000000000017E-2</v>
      </c>
      <c r="AI44">
        <f t="shared" si="15"/>
        <v>8.7675000000000017E-2</v>
      </c>
      <c r="AJ44">
        <f t="shared" si="15"/>
        <v>8.7675000000000017E-2</v>
      </c>
      <c r="AK44">
        <f t="shared" si="15"/>
        <v>8.7675000000000017E-2</v>
      </c>
      <c r="AL44">
        <f t="shared" si="15"/>
        <v>8.7675000000000017E-2</v>
      </c>
      <c r="AM44">
        <f t="shared" si="15"/>
        <v>8.7675000000000017E-2</v>
      </c>
      <c r="AN44">
        <f t="shared" si="15"/>
        <v>8.7675000000000017E-2</v>
      </c>
      <c r="AO44">
        <f t="shared" si="15"/>
        <v>8.7675000000000017E-2</v>
      </c>
      <c r="AP44">
        <f t="shared" si="15"/>
        <v>8.7675000000000017E-2</v>
      </c>
      <c r="AQ44">
        <f t="shared" si="16"/>
        <v>8.7675000000000017E-2</v>
      </c>
      <c r="AR44">
        <f t="shared" si="16"/>
        <v>8.7675000000000017E-2</v>
      </c>
      <c r="AS44">
        <f t="shared" si="16"/>
        <v>8.7675000000000017E-2</v>
      </c>
      <c r="AT44">
        <f t="shared" si="16"/>
        <v>8.7675000000000017E-2</v>
      </c>
      <c r="AU44">
        <f t="shared" si="16"/>
        <v>8.7675000000000017E-2</v>
      </c>
      <c r="AV44">
        <f t="shared" si="16"/>
        <v>8.7675000000000017E-2</v>
      </c>
      <c r="AW44">
        <f t="shared" si="16"/>
        <v>8.7675000000000017E-2</v>
      </c>
      <c r="AX44">
        <f t="shared" si="16"/>
        <v>8.7675000000000017E-2</v>
      </c>
      <c r="AY44">
        <f t="shared" si="16"/>
        <v>8.7675000000000017E-2</v>
      </c>
      <c r="AZ44">
        <f t="shared" si="16"/>
        <v>8.7675000000000017E-2</v>
      </c>
      <c r="BA44" s="6"/>
    </row>
    <row r="45" spans="1:53" x14ac:dyDescent="0.2">
      <c r="A45">
        <f t="shared" si="6"/>
        <v>20</v>
      </c>
      <c r="B45" s="3">
        <f t="shared" si="0"/>
        <v>40</v>
      </c>
      <c r="C45">
        <f t="shared" si="12"/>
        <v>7.9500000000000015E-2</v>
      </c>
      <c r="D45">
        <f t="shared" si="12"/>
        <v>7.9500000000000015E-2</v>
      </c>
      <c r="E45">
        <f t="shared" si="12"/>
        <v>7.9500000000000015E-2</v>
      </c>
      <c r="F45">
        <f t="shared" si="12"/>
        <v>7.9500000000000015E-2</v>
      </c>
      <c r="G45">
        <f t="shared" si="12"/>
        <v>7.9500000000000015E-2</v>
      </c>
      <c r="H45">
        <f t="shared" si="12"/>
        <v>7.9500000000000015E-2</v>
      </c>
      <c r="I45">
        <f t="shared" si="12"/>
        <v>7.9500000000000015E-2</v>
      </c>
      <c r="J45">
        <f t="shared" si="12"/>
        <v>7.9500000000000015E-2</v>
      </c>
      <c r="K45">
        <f t="shared" si="12"/>
        <v>7.9500000000000015E-2</v>
      </c>
      <c r="L45">
        <f t="shared" si="12"/>
        <v>7.9500000000000015E-2</v>
      </c>
      <c r="M45">
        <f t="shared" si="13"/>
        <v>7.9500000000000015E-2</v>
      </c>
      <c r="N45">
        <f t="shared" si="13"/>
        <v>7.9500000000000015E-2</v>
      </c>
      <c r="O45">
        <f t="shared" si="13"/>
        <v>7.9500000000000015E-2</v>
      </c>
      <c r="P45">
        <f t="shared" si="13"/>
        <v>7.9500000000000015E-2</v>
      </c>
      <c r="Q45">
        <f t="shared" si="13"/>
        <v>7.9500000000000015E-2</v>
      </c>
      <c r="R45">
        <f t="shared" si="13"/>
        <v>7.9500000000000015E-2</v>
      </c>
      <c r="S45">
        <f t="shared" si="13"/>
        <v>7.9500000000000015E-2</v>
      </c>
      <c r="T45">
        <f t="shared" si="13"/>
        <v>7.9500000000000015E-2</v>
      </c>
      <c r="U45">
        <f t="shared" si="13"/>
        <v>7.9500000000000015E-2</v>
      </c>
      <c r="V45">
        <f t="shared" si="13"/>
        <v>7.9500000000000015E-2</v>
      </c>
      <c r="W45">
        <f t="shared" si="14"/>
        <v>7.9500000000000015E-2</v>
      </c>
      <c r="X45">
        <f t="shared" si="14"/>
        <v>7.9500000000000015E-2</v>
      </c>
      <c r="Y45">
        <f t="shared" si="14"/>
        <v>7.9500000000000015E-2</v>
      </c>
      <c r="Z45">
        <f t="shared" si="14"/>
        <v>7.9500000000000015E-2</v>
      </c>
      <c r="AA45">
        <f t="shared" si="14"/>
        <v>7.9500000000000015E-2</v>
      </c>
      <c r="AB45">
        <f t="shared" si="14"/>
        <v>7.9500000000000015E-2</v>
      </c>
      <c r="AC45">
        <f t="shared" si="14"/>
        <v>7.9500000000000015E-2</v>
      </c>
      <c r="AD45">
        <f t="shared" si="14"/>
        <v>7.9500000000000015E-2</v>
      </c>
      <c r="AE45">
        <f t="shared" si="14"/>
        <v>7.9500000000000015E-2</v>
      </c>
      <c r="AF45">
        <f t="shared" si="14"/>
        <v>7.9500000000000015E-2</v>
      </c>
      <c r="AG45">
        <f t="shared" si="15"/>
        <v>7.9500000000000015E-2</v>
      </c>
      <c r="AH45">
        <f t="shared" si="15"/>
        <v>7.9500000000000015E-2</v>
      </c>
      <c r="AI45">
        <f t="shared" si="15"/>
        <v>7.9500000000000015E-2</v>
      </c>
      <c r="AJ45">
        <f t="shared" si="15"/>
        <v>7.9500000000000015E-2</v>
      </c>
      <c r="AK45">
        <f t="shared" si="15"/>
        <v>7.9500000000000015E-2</v>
      </c>
      <c r="AL45">
        <f t="shared" si="15"/>
        <v>7.9500000000000015E-2</v>
      </c>
      <c r="AM45">
        <f t="shared" si="15"/>
        <v>7.9500000000000015E-2</v>
      </c>
      <c r="AN45">
        <f t="shared" si="15"/>
        <v>7.9500000000000015E-2</v>
      </c>
      <c r="AO45">
        <f t="shared" si="15"/>
        <v>7.9500000000000015E-2</v>
      </c>
      <c r="AP45">
        <f t="shared" si="15"/>
        <v>7.9500000000000015E-2</v>
      </c>
      <c r="AQ45">
        <f t="shared" si="16"/>
        <v>7.9500000000000015E-2</v>
      </c>
      <c r="AR45">
        <f t="shared" si="16"/>
        <v>7.9500000000000015E-2</v>
      </c>
      <c r="AS45">
        <f t="shared" si="16"/>
        <v>7.9500000000000015E-2</v>
      </c>
      <c r="AT45">
        <f t="shared" si="16"/>
        <v>7.9500000000000015E-2</v>
      </c>
      <c r="AU45">
        <f t="shared" si="16"/>
        <v>7.9500000000000015E-2</v>
      </c>
      <c r="AV45">
        <f t="shared" si="16"/>
        <v>7.9500000000000015E-2</v>
      </c>
      <c r="AW45">
        <f t="shared" si="16"/>
        <v>7.9500000000000015E-2</v>
      </c>
      <c r="AX45">
        <f t="shared" si="16"/>
        <v>7.9500000000000015E-2</v>
      </c>
      <c r="AY45">
        <f t="shared" si="16"/>
        <v>7.9500000000000015E-2</v>
      </c>
      <c r="AZ45">
        <f t="shared" si="16"/>
        <v>7.9500000000000015E-2</v>
      </c>
      <c r="BA45" s="6"/>
    </row>
    <row r="46" spans="1:53" x14ac:dyDescent="0.2">
      <c r="A46">
        <f t="shared" si="6"/>
        <v>19</v>
      </c>
      <c r="B46" s="3">
        <f t="shared" si="0"/>
        <v>38</v>
      </c>
      <c r="C46">
        <f t="shared" ref="C46:L55" si="17">(0.5*sigma^2*$A46^2-0.5*(rate -d)*$A46)*dt</f>
        <v>7.1725000000000011E-2</v>
      </c>
      <c r="D46">
        <f t="shared" si="17"/>
        <v>7.1725000000000011E-2</v>
      </c>
      <c r="E46">
        <f t="shared" si="17"/>
        <v>7.1725000000000011E-2</v>
      </c>
      <c r="F46">
        <f t="shared" si="17"/>
        <v>7.1725000000000011E-2</v>
      </c>
      <c r="G46">
        <f t="shared" si="17"/>
        <v>7.1725000000000011E-2</v>
      </c>
      <c r="H46">
        <f t="shared" si="17"/>
        <v>7.1725000000000011E-2</v>
      </c>
      <c r="I46">
        <f t="shared" si="17"/>
        <v>7.1725000000000011E-2</v>
      </c>
      <c r="J46">
        <f t="shared" si="17"/>
        <v>7.1725000000000011E-2</v>
      </c>
      <c r="K46">
        <f t="shared" si="17"/>
        <v>7.1725000000000011E-2</v>
      </c>
      <c r="L46">
        <f t="shared" si="17"/>
        <v>7.1725000000000011E-2</v>
      </c>
      <c r="M46">
        <f t="shared" ref="M46:V55" si="18">(0.5*sigma^2*$A46^2-0.5*(rate -d)*$A46)*dt</f>
        <v>7.1725000000000011E-2</v>
      </c>
      <c r="N46">
        <f t="shared" si="18"/>
        <v>7.1725000000000011E-2</v>
      </c>
      <c r="O46">
        <f t="shared" si="18"/>
        <v>7.1725000000000011E-2</v>
      </c>
      <c r="P46">
        <f t="shared" si="18"/>
        <v>7.1725000000000011E-2</v>
      </c>
      <c r="Q46">
        <f t="shared" si="18"/>
        <v>7.1725000000000011E-2</v>
      </c>
      <c r="R46">
        <f t="shared" si="18"/>
        <v>7.1725000000000011E-2</v>
      </c>
      <c r="S46">
        <f t="shared" si="18"/>
        <v>7.1725000000000011E-2</v>
      </c>
      <c r="T46">
        <f t="shared" si="18"/>
        <v>7.1725000000000011E-2</v>
      </c>
      <c r="U46">
        <f t="shared" si="18"/>
        <v>7.1725000000000011E-2</v>
      </c>
      <c r="V46">
        <f t="shared" si="18"/>
        <v>7.1725000000000011E-2</v>
      </c>
      <c r="W46">
        <f t="shared" ref="W46:AF55" si="19">(0.5*sigma^2*$A46^2-0.5*(rate -d)*$A46)*dt</f>
        <v>7.1725000000000011E-2</v>
      </c>
      <c r="X46">
        <f t="shared" si="19"/>
        <v>7.1725000000000011E-2</v>
      </c>
      <c r="Y46">
        <f t="shared" si="19"/>
        <v>7.1725000000000011E-2</v>
      </c>
      <c r="Z46">
        <f t="shared" si="19"/>
        <v>7.1725000000000011E-2</v>
      </c>
      <c r="AA46">
        <f t="shared" si="19"/>
        <v>7.1725000000000011E-2</v>
      </c>
      <c r="AB46">
        <f t="shared" si="19"/>
        <v>7.1725000000000011E-2</v>
      </c>
      <c r="AC46">
        <f t="shared" si="19"/>
        <v>7.1725000000000011E-2</v>
      </c>
      <c r="AD46">
        <f t="shared" si="19"/>
        <v>7.1725000000000011E-2</v>
      </c>
      <c r="AE46">
        <f t="shared" si="19"/>
        <v>7.1725000000000011E-2</v>
      </c>
      <c r="AF46">
        <f t="shared" si="19"/>
        <v>7.1725000000000011E-2</v>
      </c>
      <c r="AG46">
        <f t="shared" ref="AG46:AP55" si="20">(0.5*sigma^2*$A46^2-0.5*(rate -d)*$A46)*dt</f>
        <v>7.1725000000000011E-2</v>
      </c>
      <c r="AH46">
        <f t="shared" si="20"/>
        <v>7.1725000000000011E-2</v>
      </c>
      <c r="AI46">
        <f t="shared" si="20"/>
        <v>7.1725000000000011E-2</v>
      </c>
      <c r="AJ46">
        <f t="shared" si="20"/>
        <v>7.1725000000000011E-2</v>
      </c>
      <c r="AK46">
        <f t="shared" si="20"/>
        <v>7.1725000000000011E-2</v>
      </c>
      <c r="AL46">
        <f t="shared" si="20"/>
        <v>7.1725000000000011E-2</v>
      </c>
      <c r="AM46">
        <f t="shared" si="20"/>
        <v>7.1725000000000011E-2</v>
      </c>
      <c r="AN46">
        <f t="shared" si="20"/>
        <v>7.1725000000000011E-2</v>
      </c>
      <c r="AO46">
        <f t="shared" si="20"/>
        <v>7.1725000000000011E-2</v>
      </c>
      <c r="AP46">
        <f t="shared" si="20"/>
        <v>7.1725000000000011E-2</v>
      </c>
      <c r="AQ46">
        <f t="shared" ref="AQ46:AZ55" si="21">(0.5*sigma^2*$A46^2-0.5*(rate -d)*$A46)*dt</f>
        <v>7.1725000000000011E-2</v>
      </c>
      <c r="AR46">
        <f t="shared" si="21"/>
        <v>7.1725000000000011E-2</v>
      </c>
      <c r="AS46">
        <f t="shared" si="21"/>
        <v>7.1725000000000011E-2</v>
      </c>
      <c r="AT46">
        <f t="shared" si="21"/>
        <v>7.1725000000000011E-2</v>
      </c>
      <c r="AU46">
        <f t="shared" si="21"/>
        <v>7.1725000000000011E-2</v>
      </c>
      <c r="AV46">
        <f t="shared" si="21"/>
        <v>7.1725000000000011E-2</v>
      </c>
      <c r="AW46">
        <f t="shared" si="21"/>
        <v>7.1725000000000011E-2</v>
      </c>
      <c r="AX46">
        <f t="shared" si="21"/>
        <v>7.1725000000000011E-2</v>
      </c>
      <c r="AY46">
        <f t="shared" si="21"/>
        <v>7.1725000000000011E-2</v>
      </c>
      <c r="AZ46">
        <f t="shared" si="21"/>
        <v>7.1725000000000011E-2</v>
      </c>
      <c r="BA46" s="6"/>
    </row>
    <row r="47" spans="1:53" x14ac:dyDescent="0.2">
      <c r="A47">
        <f t="shared" si="6"/>
        <v>18</v>
      </c>
      <c r="B47" s="3">
        <f t="shared" ref="B47:B65" si="22">Smin+dS*A47</f>
        <v>36</v>
      </c>
      <c r="C47">
        <f t="shared" si="17"/>
        <v>6.4350000000000018E-2</v>
      </c>
      <c r="D47">
        <f t="shared" si="17"/>
        <v>6.4350000000000018E-2</v>
      </c>
      <c r="E47">
        <f t="shared" si="17"/>
        <v>6.4350000000000018E-2</v>
      </c>
      <c r="F47">
        <f t="shared" si="17"/>
        <v>6.4350000000000018E-2</v>
      </c>
      <c r="G47">
        <f t="shared" si="17"/>
        <v>6.4350000000000018E-2</v>
      </c>
      <c r="H47">
        <f t="shared" si="17"/>
        <v>6.4350000000000018E-2</v>
      </c>
      <c r="I47">
        <f t="shared" si="17"/>
        <v>6.4350000000000018E-2</v>
      </c>
      <c r="J47">
        <f t="shared" si="17"/>
        <v>6.4350000000000018E-2</v>
      </c>
      <c r="K47">
        <f t="shared" si="17"/>
        <v>6.4350000000000018E-2</v>
      </c>
      <c r="L47">
        <f t="shared" si="17"/>
        <v>6.4350000000000018E-2</v>
      </c>
      <c r="M47">
        <f t="shared" si="18"/>
        <v>6.4350000000000018E-2</v>
      </c>
      <c r="N47">
        <f t="shared" si="18"/>
        <v>6.4350000000000018E-2</v>
      </c>
      <c r="O47">
        <f t="shared" si="18"/>
        <v>6.4350000000000018E-2</v>
      </c>
      <c r="P47">
        <f t="shared" si="18"/>
        <v>6.4350000000000018E-2</v>
      </c>
      <c r="Q47">
        <f t="shared" si="18"/>
        <v>6.4350000000000018E-2</v>
      </c>
      <c r="R47">
        <f t="shared" si="18"/>
        <v>6.4350000000000018E-2</v>
      </c>
      <c r="S47">
        <f t="shared" si="18"/>
        <v>6.4350000000000018E-2</v>
      </c>
      <c r="T47">
        <f t="shared" si="18"/>
        <v>6.4350000000000018E-2</v>
      </c>
      <c r="U47">
        <f t="shared" si="18"/>
        <v>6.4350000000000018E-2</v>
      </c>
      <c r="V47">
        <f t="shared" si="18"/>
        <v>6.4350000000000018E-2</v>
      </c>
      <c r="W47">
        <f t="shared" si="19"/>
        <v>6.4350000000000018E-2</v>
      </c>
      <c r="X47">
        <f t="shared" si="19"/>
        <v>6.4350000000000018E-2</v>
      </c>
      <c r="Y47">
        <f t="shared" si="19"/>
        <v>6.4350000000000018E-2</v>
      </c>
      <c r="Z47">
        <f t="shared" si="19"/>
        <v>6.4350000000000018E-2</v>
      </c>
      <c r="AA47">
        <f t="shared" si="19"/>
        <v>6.4350000000000018E-2</v>
      </c>
      <c r="AB47">
        <f t="shared" si="19"/>
        <v>6.4350000000000018E-2</v>
      </c>
      <c r="AC47">
        <f t="shared" si="19"/>
        <v>6.4350000000000018E-2</v>
      </c>
      <c r="AD47">
        <f t="shared" si="19"/>
        <v>6.4350000000000018E-2</v>
      </c>
      <c r="AE47">
        <f t="shared" si="19"/>
        <v>6.4350000000000018E-2</v>
      </c>
      <c r="AF47">
        <f t="shared" si="19"/>
        <v>6.4350000000000018E-2</v>
      </c>
      <c r="AG47">
        <f t="shared" si="20"/>
        <v>6.4350000000000018E-2</v>
      </c>
      <c r="AH47">
        <f t="shared" si="20"/>
        <v>6.4350000000000018E-2</v>
      </c>
      <c r="AI47">
        <f t="shared" si="20"/>
        <v>6.4350000000000018E-2</v>
      </c>
      <c r="AJ47">
        <f t="shared" si="20"/>
        <v>6.4350000000000018E-2</v>
      </c>
      <c r="AK47">
        <f t="shared" si="20"/>
        <v>6.4350000000000018E-2</v>
      </c>
      <c r="AL47">
        <f t="shared" si="20"/>
        <v>6.4350000000000018E-2</v>
      </c>
      <c r="AM47">
        <f t="shared" si="20"/>
        <v>6.4350000000000018E-2</v>
      </c>
      <c r="AN47">
        <f t="shared" si="20"/>
        <v>6.4350000000000018E-2</v>
      </c>
      <c r="AO47">
        <f t="shared" si="20"/>
        <v>6.4350000000000018E-2</v>
      </c>
      <c r="AP47">
        <f t="shared" si="20"/>
        <v>6.4350000000000018E-2</v>
      </c>
      <c r="AQ47">
        <f t="shared" si="21"/>
        <v>6.4350000000000018E-2</v>
      </c>
      <c r="AR47">
        <f t="shared" si="21"/>
        <v>6.4350000000000018E-2</v>
      </c>
      <c r="AS47">
        <f t="shared" si="21"/>
        <v>6.4350000000000018E-2</v>
      </c>
      <c r="AT47">
        <f t="shared" si="21"/>
        <v>6.4350000000000018E-2</v>
      </c>
      <c r="AU47">
        <f t="shared" si="21"/>
        <v>6.4350000000000018E-2</v>
      </c>
      <c r="AV47">
        <f t="shared" si="21"/>
        <v>6.4350000000000018E-2</v>
      </c>
      <c r="AW47">
        <f t="shared" si="21"/>
        <v>6.4350000000000018E-2</v>
      </c>
      <c r="AX47">
        <f t="shared" si="21"/>
        <v>6.4350000000000018E-2</v>
      </c>
      <c r="AY47">
        <f t="shared" si="21"/>
        <v>6.4350000000000018E-2</v>
      </c>
      <c r="AZ47">
        <f t="shared" si="21"/>
        <v>6.4350000000000018E-2</v>
      </c>
      <c r="BA47" s="6"/>
    </row>
    <row r="48" spans="1:53" x14ac:dyDescent="0.2">
      <c r="A48">
        <f t="shared" si="6"/>
        <v>17</v>
      </c>
      <c r="B48" s="3">
        <f t="shared" si="22"/>
        <v>34</v>
      </c>
      <c r="C48">
        <f t="shared" si="17"/>
        <v>5.7375000000000009E-2</v>
      </c>
      <c r="D48">
        <f t="shared" si="17"/>
        <v>5.7375000000000009E-2</v>
      </c>
      <c r="E48">
        <f t="shared" si="17"/>
        <v>5.7375000000000009E-2</v>
      </c>
      <c r="F48">
        <f t="shared" si="17"/>
        <v>5.7375000000000009E-2</v>
      </c>
      <c r="G48">
        <f t="shared" si="17"/>
        <v>5.7375000000000009E-2</v>
      </c>
      <c r="H48">
        <f t="shared" si="17"/>
        <v>5.7375000000000009E-2</v>
      </c>
      <c r="I48">
        <f t="shared" si="17"/>
        <v>5.7375000000000009E-2</v>
      </c>
      <c r="J48">
        <f t="shared" si="17"/>
        <v>5.7375000000000009E-2</v>
      </c>
      <c r="K48">
        <f t="shared" si="17"/>
        <v>5.7375000000000009E-2</v>
      </c>
      <c r="L48">
        <f t="shared" si="17"/>
        <v>5.7375000000000009E-2</v>
      </c>
      <c r="M48">
        <f t="shared" si="18"/>
        <v>5.7375000000000009E-2</v>
      </c>
      <c r="N48">
        <f t="shared" si="18"/>
        <v>5.7375000000000009E-2</v>
      </c>
      <c r="O48">
        <f t="shared" si="18"/>
        <v>5.7375000000000009E-2</v>
      </c>
      <c r="P48">
        <f t="shared" si="18"/>
        <v>5.7375000000000009E-2</v>
      </c>
      <c r="Q48">
        <f t="shared" si="18"/>
        <v>5.7375000000000009E-2</v>
      </c>
      <c r="R48">
        <f t="shared" si="18"/>
        <v>5.7375000000000009E-2</v>
      </c>
      <c r="S48">
        <f t="shared" si="18"/>
        <v>5.7375000000000009E-2</v>
      </c>
      <c r="T48">
        <f t="shared" si="18"/>
        <v>5.7375000000000009E-2</v>
      </c>
      <c r="U48">
        <f t="shared" si="18"/>
        <v>5.7375000000000009E-2</v>
      </c>
      <c r="V48">
        <f t="shared" si="18"/>
        <v>5.7375000000000009E-2</v>
      </c>
      <c r="W48">
        <f t="shared" si="19"/>
        <v>5.7375000000000009E-2</v>
      </c>
      <c r="X48">
        <f t="shared" si="19"/>
        <v>5.7375000000000009E-2</v>
      </c>
      <c r="Y48">
        <f t="shared" si="19"/>
        <v>5.7375000000000009E-2</v>
      </c>
      <c r="Z48">
        <f t="shared" si="19"/>
        <v>5.7375000000000009E-2</v>
      </c>
      <c r="AA48">
        <f t="shared" si="19"/>
        <v>5.7375000000000009E-2</v>
      </c>
      <c r="AB48">
        <f t="shared" si="19"/>
        <v>5.7375000000000009E-2</v>
      </c>
      <c r="AC48">
        <f t="shared" si="19"/>
        <v>5.7375000000000009E-2</v>
      </c>
      <c r="AD48">
        <f t="shared" si="19"/>
        <v>5.7375000000000009E-2</v>
      </c>
      <c r="AE48">
        <f t="shared" si="19"/>
        <v>5.7375000000000009E-2</v>
      </c>
      <c r="AF48">
        <f t="shared" si="19"/>
        <v>5.7375000000000009E-2</v>
      </c>
      <c r="AG48">
        <f t="shared" si="20"/>
        <v>5.7375000000000009E-2</v>
      </c>
      <c r="AH48">
        <f t="shared" si="20"/>
        <v>5.7375000000000009E-2</v>
      </c>
      <c r="AI48">
        <f t="shared" si="20"/>
        <v>5.7375000000000009E-2</v>
      </c>
      <c r="AJ48">
        <f t="shared" si="20"/>
        <v>5.7375000000000009E-2</v>
      </c>
      <c r="AK48">
        <f t="shared" si="20"/>
        <v>5.7375000000000009E-2</v>
      </c>
      <c r="AL48">
        <f t="shared" si="20"/>
        <v>5.7375000000000009E-2</v>
      </c>
      <c r="AM48">
        <f t="shared" si="20"/>
        <v>5.7375000000000009E-2</v>
      </c>
      <c r="AN48">
        <f t="shared" si="20"/>
        <v>5.7375000000000009E-2</v>
      </c>
      <c r="AO48">
        <f t="shared" si="20"/>
        <v>5.7375000000000009E-2</v>
      </c>
      <c r="AP48">
        <f t="shared" si="20"/>
        <v>5.7375000000000009E-2</v>
      </c>
      <c r="AQ48">
        <f t="shared" si="21"/>
        <v>5.7375000000000009E-2</v>
      </c>
      <c r="AR48">
        <f t="shared" si="21"/>
        <v>5.7375000000000009E-2</v>
      </c>
      <c r="AS48">
        <f t="shared" si="21"/>
        <v>5.7375000000000009E-2</v>
      </c>
      <c r="AT48">
        <f t="shared" si="21"/>
        <v>5.7375000000000009E-2</v>
      </c>
      <c r="AU48">
        <f t="shared" si="21"/>
        <v>5.7375000000000009E-2</v>
      </c>
      <c r="AV48">
        <f t="shared" si="21"/>
        <v>5.7375000000000009E-2</v>
      </c>
      <c r="AW48">
        <f t="shared" si="21"/>
        <v>5.7375000000000009E-2</v>
      </c>
      <c r="AX48">
        <f t="shared" si="21"/>
        <v>5.7375000000000009E-2</v>
      </c>
      <c r="AY48">
        <f t="shared" si="21"/>
        <v>5.7375000000000009E-2</v>
      </c>
      <c r="AZ48">
        <f t="shared" si="21"/>
        <v>5.7375000000000009E-2</v>
      </c>
      <c r="BA48" s="6"/>
    </row>
    <row r="49" spans="1:53" x14ac:dyDescent="0.2">
      <c r="A49">
        <f t="shared" si="6"/>
        <v>16</v>
      </c>
      <c r="B49" s="3">
        <f t="shared" si="22"/>
        <v>32</v>
      </c>
      <c r="C49">
        <f t="shared" si="17"/>
        <v>5.0800000000000012E-2</v>
      </c>
      <c r="D49">
        <f t="shared" si="17"/>
        <v>5.0800000000000012E-2</v>
      </c>
      <c r="E49">
        <f t="shared" si="17"/>
        <v>5.0800000000000012E-2</v>
      </c>
      <c r="F49">
        <f t="shared" si="17"/>
        <v>5.0800000000000012E-2</v>
      </c>
      <c r="G49">
        <f t="shared" si="17"/>
        <v>5.0800000000000012E-2</v>
      </c>
      <c r="H49">
        <f t="shared" si="17"/>
        <v>5.0800000000000012E-2</v>
      </c>
      <c r="I49">
        <f t="shared" si="17"/>
        <v>5.0800000000000012E-2</v>
      </c>
      <c r="J49">
        <f t="shared" si="17"/>
        <v>5.0800000000000012E-2</v>
      </c>
      <c r="K49">
        <f t="shared" si="17"/>
        <v>5.0800000000000012E-2</v>
      </c>
      <c r="L49">
        <f t="shared" si="17"/>
        <v>5.0800000000000012E-2</v>
      </c>
      <c r="M49">
        <f t="shared" si="18"/>
        <v>5.0800000000000012E-2</v>
      </c>
      <c r="N49">
        <f t="shared" si="18"/>
        <v>5.0800000000000012E-2</v>
      </c>
      <c r="O49">
        <f t="shared" si="18"/>
        <v>5.0800000000000012E-2</v>
      </c>
      <c r="P49">
        <f t="shared" si="18"/>
        <v>5.0800000000000012E-2</v>
      </c>
      <c r="Q49">
        <f t="shared" si="18"/>
        <v>5.0800000000000012E-2</v>
      </c>
      <c r="R49">
        <f t="shared" si="18"/>
        <v>5.0800000000000012E-2</v>
      </c>
      <c r="S49">
        <f t="shared" si="18"/>
        <v>5.0800000000000012E-2</v>
      </c>
      <c r="T49">
        <f t="shared" si="18"/>
        <v>5.0800000000000012E-2</v>
      </c>
      <c r="U49">
        <f t="shared" si="18"/>
        <v>5.0800000000000012E-2</v>
      </c>
      <c r="V49">
        <f t="shared" si="18"/>
        <v>5.0800000000000012E-2</v>
      </c>
      <c r="W49">
        <f t="shared" si="19"/>
        <v>5.0800000000000012E-2</v>
      </c>
      <c r="X49">
        <f t="shared" si="19"/>
        <v>5.0800000000000012E-2</v>
      </c>
      <c r="Y49">
        <f t="shared" si="19"/>
        <v>5.0800000000000012E-2</v>
      </c>
      <c r="Z49">
        <f t="shared" si="19"/>
        <v>5.0800000000000012E-2</v>
      </c>
      <c r="AA49">
        <f t="shared" si="19"/>
        <v>5.0800000000000012E-2</v>
      </c>
      <c r="AB49">
        <f t="shared" si="19"/>
        <v>5.0800000000000012E-2</v>
      </c>
      <c r="AC49">
        <f t="shared" si="19"/>
        <v>5.0800000000000012E-2</v>
      </c>
      <c r="AD49">
        <f t="shared" si="19"/>
        <v>5.0800000000000012E-2</v>
      </c>
      <c r="AE49">
        <f t="shared" si="19"/>
        <v>5.0800000000000012E-2</v>
      </c>
      <c r="AF49">
        <f t="shared" si="19"/>
        <v>5.0800000000000012E-2</v>
      </c>
      <c r="AG49">
        <f t="shared" si="20"/>
        <v>5.0800000000000012E-2</v>
      </c>
      <c r="AH49">
        <f t="shared" si="20"/>
        <v>5.0800000000000012E-2</v>
      </c>
      <c r="AI49">
        <f t="shared" si="20"/>
        <v>5.0800000000000012E-2</v>
      </c>
      <c r="AJ49">
        <f t="shared" si="20"/>
        <v>5.0800000000000012E-2</v>
      </c>
      <c r="AK49">
        <f t="shared" si="20"/>
        <v>5.0800000000000012E-2</v>
      </c>
      <c r="AL49">
        <f t="shared" si="20"/>
        <v>5.0800000000000012E-2</v>
      </c>
      <c r="AM49">
        <f t="shared" si="20"/>
        <v>5.0800000000000012E-2</v>
      </c>
      <c r="AN49">
        <f t="shared" si="20"/>
        <v>5.0800000000000012E-2</v>
      </c>
      <c r="AO49">
        <f t="shared" si="20"/>
        <v>5.0800000000000012E-2</v>
      </c>
      <c r="AP49">
        <f t="shared" si="20"/>
        <v>5.0800000000000012E-2</v>
      </c>
      <c r="AQ49">
        <f t="shared" si="21"/>
        <v>5.0800000000000012E-2</v>
      </c>
      <c r="AR49">
        <f t="shared" si="21"/>
        <v>5.0800000000000012E-2</v>
      </c>
      <c r="AS49">
        <f t="shared" si="21"/>
        <v>5.0800000000000012E-2</v>
      </c>
      <c r="AT49">
        <f t="shared" si="21"/>
        <v>5.0800000000000012E-2</v>
      </c>
      <c r="AU49">
        <f t="shared" si="21"/>
        <v>5.0800000000000012E-2</v>
      </c>
      <c r="AV49">
        <f t="shared" si="21"/>
        <v>5.0800000000000012E-2</v>
      </c>
      <c r="AW49">
        <f t="shared" si="21"/>
        <v>5.0800000000000012E-2</v>
      </c>
      <c r="AX49">
        <f t="shared" si="21"/>
        <v>5.0800000000000012E-2</v>
      </c>
      <c r="AY49">
        <f t="shared" si="21"/>
        <v>5.0800000000000012E-2</v>
      </c>
      <c r="AZ49">
        <f t="shared" si="21"/>
        <v>5.0800000000000012E-2</v>
      </c>
      <c r="BA49" s="6"/>
    </row>
    <row r="50" spans="1:53" x14ac:dyDescent="0.2">
      <c r="A50">
        <f t="shared" si="6"/>
        <v>15</v>
      </c>
      <c r="B50" s="3">
        <f t="shared" si="22"/>
        <v>30</v>
      </c>
      <c r="C50">
        <f t="shared" si="17"/>
        <v>4.4625000000000012E-2</v>
      </c>
      <c r="D50">
        <f t="shared" si="17"/>
        <v>4.4625000000000012E-2</v>
      </c>
      <c r="E50">
        <f t="shared" si="17"/>
        <v>4.4625000000000012E-2</v>
      </c>
      <c r="F50">
        <f t="shared" si="17"/>
        <v>4.4625000000000012E-2</v>
      </c>
      <c r="G50">
        <f t="shared" si="17"/>
        <v>4.4625000000000012E-2</v>
      </c>
      <c r="H50">
        <f t="shared" si="17"/>
        <v>4.4625000000000012E-2</v>
      </c>
      <c r="I50">
        <f t="shared" si="17"/>
        <v>4.4625000000000012E-2</v>
      </c>
      <c r="J50">
        <f t="shared" si="17"/>
        <v>4.4625000000000012E-2</v>
      </c>
      <c r="K50">
        <f t="shared" si="17"/>
        <v>4.4625000000000012E-2</v>
      </c>
      <c r="L50">
        <f t="shared" si="17"/>
        <v>4.4625000000000012E-2</v>
      </c>
      <c r="M50">
        <f t="shared" si="18"/>
        <v>4.4625000000000012E-2</v>
      </c>
      <c r="N50">
        <f t="shared" si="18"/>
        <v>4.4625000000000012E-2</v>
      </c>
      <c r="O50">
        <f t="shared" si="18"/>
        <v>4.4625000000000012E-2</v>
      </c>
      <c r="P50">
        <f t="shared" si="18"/>
        <v>4.4625000000000012E-2</v>
      </c>
      <c r="Q50">
        <f t="shared" si="18"/>
        <v>4.4625000000000012E-2</v>
      </c>
      <c r="R50">
        <f t="shared" si="18"/>
        <v>4.4625000000000012E-2</v>
      </c>
      <c r="S50">
        <f t="shared" si="18"/>
        <v>4.4625000000000012E-2</v>
      </c>
      <c r="T50">
        <f t="shared" si="18"/>
        <v>4.4625000000000012E-2</v>
      </c>
      <c r="U50">
        <f t="shared" si="18"/>
        <v>4.4625000000000012E-2</v>
      </c>
      <c r="V50">
        <f t="shared" si="18"/>
        <v>4.4625000000000012E-2</v>
      </c>
      <c r="W50">
        <f t="shared" si="19"/>
        <v>4.4625000000000012E-2</v>
      </c>
      <c r="X50">
        <f t="shared" si="19"/>
        <v>4.4625000000000012E-2</v>
      </c>
      <c r="Y50">
        <f t="shared" si="19"/>
        <v>4.4625000000000012E-2</v>
      </c>
      <c r="Z50">
        <f t="shared" si="19"/>
        <v>4.4625000000000012E-2</v>
      </c>
      <c r="AA50">
        <f t="shared" si="19"/>
        <v>4.4625000000000012E-2</v>
      </c>
      <c r="AB50">
        <f t="shared" si="19"/>
        <v>4.4625000000000012E-2</v>
      </c>
      <c r="AC50">
        <f t="shared" si="19"/>
        <v>4.4625000000000012E-2</v>
      </c>
      <c r="AD50">
        <f t="shared" si="19"/>
        <v>4.4625000000000012E-2</v>
      </c>
      <c r="AE50">
        <f t="shared" si="19"/>
        <v>4.4625000000000012E-2</v>
      </c>
      <c r="AF50">
        <f t="shared" si="19"/>
        <v>4.4625000000000012E-2</v>
      </c>
      <c r="AG50">
        <f t="shared" si="20"/>
        <v>4.4625000000000012E-2</v>
      </c>
      <c r="AH50">
        <f t="shared" si="20"/>
        <v>4.4625000000000012E-2</v>
      </c>
      <c r="AI50">
        <f t="shared" si="20"/>
        <v>4.4625000000000012E-2</v>
      </c>
      <c r="AJ50">
        <f t="shared" si="20"/>
        <v>4.4625000000000012E-2</v>
      </c>
      <c r="AK50">
        <f t="shared" si="20"/>
        <v>4.4625000000000012E-2</v>
      </c>
      <c r="AL50">
        <f t="shared" si="20"/>
        <v>4.4625000000000012E-2</v>
      </c>
      <c r="AM50">
        <f t="shared" si="20"/>
        <v>4.4625000000000012E-2</v>
      </c>
      <c r="AN50">
        <f t="shared" si="20"/>
        <v>4.4625000000000012E-2</v>
      </c>
      <c r="AO50">
        <f t="shared" si="20"/>
        <v>4.4625000000000012E-2</v>
      </c>
      <c r="AP50">
        <f t="shared" si="20"/>
        <v>4.4625000000000012E-2</v>
      </c>
      <c r="AQ50">
        <f t="shared" si="21"/>
        <v>4.4625000000000012E-2</v>
      </c>
      <c r="AR50">
        <f t="shared" si="21"/>
        <v>4.4625000000000012E-2</v>
      </c>
      <c r="AS50">
        <f t="shared" si="21"/>
        <v>4.4625000000000012E-2</v>
      </c>
      <c r="AT50">
        <f t="shared" si="21"/>
        <v>4.4625000000000012E-2</v>
      </c>
      <c r="AU50">
        <f t="shared" si="21"/>
        <v>4.4625000000000012E-2</v>
      </c>
      <c r="AV50">
        <f t="shared" si="21"/>
        <v>4.4625000000000012E-2</v>
      </c>
      <c r="AW50">
        <f t="shared" si="21"/>
        <v>4.4625000000000012E-2</v>
      </c>
      <c r="AX50">
        <f t="shared" si="21"/>
        <v>4.4625000000000012E-2</v>
      </c>
      <c r="AY50">
        <f t="shared" si="21"/>
        <v>4.4625000000000012E-2</v>
      </c>
      <c r="AZ50">
        <f t="shared" si="21"/>
        <v>4.4625000000000012E-2</v>
      </c>
      <c r="BA50" s="6"/>
    </row>
    <row r="51" spans="1:53" x14ac:dyDescent="0.2">
      <c r="A51">
        <f t="shared" si="6"/>
        <v>14</v>
      </c>
      <c r="B51" s="3">
        <f t="shared" si="22"/>
        <v>28</v>
      </c>
      <c r="C51">
        <f t="shared" si="17"/>
        <v>3.885000000000001E-2</v>
      </c>
      <c r="D51">
        <f t="shared" si="17"/>
        <v>3.885000000000001E-2</v>
      </c>
      <c r="E51">
        <f t="shared" si="17"/>
        <v>3.885000000000001E-2</v>
      </c>
      <c r="F51">
        <f t="shared" si="17"/>
        <v>3.885000000000001E-2</v>
      </c>
      <c r="G51">
        <f t="shared" si="17"/>
        <v>3.885000000000001E-2</v>
      </c>
      <c r="H51">
        <f t="shared" si="17"/>
        <v>3.885000000000001E-2</v>
      </c>
      <c r="I51">
        <f t="shared" si="17"/>
        <v>3.885000000000001E-2</v>
      </c>
      <c r="J51">
        <f t="shared" si="17"/>
        <v>3.885000000000001E-2</v>
      </c>
      <c r="K51">
        <f t="shared" si="17"/>
        <v>3.885000000000001E-2</v>
      </c>
      <c r="L51">
        <f t="shared" si="17"/>
        <v>3.885000000000001E-2</v>
      </c>
      <c r="M51">
        <f t="shared" si="18"/>
        <v>3.885000000000001E-2</v>
      </c>
      <c r="N51">
        <f t="shared" si="18"/>
        <v>3.885000000000001E-2</v>
      </c>
      <c r="O51">
        <f t="shared" si="18"/>
        <v>3.885000000000001E-2</v>
      </c>
      <c r="P51">
        <f t="shared" si="18"/>
        <v>3.885000000000001E-2</v>
      </c>
      <c r="Q51">
        <f t="shared" si="18"/>
        <v>3.885000000000001E-2</v>
      </c>
      <c r="R51">
        <f t="shared" si="18"/>
        <v>3.885000000000001E-2</v>
      </c>
      <c r="S51">
        <f t="shared" si="18"/>
        <v>3.885000000000001E-2</v>
      </c>
      <c r="T51">
        <f t="shared" si="18"/>
        <v>3.885000000000001E-2</v>
      </c>
      <c r="U51">
        <f t="shared" si="18"/>
        <v>3.885000000000001E-2</v>
      </c>
      <c r="V51">
        <f t="shared" si="18"/>
        <v>3.885000000000001E-2</v>
      </c>
      <c r="W51">
        <f t="shared" si="19"/>
        <v>3.885000000000001E-2</v>
      </c>
      <c r="X51">
        <f t="shared" si="19"/>
        <v>3.885000000000001E-2</v>
      </c>
      <c r="Y51">
        <f t="shared" si="19"/>
        <v>3.885000000000001E-2</v>
      </c>
      <c r="Z51">
        <f t="shared" si="19"/>
        <v>3.885000000000001E-2</v>
      </c>
      <c r="AA51">
        <f t="shared" si="19"/>
        <v>3.885000000000001E-2</v>
      </c>
      <c r="AB51">
        <f t="shared" si="19"/>
        <v>3.885000000000001E-2</v>
      </c>
      <c r="AC51">
        <f t="shared" si="19"/>
        <v>3.885000000000001E-2</v>
      </c>
      <c r="AD51">
        <f t="shared" si="19"/>
        <v>3.885000000000001E-2</v>
      </c>
      <c r="AE51">
        <f t="shared" si="19"/>
        <v>3.885000000000001E-2</v>
      </c>
      <c r="AF51">
        <f t="shared" si="19"/>
        <v>3.885000000000001E-2</v>
      </c>
      <c r="AG51">
        <f t="shared" si="20"/>
        <v>3.885000000000001E-2</v>
      </c>
      <c r="AH51">
        <f t="shared" si="20"/>
        <v>3.885000000000001E-2</v>
      </c>
      <c r="AI51">
        <f t="shared" si="20"/>
        <v>3.885000000000001E-2</v>
      </c>
      <c r="AJ51">
        <f t="shared" si="20"/>
        <v>3.885000000000001E-2</v>
      </c>
      <c r="AK51">
        <f t="shared" si="20"/>
        <v>3.885000000000001E-2</v>
      </c>
      <c r="AL51">
        <f t="shared" si="20"/>
        <v>3.885000000000001E-2</v>
      </c>
      <c r="AM51">
        <f t="shared" si="20"/>
        <v>3.885000000000001E-2</v>
      </c>
      <c r="AN51">
        <f t="shared" si="20"/>
        <v>3.885000000000001E-2</v>
      </c>
      <c r="AO51">
        <f t="shared" si="20"/>
        <v>3.885000000000001E-2</v>
      </c>
      <c r="AP51">
        <f t="shared" si="20"/>
        <v>3.885000000000001E-2</v>
      </c>
      <c r="AQ51">
        <f t="shared" si="21"/>
        <v>3.885000000000001E-2</v>
      </c>
      <c r="AR51">
        <f t="shared" si="21"/>
        <v>3.885000000000001E-2</v>
      </c>
      <c r="AS51">
        <f t="shared" si="21"/>
        <v>3.885000000000001E-2</v>
      </c>
      <c r="AT51">
        <f t="shared" si="21"/>
        <v>3.885000000000001E-2</v>
      </c>
      <c r="AU51">
        <f t="shared" si="21"/>
        <v>3.885000000000001E-2</v>
      </c>
      <c r="AV51">
        <f t="shared" si="21"/>
        <v>3.885000000000001E-2</v>
      </c>
      <c r="AW51">
        <f t="shared" si="21"/>
        <v>3.885000000000001E-2</v>
      </c>
      <c r="AX51">
        <f t="shared" si="21"/>
        <v>3.885000000000001E-2</v>
      </c>
      <c r="AY51">
        <f t="shared" si="21"/>
        <v>3.885000000000001E-2</v>
      </c>
      <c r="AZ51">
        <f t="shared" si="21"/>
        <v>3.885000000000001E-2</v>
      </c>
      <c r="BA51" s="6"/>
    </row>
    <row r="52" spans="1:53" x14ac:dyDescent="0.2">
      <c r="A52">
        <f t="shared" si="6"/>
        <v>13</v>
      </c>
      <c r="B52" s="3">
        <f t="shared" si="22"/>
        <v>26</v>
      </c>
      <c r="C52">
        <f t="shared" si="17"/>
        <v>3.3475000000000005E-2</v>
      </c>
      <c r="D52">
        <f t="shared" si="17"/>
        <v>3.3475000000000005E-2</v>
      </c>
      <c r="E52">
        <f t="shared" si="17"/>
        <v>3.3475000000000005E-2</v>
      </c>
      <c r="F52">
        <f t="shared" si="17"/>
        <v>3.3475000000000005E-2</v>
      </c>
      <c r="G52">
        <f t="shared" si="17"/>
        <v>3.3475000000000005E-2</v>
      </c>
      <c r="H52">
        <f t="shared" si="17"/>
        <v>3.3475000000000005E-2</v>
      </c>
      <c r="I52">
        <f t="shared" si="17"/>
        <v>3.3475000000000005E-2</v>
      </c>
      <c r="J52">
        <f t="shared" si="17"/>
        <v>3.3475000000000005E-2</v>
      </c>
      <c r="K52">
        <f t="shared" si="17"/>
        <v>3.3475000000000005E-2</v>
      </c>
      <c r="L52">
        <f t="shared" si="17"/>
        <v>3.3475000000000005E-2</v>
      </c>
      <c r="M52">
        <f t="shared" si="18"/>
        <v>3.3475000000000005E-2</v>
      </c>
      <c r="N52">
        <f t="shared" si="18"/>
        <v>3.3475000000000005E-2</v>
      </c>
      <c r="O52">
        <f t="shared" si="18"/>
        <v>3.3475000000000005E-2</v>
      </c>
      <c r="P52">
        <f t="shared" si="18"/>
        <v>3.3475000000000005E-2</v>
      </c>
      <c r="Q52">
        <f t="shared" si="18"/>
        <v>3.3475000000000005E-2</v>
      </c>
      <c r="R52">
        <f t="shared" si="18"/>
        <v>3.3475000000000005E-2</v>
      </c>
      <c r="S52">
        <f t="shared" si="18"/>
        <v>3.3475000000000005E-2</v>
      </c>
      <c r="T52">
        <f t="shared" si="18"/>
        <v>3.3475000000000005E-2</v>
      </c>
      <c r="U52">
        <f t="shared" si="18"/>
        <v>3.3475000000000005E-2</v>
      </c>
      <c r="V52">
        <f t="shared" si="18"/>
        <v>3.3475000000000005E-2</v>
      </c>
      <c r="W52">
        <f t="shared" si="19"/>
        <v>3.3475000000000005E-2</v>
      </c>
      <c r="X52">
        <f t="shared" si="19"/>
        <v>3.3475000000000005E-2</v>
      </c>
      <c r="Y52">
        <f t="shared" si="19"/>
        <v>3.3475000000000005E-2</v>
      </c>
      <c r="Z52">
        <f t="shared" si="19"/>
        <v>3.3475000000000005E-2</v>
      </c>
      <c r="AA52">
        <f t="shared" si="19"/>
        <v>3.3475000000000005E-2</v>
      </c>
      <c r="AB52">
        <f t="shared" si="19"/>
        <v>3.3475000000000005E-2</v>
      </c>
      <c r="AC52">
        <f t="shared" si="19"/>
        <v>3.3475000000000005E-2</v>
      </c>
      <c r="AD52">
        <f t="shared" si="19"/>
        <v>3.3475000000000005E-2</v>
      </c>
      <c r="AE52">
        <f t="shared" si="19"/>
        <v>3.3475000000000005E-2</v>
      </c>
      <c r="AF52">
        <f t="shared" si="19"/>
        <v>3.3475000000000005E-2</v>
      </c>
      <c r="AG52">
        <f t="shared" si="20"/>
        <v>3.3475000000000005E-2</v>
      </c>
      <c r="AH52">
        <f t="shared" si="20"/>
        <v>3.3475000000000005E-2</v>
      </c>
      <c r="AI52">
        <f t="shared" si="20"/>
        <v>3.3475000000000005E-2</v>
      </c>
      <c r="AJ52">
        <f t="shared" si="20"/>
        <v>3.3475000000000005E-2</v>
      </c>
      <c r="AK52">
        <f t="shared" si="20"/>
        <v>3.3475000000000005E-2</v>
      </c>
      <c r="AL52">
        <f t="shared" si="20"/>
        <v>3.3475000000000005E-2</v>
      </c>
      <c r="AM52">
        <f t="shared" si="20"/>
        <v>3.3475000000000005E-2</v>
      </c>
      <c r="AN52">
        <f t="shared" si="20"/>
        <v>3.3475000000000005E-2</v>
      </c>
      <c r="AO52">
        <f t="shared" si="20"/>
        <v>3.3475000000000005E-2</v>
      </c>
      <c r="AP52">
        <f t="shared" si="20"/>
        <v>3.3475000000000005E-2</v>
      </c>
      <c r="AQ52">
        <f t="shared" si="21"/>
        <v>3.3475000000000005E-2</v>
      </c>
      <c r="AR52">
        <f t="shared" si="21"/>
        <v>3.3475000000000005E-2</v>
      </c>
      <c r="AS52">
        <f t="shared" si="21"/>
        <v>3.3475000000000005E-2</v>
      </c>
      <c r="AT52">
        <f t="shared" si="21"/>
        <v>3.3475000000000005E-2</v>
      </c>
      <c r="AU52">
        <f t="shared" si="21"/>
        <v>3.3475000000000005E-2</v>
      </c>
      <c r="AV52">
        <f t="shared" si="21"/>
        <v>3.3475000000000005E-2</v>
      </c>
      <c r="AW52">
        <f t="shared" si="21"/>
        <v>3.3475000000000005E-2</v>
      </c>
      <c r="AX52">
        <f t="shared" si="21"/>
        <v>3.3475000000000005E-2</v>
      </c>
      <c r="AY52">
        <f t="shared" si="21"/>
        <v>3.3475000000000005E-2</v>
      </c>
      <c r="AZ52">
        <f t="shared" si="21"/>
        <v>3.3475000000000005E-2</v>
      </c>
      <c r="BA52" s="6"/>
    </row>
    <row r="53" spans="1:53" x14ac:dyDescent="0.2">
      <c r="A53">
        <f t="shared" si="6"/>
        <v>12</v>
      </c>
      <c r="B53" s="3">
        <f t="shared" si="22"/>
        <v>24</v>
      </c>
      <c r="C53">
        <f t="shared" si="17"/>
        <v>2.8500000000000011E-2</v>
      </c>
      <c r="D53">
        <f t="shared" si="17"/>
        <v>2.8500000000000011E-2</v>
      </c>
      <c r="E53">
        <f t="shared" si="17"/>
        <v>2.8500000000000011E-2</v>
      </c>
      <c r="F53">
        <f t="shared" si="17"/>
        <v>2.8500000000000011E-2</v>
      </c>
      <c r="G53">
        <f t="shared" si="17"/>
        <v>2.8500000000000011E-2</v>
      </c>
      <c r="H53">
        <f t="shared" si="17"/>
        <v>2.8500000000000011E-2</v>
      </c>
      <c r="I53">
        <f t="shared" si="17"/>
        <v>2.8500000000000011E-2</v>
      </c>
      <c r="J53">
        <f t="shared" si="17"/>
        <v>2.8500000000000011E-2</v>
      </c>
      <c r="K53">
        <f t="shared" si="17"/>
        <v>2.8500000000000011E-2</v>
      </c>
      <c r="L53">
        <f t="shared" si="17"/>
        <v>2.8500000000000011E-2</v>
      </c>
      <c r="M53">
        <f t="shared" si="18"/>
        <v>2.8500000000000011E-2</v>
      </c>
      <c r="N53">
        <f t="shared" si="18"/>
        <v>2.8500000000000011E-2</v>
      </c>
      <c r="O53">
        <f t="shared" si="18"/>
        <v>2.8500000000000011E-2</v>
      </c>
      <c r="P53">
        <f t="shared" si="18"/>
        <v>2.8500000000000011E-2</v>
      </c>
      <c r="Q53">
        <f t="shared" si="18"/>
        <v>2.8500000000000011E-2</v>
      </c>
      <c r="R53">
        <f t="shared" si="18"/>
        <v>2.8500000000000011E-2</v>
      </c>
      <c r="S53">
        <f t="shared" si="18"/>
        <v>2.8500000000000011E-2</v>
      </c>
      <c r="T53">
        <f t="shared" si="18"/>
        <v>2.8500000000000011E-2</v>
      </c>
      <c r="U53">
        <f t="shared" si="18"/>
        <v>2.8500000000000011E-2</v>
      </c>
      <c r="V53">
        <f t="shared" si="18"/>
        <v>2.8500000000000011E-2</v>
      </c>
      <c r="W53">
        <f t="shared" si="19"/>
        <v>2.8500000000000011E-2</v>
      </c>
      <c r="X53">
        <f t="shared" si="19"/>
        <v>2.8500000000000011E-2</v>
      </c>
      <c r="Y53">
        <f t="shared" si="19"/>
        <v>2.8500000000000011E-2</v>
      </c>
      <c r="Z53">
        <f t="shared" si="19"/>
        <v>2.8500000000000011E-2</v>
      </c>
      <c r="AA53">
        <f t="shared" si="19"/>
        <v>2.8500000000000011E-2</v>
      </c>
      <c r="AB53">
        <f t="shared" si="19"/>
        <v>2.8500000000000011E-2</v>
      </c>
      <c r="AC53">
        <f t="shared" si="19"/>
        <v>2.8500000000000011E-2</v>
      </c>
      <c r="AD53">
        <f t="shared" si="19"/>
        <v>2.8500000000000011E-2</v>
      </c>
      <c r="AE53">
        <f t="shared" si="19"/>
        <v>2.8500000000000011E-2</v>
      </c>
      <c r="AF53">
        <f t="shared" si="19"/>
        <v>2.8500000000000011E-2</v>
      </c>
      <c r="AG53">
        <f t="shared" si="20"/>
        <v>2.8500000000000011E-2</v>
      </c>
      <c r="AH53">
        <f t="shared" si="20"/>
        <v>2.8500000000000011E-2</v>
      </c>
      <c r="AI53">
        <f t="shared" si="20"/>
        <v>2.8500000000000011E-2</v>
      </c>
      <c r="AJ53">
        <f t="shared" si="20"/>
        <v>2.8500000000000011E-2</v>
      </c>
      <c r="AK53">
        <f t="shared" si="20"/>
        <v>2.8500000000000011E-2</v>
      </c>
      <c r="AL53">
        <f t="shared" si="20"/>
        <v>2.8500000000000011E-2</v>
      </c>
      <c r="AM53">
        <f t="shared" si="20"/>
        <v>2.8500000000000011E-2</v>
      </c>
      <c r="AN53">
        <f t="shared" si="20"/>
        <v>2.8500000000000011E-2</v>
      </c>
      <c r="AO53">
        <f t="shared" si="20"/>
        <v>2.8500000000000011E-2</v>
      </c>
      <c r="AP53">
        <f t="shared" si="20"/>
        <v>2.8500000000000011E-2</v>
      </c>
      <c r="AQ53">
        <f t="shared" si="21"/>
        <v>2.8500000000000011E-2</v>
      </c>
      <c r="AR53">
        <f t="shared" si="21"/>
        <v>2.8500000000000011E-2</v>
      </c>
      <c r="AS53">
        <f t="shared" si="21"/>
        <v>2.8500000000000011E-2</v>
      </c>
      <c r="AT53">
        <f t="shared" si="21"/>
        <v>2.8500000000000011E-2</v>
      </c>
      <c r="AU53">
        <f t="shared" si="21"/>
        <v>2.8500000000000011E-2</v>
      </c>
      <c r="AV53">
        <f t="shared" si="21"/>
        <v>2.8500000000000011E-2</v>
      </c>
      <c r="AW53">
        <f t="shared" si="21"/>
        <v>2.8500000000000011E-2</v>
      </c>
      <c r="AX53">
        <f t="shared" si="21"/>
        <v>2.8500000000000011E-2</v>
      </c>
      <c r="AY53">
        <f t="shared" si="21"/>
        <v>2.8500000000000011E-2</v>
      </c>
      <c r="AZ53">
        <f t="shared" si="21"/>
        <v>2.8500000000000011E-2</v>
      </c>
      <c r="BA53" s="6"/>
    </row>
    <row r="54" spans="1:53" x14ac:dyDescent="0.2">
      <c r="A54">
        <f t="shared" si="6"/>
        <v>11</v>
      </c>
      <c r="B54" s="3">
        <f t="shared" si="22"/>
        <v>22</v>
      </c>
      <c r="C54">
        <f t="shared" si="17"/>
        <v>2.3925000000000005E-2</v>
      </c>
      <c r="D54">
        <f t="shared" si="17"/>
        <v>2.3925000000000005E-2</v>
      </c>
      <c r="E54">
        <f t="shared" si="17"/>
        <v>2.3925000000000005E-2</v>
      </c>
      <c r="F54">
        <f t="shared" si="17"/>
        <v>2.3925000000000005E-2</v>
      </c>
      <c r="G54">
        <f t="shared" si="17"/>
        <v>2.3925000000000005E-2</v>
      </c>
      <c r="H54">
        <f t="shared" si="17"/>
        <v>2.3925000000000005E-2</v>
      </c>
      <c r="I54">
        <f t="shared" si="17"/>
        <v>2.3925000000000005E-2</v>
      </c>
      <c r="J54">
        <f t="shared" si="17"/>
        <v>2.3925000000000005E-2</v>
      </c>
      <c r="K54">
        <f t="shared" si="17"/>
        <v>2.3925000000000005E-2</v>
      </c>
      <c r="L54">
        <f t="shared" si="17"/>
        <v>2.3925000000000005E-2</v>
      </c>
      <c r="M54">
        <f t="shared" si="18"/>
        <v>2.3925000000000005E-2</v>
      </c>
      <c r="N54">
        <f t="shared" si="18"/>
        <v>2.3925000000000005E-2</v>
      </c>
      <c r="O54">
        <f t="shared" si="18"/>
        <v>2.3925000000000005E-2</v>
      </c>
      <c r="P54">
        <f t="shared" si="18"/>
        <v>2.3925000000000005E-2</v>
      </c>
      <c r="Q54">
        <f t="shared" si="18"/>
        <v>2.3925000000000005E-2</v>
      </c>
      <c r="R54">
        <f t="shared" si="18"/>
        <v>2.3925000000000005E-2</v>
      </c>
      <c r="S54">
        <f t="shared" si="18"/>
        <v>2.3925000000000005E-2</v>
      </c>
      <c r="T54">
        <f t="shared" si="18"/>
        <v>2.3925000000000005E-2</v>
      </c>
      <c r="U54">
        <f t="shared" si="18"/>
        <v>2.3925000000000005E-2</v>
      </c>
      <c r="V54">
        <f t="shared" si="18"/>
        <v>2.3925000000000005E-2</v>
      </c>
      <c r="W54">
        <f t="shared" si="19"/>
        <v>2.3925000000000005E-2</v>
      </c>
      <c r="X54">
        <f t="shared" si="19"/>
        <v>2.3925000000000005E-2</v>
      </c>
      <c r="Y54">
        <f t="shared" si="19"/>
        <v>2.3925000000000005E-2</v>
      </c>
      <c r="Z54">
        <f t="shared" si="19"/>
        <v>2.3925000000000005E-2</v>
      </c>
      <c r="AA54">
        <f t="shared" si="19"/>
        <v>2.3925000000000005E-2</v>
      </c>
      <c r="AB54">
        <f t="shared" si="19"/>
        <v>2.3925000000000005E-2</v>
      </c>
      <c r="AC54">
        <f t="shared" si="19"/>
        <v>2.3925000000000005E-2</v>
      </c>
      <c r="AD54">
        <f t="shared" si="19"/>
        <v>2.3925000000000005E-2</v>
      </c>
      <c r="AE54">
        <f t="shared" si="19"/>
        <v>2.3925000000000005E-2</v>
      </c>
      <c r="AF54">
        <f t="shared" si="19"/>
        <v>2.3925000000000005E-2</v>
      </c>
      <c r="AG54">
        <f t="shared" si="20"/>
        <v>2.3925000000000005E-2</v>
      </c>
      <c r="AH54">
        <f t="shared" si="20"/>
        <v>2.3925000000000005E-2</v>
      </c>
      <c r="AI54">
        <f t="shared" si="20"/>
        <v>2.3925000000000005E-2</v>
      </c>
      <c r="AJ54">
        <f t="shared" si="20"/>
        <v>2.3925000000000005E-2</v>
      </c>
      <c r="AK54">
        <f t="shared" si="20"/>
        <v>2.3925000000000005E-2</v>
      </c>
      <c r="AL54">
        <f t="shared" si="20"/>
        <v>2.3925000000000005E-2</v>
      </c>
      <c r="AM54">
        <f t="shared" si="20"/>
        <v>2.3925000000000005E-2</v>
      </c>
      <c r="AN54">
        <f t="shared" si="20"/>
        <v>2.3925000000000005E-2</v>
      </c>
      <c r="AO54">
        <f t="shared" si="20"/>
        <v>2.3925000000000005E-2</v>
      </c>
      <c r="AP54">
        <f t="shared" si="20"/>
        <v>2.3925000000000005E-2</v>
      </c>
      <c r="AQ54">
        <f t="shared" si="21"/>
        <v>2.3925000000000005E-2</v>
      </c>
      <c r="AR54">
        <f t="shared" si="21"/>
        <v>2.3925000000000005E-2</v>
      </c>
      <c r="AS54">
        <f t="shared" si="21"/>
        <v>2.3925000000000005E-2</v>
      </c>
      <c r="AT54">
        <f t="shared" si="21"/>
        <v>2.3925000000000005E-2</v>
      </c>
      <c r="AU54">
        <f t="shared" si="21"/>
        <v>2.3925000000000005E-2</v>
      </c>
      <c r="AV54">
        <f t="shared" si="21"/>
        <v>2.3925000000000005E-2</v>
      </c>
      <c r="AW54">
        <f t="shared" si="21"/>
        <v>2.3925000000000005E-2</v>
      </c>
      <c r="AX54">
        <f t="shared" si="21"/>
        <v>2.3925000000000005E-2</v>
      </c>
      <c r="AY54">
        <f t="shared" si="21"/>
        <v>2.3925000000000005E-2</v>
      </c>
      <c r="AZ54">
        <f t="shared" si="21"/>
        <v>2.3925000000000005E-2</v>
      </c>
      <c r="BA54" s="6"/>
    </row>
    <row r="55" spans="1:53" x14ac:dyDescent="0.2">
      <c r="A55">
        <f t="shared" si="6"/>
        <v>10</v>
      </c>
      <c r="B55" s="3">
        <f t="shared" si="22"/>
        <v>20</v>
      </c>
      <c r="C55">
        <f t="shared" si="17"/>
        <v>1.9750000000000007E-2</v>
      </c>
      <c r="D55">
        <f t="shared" si="17"/>
        <v>1.9750000000000007E-2</v>
      </c>
      <c r="E55">
        <f t="shared" si="17"/>
        <v>1.9750000000000007E-2</v>
      </c>
      <c r="F55">
        <f t="shared" si="17"/>
        <v>1.9750000000000007E-2</v>
      </c>
      <c r="G55">
        <f t="shared" si="17"/>
        <v>1.9750000000000007E-2</v>
      </c>
      <c r="H55">
        <f t="shared" si="17"/>
        <v>1.9750000000000007E-2</v>
      </c>
      <c r="I55">
        <f t="shared" si="17"/>
        <v>1.9750000000000007E-2</v>
      </c>
      <c r="J55">
        <f t="shared" si="17"/>
        <v>1.9750000000000007E-2</v>
      </c>
      <c r="K55">
        <f t="shared" si="17"/>
        <v>1.9750000000000007E-2</v>
      </c>
      <c r="L55">
        <f t="shared" si="17"/>
        <v>1.9750000000000007E-2</v>
      </c>
      <c r="M55">
        <f t="shared" si="18"/>
        <v>1.9750000000000007E-2</v>
      </c>
      <c r="N55">
        <f t="shared" si="18"/>
        <v>1.9750000000000007E-2</v>
      </c>
      <c r="O55">
        <f t="shared" si="18"/>
        <v>1.9750000000000007E-2</v>
      </c>
      <c r="P55">
        <f t="shared" si="18"/>
        <v>1.9750000000000007E-2</v>
      </c>
      <c r="Q55">
        <f t="shared" si="18"/>
        <v>1.9750000000000007E-2</v>
      </c>
      <c r="R55">
        <f t="shared" si="18"/>
        <v>1.9750000000000007E-2</v>
      </c>
      <c r="S55">
        <f t="shared" si="18"/>
        <v>1.9750000000000007E-2</v>
      </c>
      <c r="T55">
        <f t="shared" si="18"/>
        <v>1.9750000000000007E-2</v>
      </c>
      <c r="U55">
        <f t="shared" si="18"/>
        <v>1.9750000000000007E-2</v>
      </c>
      <c r="V55">
        <f t="shared" si="18"/>
        <v>1.9750000000000007E-2</v>
      </c>
      <c r="W55">
        <f t="shared" si="19"/>
        <v>1.9750000000000007E-2</v>
      </c>
      <c r="X55">
        <f t="shared" si="19"/>
        <v>1.9750000000000007E-2</v>
      </c>
      <c r="Y55">
        <f t="shared" si="19"/>
        <v>1.9750000000000007E-2</v>
      </c>
      <c r="Z55">
        <f t="shared" si="19"/>
        <v>1.9750000000000007E-2</v>
      </c>
      <c r="AA55">
        <f t="shared" si="19"/>
        <v>1.9750000000000007E-2</v>
      </c>
      <c r="AB55">
        <f t="shared" si="19"/>
        <v>1.9750000000000007E-2</v>
      </c>
      <c r="AC55">
        <f t="shared" si="19"/>
        <v>1.9750000000000007E-2</v>
      </c>
      <c r="AD55">
        <f t="shared" si="19"/>
        <v>1.9750000000000007E-2</v>
      </c>
      <c r="AE55">
        <f t="shared" si="19"/>
        <v>1.9750000000000007E-2</v>
      </c>
      <c r="AF55">
        <f t="shared" si="19"/>
        <v>1.9750000000000007E-2</v>
      </c>
      <c r="AG55">
        <f t="shared" si="20"/>
        <v>1.9750000000000007E-2</v>
      </c>
      <c r="AH55">
        <f t="shared" si="20"/>
        <v>1.9750000000000007E-2</v>
      </c>
      <c r="AI55">
        <f t="shared" si="20"/>
        <v>1.9750000000000007E-2</v>
      </c>
      <c r="AJ55">
        <f t="shared" si="20"/>
        <v>1.9750000000000007E-2</v>
      </c>
      <c r="AK55">
        <f t="shared" si="20"/>
        <v>1.9750000000000007E-2</v>
      </c>
      <c r="AL55">
        <f t="shared" si="20"/>
        <v>1.9750000000000007E-2</v>
      </c>
      <c r="AM55">
        <f t="shared" si="20"/>
        <v>1.9750000000000007E-2</v>
      </c>
      <c r="AN55">
        <f t="shared" si="20"/>
        <v>1.9750000000000007E-2</v>
      </c>
      <c r="AO55">
        <f t="shared" si="20"/>
        <v>1.9750000000000007E-2</v>
      </c>
      <c r="AP55">
        <f t="shared" si="20"/>
        <v>1.9750000000000007E-2</v>
      </c>
      <c r="AQ55">
        <f t="shared" si="21"/>
        <v>1.9750000000000007E-2</v>
      </c>
      <c r="AR55">
        <f t="shared" si="21"/>
        <v>1.9750000000000007E-2</v>
      </c>
      <c r="AS55">
        <f t="shared" si="21"/>
        <v>1.9750000000000007E-2</v>
      </c>
      <c r="AT55">
        <f t="shared" si="21"/>
        <v>1.9750000000000007E-2</v>
      </c>
      <c r="AU55">
        <f t="shared" si="21"/>
        <v>1.9750000000000007E-2</v>
      </c>
      <c r="AV55">
        <f t="shared" si="21"/>
        <v>1.9750000000000007E-2</v>
      </c>
      <c r="AW55">
        <f t="shared" si="21"/>
        <v>1.9750000000000007E-2</v>
      </c>
      <c r="AX55">
        <f t="shared" si="21"/>
        <v>1.9750000000000007E-2</v>
      </c>
      <c r="AY55">
        <f t="shared" si="21"/>
        <v>1.9750000000000007E-2</v>
      </c>
      <c r="AZ55">
        <f t="shared" si="21"/>
        <v>1.9750000000000007E-2</v>
      </c>
      <c r="BA55" s="6"/>
    </row>
    <row r="56" spans="1:53" x14ac:dyDescent="0.2">
      <c r="A56">
        <f t="shared" si="6"/>
        <v>9</v>
      </c>
      <c r="B56" s="3">
        <f t="shared" si="22"/>
        <v>18</v>
      </c>
      <c r="C56">
        <f t="shared" ref="C56:L64" si="23">(0.5*sigma^2*$A56^2-0.5*(rate -d)*$A56)*dt</f>
        <v>1.5975000000000003E-2</v>
      </c>
      <c r="D56">
        <f t="shared" si="23"/>
        <v>1.5975000000000003E-2</v>
      </c>
      <c r="E56">
        <f t="shared" si="23"/>
        <v>1.5975000000000003E-2</v>
      </c>
      <c r="F56">
        <f t="shared" si="23"/>
        <v>1.5975000000000003E-2</v>
      </c>
      <c r="G56">
        <f t="shared" si="23"/>
        <v>1.5975000000000003E-2</v>
      </c>
      <c r="H56">
        <f t="shared" si="23"/>
        <v>1.5975000000000003E-2</v>
      </c>
      <c r="I56">
        <f t="shared" si="23"/>
        <v>1.5975000000000003E-2</v>
      </c>
      <c r="J56">
        <f t="shared" si="23"/>
        <v>1.5975000000000003E-2</v>
      </c>
      <c r="K56">
        <f t="shared" si="23"/>
        <v>1.5975000000000003E-2</v>
      </c>
      <c r="L56">
        <f t="shared" si="23"/>
        <v>1.5975000000000003E-2</v>
      </c>
      <c r="M56">
        <f t="shared" ref="M56:V64" si="24">(0.5*sigma^2*$A56^2-0.5*(rate -d)*$A56)*dt</f>
        <v>1.5975000000000003E-2</v>
      </c>
      <c r="N56">
        <f t="shared" si="24"/>
        <v>1.5975000000000003E-2</v>
      </c>
      <c r="O56">
        <f t="shared" si="24"/>
        <v>1.5975000000000003E-2</v>
      </c>
      <c r="P56">
        <f t="shared" si="24"/>
        <v>1.5975000000000003E-2</v>
      </c>
      <c r="Q56">
        <f t="shared" si="24"/>
        <v>1.5975000000000003E-2</v>
      </c>
      <c r="R56">
        <f t="shared" si="24"/>
        <v>1.5975000000000003E-2</v>
      </c>
      <c r="S56">
        <f t="shared" si="24"/>
        <v>1.5975000000000003E-2</v>
      </c>
      <c r="T56">
        <f t="shared" si="24"/>
        <v>1.5975000000000003E-2</v>
      </c>
      <c r="U56">
        <f t="shared" si="24"/>
        <v>1.5975000000000003E-2</v>
      </c>
      <c r="V56">
        <f t="shared" si="24"/>
        <v>1.5975000000000003E-2</v>
      </c>
      <c r="W56">
        <f t="shared" ref="W56:AF64" si="25">(0.5*sigma^2*$A56^2-0.5*(rate -d)*$A56)*dt</f>
        <v>1.5975000000000003E-2</v>
      </c>
      <c r="X56">
        <f t="shared" si="25"/>
        <v>1.5975000000000003E-2</v>
      </c>
      <c r="Y56">
        <f t="shared" si="25"/>
        <v>1.5975000000000003E-2</v>
      </c>
      <c r="Z56">
        <f t="shared" si="25"/>
        <v>1.5975000000000003E-2</v>
      </c>
      <c r="AA56">
        <f t="shared" si="25"/>
        <v>1.5975000000000003E-2</v>
      </c>
      <c r="AB56">
        <f t="shared" si="25"/>
        <v>1.5975000000000003E-2</v>
      </c>
      <c r="AC56">
        <f t="shared" si="25"/>
        <v>1.5975000000000003E-2</v>
      </c>
      <c r="AD56">
        <f t="shared" si="25"/>
        <v>1.5975000000000003E-2</v>
      </c>
      <c r="AE56">
        <f t="shared" si="25"/>
        <v>1.5975000000000003E-2</v>
      </c>
      <c r="AF56">
        <f t="shared" si="25"/>
        <v>1.5975000000000003E-2</v>
      </c>
      <c r="AG56">
        <f t="shared" ref="AG56:AP64" si="26">(0.5*sigma^2*$A56^2-0.5*(rate -d)*$A56)*dt</f>
        <v>1.5975000000000003E-2</v>
      </c>
      <c r="AH56">
        <f t="shared" si="26"/>
        <v>1.5975000000000003E-2</v>
      </c>
      <c r="AI56">
        <f t="shared" si="26"/>
        <v>1.5975000000000003E-2</v>
      </c>
      <c r="AJ56">
        <f t="shared" si="26"/>
        <v>1.5975000000000003E-2</v>
      </c>
      <c r="AK56">
        <f t="shared" si="26"/>
        <v>1.5975000000000003E-2</v>
      </c>
      <c r="AL56">
        <f t="shared" si="26"/>
        <v>1.5975000000000003E-2</v>
      </c>
      <c r="AM56">
        <f t="shared" si="26"/>
        <v>1.5975000000000003E-2</v>
      </c>
      <c r="AN56">
        <f t="shared" si="26"/>
        <v>1.5975000000000003E-2</v>
      </c>
      <c r="AO56">
        <f t="shared" si="26"/>
        <v>1.5975000000000003E-2</v>
      </c>
      <c r="AP56">
        <f t="shared" si="26"/>
        <v>1.5975000000000003E-2</v>
      </c>
      <c r="AQ56">
        <f t="shared" ref="AQ56:AZ64" si="27">(0.5*sigma^2*$A56^2-0.5*(rate -d)*$A56)*dt</f>
        <v>1.5975000000000003E-2</v>
      </c>
      <c r="AR56">
        <f t="shared" si="27"/>
        <v>1.5975000000000003E-2</v>
      </c>
      <c r="AS56">
        <f t="shared" si="27"/>
        <v>1.5975000000000003E-2</v>
      </c>
      <c r="AT56">
        <f t="shared" si="27"/>
        <v>1.5975000000000003E-2</v>
      </c>
      <c r="AU56">
        <f t="shared" si="27"/>
        <v>1.5975000000000003E-2</v>
      </c>
      <c r="AV56">
        <f t="shared" si="27"/>
        <v>1.5975000000000003E-2</v>
      </c>
      <c r="AW56">
        <f t="shared" si="27"/>
        <v>1.5975000000000003E-2</v>
      </c>
      <c r="AX56">
        <f t="shared" si="27"/>
        <v>1.5975000000000003E-2</v>
      </c>
      <c r="AY56">
        <f t="shared" si="27"/>
        <v>1.5975000000000003E-2</v>
      </c>
      <c r="AZ56">
        <f t="shared" si="27"/>
        <v>1.5975000000000003E-2</v>
      </c>
      <c r="BA56" s="6"/>
    </row>
    <row r="57" spans="1:53" x14ac:dyDescent="0.2">
      <c r="A57">
        <f t="shared" si="6"/>
        <v>8</v>
      </c>
      <c r="B57" s="3">
        <f t="shared" si="22"/>
        <v>16</v>
      </c>
      <c r="C57">
        <f t="shared" si="23"/>
        <v>1.2600000000000002E-2</v>
      </c>
      <c r="D57">
        <f t="shared" si="23"/>
        <v>1.2600000000000002E-2</v>
      </c>
      <c r="E57">
        <f t="shared" si="23"/>
        <v>1.2600000000000002E-2</v>
      </c>
      <c r="F57">
        <f t="shared" si="23"/>
        <v>1.2600000000000002E-2</v>
      </c>
      <c r="G57">
        <f t="shared" si="23"/>
        <v>1.2600000000000002E-2</v>
      </c>
      <c r="H57">
        <f t="shared" si="23"/>
        <v>1.2600000000000002E-2</v>
      </c>
      <c r="I57">
        <f t="shared" si="23"/>
        <v>1.2600000000000002E-2</v>
      </c>
      <c r="J57">
        <f t="shared" si="23"/>
        <v>1.2600000000000002E-2</v>
      </c>
      <c r="K57">
        <f t="shared" si="23"/>
        <v>1.2600000000000002E-2</v>
      </c>
      <c r="L57">
        <f t="shared" si="23"/>
        <v>1.2600000000000002E-2</v>
      </c>
      <c r="M57">
        <f t="shared" si="24"/>
        <v>1.2600000000000002E-2</v>
      </c>
      <c r="N57">
        <f t="shared" si="24"/>
        <v>1.2600000000000002E-2</v>
      </c>
      <c r="O57">
        <f t="shared" si="24"/>
        <v>1.2600000000000002E-2</v>
      </c>
      <c r="P57">
        <f t="shared" si="24"/>
        <v>1.2600000000000002E-2</v>
      </c>
      <c r="Q57">
        <f t="shared" si="24"/>
        <v>1.2600000000000002E-2</v>
      </c>
      <c r="R57">
        <f t="shared" si="24"/>
        <v>1.2600000000000002E-2</v>
      </c>
      <c r="S57">
        <f t="shared" si="24"/>
        <v>1.2600000000000002E-2</v>
      </c>
      <c r="T57">
        <f t="shared" si="24"/>
        <v>1.2600000000000002E-2</v>
      </c>
      <c r="U57">
        <f t="shared" si="24"/>
        <v>1.2600000000000002E-2</v>
      </c>
      <c r="V57">
        <f t="shared" si="24"/>
        <v>1.2600000000000002E-2</v>
      </c>
      <c r="W57">
        <f t="shared" si="25"/>
        <v>1.2600000000000002E-2</v>
      </c>
      <c r="X57">
        <f t="shared" si="25"/>
        <v>1.2600000000000002E-2</v>
      </c>
      <c r="Y57">
        <f t="shared" si="25"/>
        <v>1.2600000000000002E-2</v>
      </c>
      <c r="Z57">
        <f t="shared" si="25"/>
        <v>1.2600000000000002E-2</v>
      </c>
      <c r="AA57">
        <f t="shared" si="25"/>
        <v>1.2600000000000002E-2</v>
      </c>
      <c r="AB57">
        <f t="shared" si="25"/>
        <v>1.2600000000000002E-2</v>
      </c>
      <c r="AC57">
        <f t="shared" si="25"/>
        <v>1.2600000000000002E-2</v>
      </c>
      <c r="AD57">
        <f t="shared" si="25"/>
        <v>1.2600000000000002E-2</v>
      </c>
      <c r="AE57">
        <f t="shared" si="25"/>
        <v>1.2600000000000002E-2</v>
      </c>
      <c r="AF57">
        <f t="shared" si="25"/>
        <v>1.2600000000000002E-2</v>
      </c>
      <c r="AG57">
        <f t="shared" si="26"/>
        <v>1.2600000000000002E-2</v>
      </c>
      <c r="AH57">
        <f t="shared" si="26"/>
        <v>1.2600000000000002E-2</v>
      </c>
      <c r="AI57">
        <f t="shared" si="26"/>
        <v>1.2600000000000002E-2</v>
      </c>
      <c r="AJ57">
        <f t="shared" si="26"/>
        <v>1.2600000000000002E-2</v>
      </c>
      <c r="AK57">
        <f t="shared" si="26"/>
        <v>1.2600000000000002E-2</v>
      </c>
      <c r="AL57">
        <f t="shared" si="26"/>
        <v>1.2600000000000002E-2</v>
      </c>
      <c r="AM57">
        <f t="shared" si="26"/>
        <v>1.2600000000000002E-2</v>
      </c>
      <c r="AN57">
        <f t="shared" si="26"/>
        <v>1.2600000000000002E-2</v>
      </c>
      <c r="AO57">
        <f t="shared" si="26"/>
        <v>1.2600000000000002E-2</v>
      </c>
      <c r="AP57">
        <f t="shared" si="26"/>
        <v>1.2600000000000002E-2</v>
      </c>
      <c r="AQ57">
        <f t="shared" si="27"/>
        <v>1.2600000000000002E-2</v>
      </c>
      <c r="AR57">
        <f t="shared" si="27"/>
        <v>1.2600000000000002E-2</v>
      </c>
      <c r="AS57">
        <f t="shared" si="27"/>
        <v>1.2600000000000002E-2</v>
      </c>
      <c r="AT57">
        <f t="shared" si="27"/>
        <v>1.2600000000000002E-2</v>
      </c>
      <c r="AU57">
        <f t="shared" si="27"/>
        <v>1.2600000000000002E-2</v>
      </c>
      <c r="AV57">
        <f t="shared" si="27"/>
        <v>1.2600000000000002E-2</v>
      </c>
      <c r="AW57">
        <f t="shared" si="27"/>
        <v>1.2600000000000002E-2</v>
      </c>
      <c r="AX57">
        <f t="shared" si="27"/>
        <v>1.2600000000000002E-2</v>
      </c>
      <c r="AY57">
        <f t="shared" si="27"/>
        <v>1.2600000000000002E-2</v>
      </c>
      <c r="AZ57">
        <f t="shared" si="27"/>
        <v>1.2600000000000002E-2</v>
      </c>
      <c r="BA57" s="6"/>
    </row>
    <row r="58" spans="1:53" x14ac:dyDescent="0.2">
      <c r="A58">
        <f t="shared" si="6"/>
        <v>7</v>
      </c>
      <c r="B58" s="3">
        <f t="shared" si="22"/>
        <v>14</v>
      </c>
      <c r="C58">
        <f t="shared" si="23"/>
        <v>9.6250000000000033E-3</v>
      </c>
      <c r="D58">
        <f t="shared" si="23"/>
        <v>9.6250000000000033E-3</v>
      </c>
      <c r="E58">
        <f t="shared" si="23"/>
        <v>9.6250000000000033E-3</v>
      </c>
      <c r="F58">
        <f t="shared" si="23"/>
        <v>9.6250000000000033E-3</v>
      </c>
      <c r="G58">
        <f t="shared" si="23"/>
        <v>9.6250000000000033E-3</v>
      </c>
      <c r="H58">
        <f t="shared" si="23"/>
        <v>9.6250000000000033E-3</v>
      </c>
      <c r="I58">
        <f t="shared" si="23"/>
        <v>9.6250000000000033E-3</v>
      </c>
      <c r="J58">
        <f t="shared" si="23"/>
        <v>9.6250000000000033E-3</v>
      </c>
      <c r="K58">
        <f t="shared" si="23"/>
        <v>9.6250000000000033E-3</v>
      </c>
      <c r="L58">
        <f t="shared" si="23"/>
        <v>9.6250000000000033E-3</v>
      </c>
      <c r="M58">
        <f t="shared" si="24"/>
        <v>9.6250000000000033E-3</v>
      </c>
      <c r="N58">
        <f t="shared" si="24"/>
        <v>9.6250000000000033E-3</v>
      </c>
      <c r="O58">
        <f t="shared" si="24"/>
        <v>9.6250000000000033E-3</v>
      </c>
      <c r="P58">
        <f t="shared" si="24"/>
        <v>9.6250000000000033E-3</v>
      </c>
      <c r="Q58">
        <f t="shared" si="24"/>
        <v>9.6250000000000033E-3</v>
      </c>
      <c r="R58">
        <f t="shared" si="24"/>
        <v>9.6250000000000033E-3</v>
      </c>
      <c r="S58">
        <f t="shared" si="24"/>
        <v>9.6250000000000033E-3</v>
      </c>
      <c r="T58">
        <f t="shared" si="24"/>
        <v>9.6250000000000033E-3</v>
      </c>
      <c r="U58">
        <f t="shared" si="24"/>
        <v>9.6250000000000033E-3</v>
      </c>
      <c r="V58">
        <f t="shared" si="24"/>
        <v>9.6250000000000033E-3</v>
      </c>
      <c r="W58">
        <f t="shared" si="25"/>
        <v>9.6250000000000033E-3</v>
      </c>
      <c r="X58">
        <f t="shared" si="25"/>
        <v>9.6250000000000033E-3</v>
      </c>
      <c r="Y58">
        <f t="shared" si="25"/>
        <v>9.6250000000000033E-3</v>
      </c>
      <c r="Z58">
        <f t="shared" si="25"/>
        <v>9.6250000000000033E-3</v>
      </c>
      <c r="AA58">
        <f t="shared" si="25"/>
        <v>9.6250000000000033E-3</v>
      </c>
      <c r="AB58">
        <f t="shared" si="25"/>
        <v>9.6250000000000033E-3</v>
      </c>
      <c r="AC58">
        <f t="shared" si="25"/>
        <v>9.6250000000000033E-3</v>
      </c>
      <c r="AD58">
        <f t="shared" si="25"/>
        <v>9.6250000000000033E-3</v>
      </c>
      <c r="AE58">
        <f t="shared" si="25"/>
        <v>9.6250000000000033E-3</v>
      </c>
      <c r="AF58">
        <f t="shared" si="25"/>
        <v>9.6250000000000033E-3</v>
      </c>
      <c r="AG58">
        <f t="shared" si="26"/>
        <v>9.6250000000000033E-3</v>
      </c>
      <c r="AH58">
        <f t="shared" si="26"/>
        <v>9.6250000000000033E-3</v>
      </c>
      <c r="AI58">
        <f t="shared" si="26"/>
        <v>9.6250000000000033E-3</v>
      </c>
      <c r="AJ58">
        <f t="shared" si="26"/>
        <v>9.6250000000000033E-3</v>
      </c>
      <c r="AK58">
        <f t="shared" si="26"/>
        <v>9.6250000000000033E-3</v>
      </c>
      <c r="AL58">
        <f t="shared" si="26"/>
        <v>9.6250000000000033E-3</v>
      </c>
      <c r="AM58">
        <f t="shared" si="26"/>
        <v>9.6250000000000033E-3</v>
      </c>
      <c r="AN58">
        <f t="shared" si="26"/>
        <v>9.6250000000000033E-3</v>
      </c>
      <c r="AO58">
        <f t="shared" si="26"/>
        <v>9.6250000000000033E-3</v>
      </c>
      <c r="AP58">
        <f t="shared" si="26"/>
        <v>9.6250000000000033E-3</v>
      </c>
      <c r="AQ58">
        <f t="shared" si="27"/>
        <v>9.6250000000000033E-3</v>
      </c>
      <c r="AR58">
        <f t="shared" si="27"/>
        <v>9.6250000000000033E-3</v>
      </c>
      <c r="AS58">
        <f t="shared" si="27"/>
        <v>9.6250000000000033E-3</v>
      </c>
      <c r="AT58">
        <f t="shared" si="27"/>
        <v>9.6250000000000033E-3</v>
      </c>
      <c r="AU58">
        <f t="shared" si="27"/>
        <v>9.6250000000000033E-3</v>
      </c>
      <c r="AV58">
        <f t="shared" si="27"/>
        <v>9.6250000000000033E-3</v>
      </c>
      <c r="AW58">
        <f t="shared" si="27"/>
        <v>9.6250000000000033E-3</v>
      </c>
      <c r="AX58">
        <f t="shared" si="27"/>
        <v>9.6250000000000033E-3</v>
      </c>
      <c r="AY58">
        <f t="shared" si="27"/>
        <v>9.6250000000000033E-3</v>
      </c>
      <c r="AZ58">
        <f t="shared" si="27"/>
        <v>9.6250000000000033E-3</v>
      </c>
      <c r="BA58" s="6"/>
    </row>
    <row r="59" spans="1:53" x14ac:dyDescent="0.2">
      <c r="A59">
        <f t="shared" si="6"/>
        <v>6</v>
      </c>
      <c r="B59" s="3">
        <f t="shared" si="22"/>
        <v>12</v>
      </c>
      <c r="C59">
        <f t="shared" si="23"/>
        <v>7.0500000000000016E-3</v>
      </c>
      <c r="D59">
        <f t="shared" si="23"/>
        <v>7.0500000000000016E-3</v>
      </c>
      <c r="E59">
        <f t="shared" si="23"/>
        <v>7.0500000000000016E-3</v>
      </c>
      <c r="F59">
        <f t="shared" si="23"/>
        <v>7.0500000000000016E-3</v>
      </c>
      <c r="G59">
        <f t="shared" si="23"/>
        <v>7.0500000000000016E-3</v>
      </c>
      <c r="H59">
        <f t="shared" si="23"/>
        <v>7.0500000000000016E-3</v>
      </c>
      <c r="I59">
        <f t="shared" si="23"/>
        <v>7.0500000000000016E-3</v>
      </c>
      <c r="J59">
        <f t="shared" si="23"/>
        <v>7.0500000000000016E-3</v>
      </c>
      <c r="K59">
        <f t="shared" si="23"/>
        <v>7.0500000000000016E-3</v>
      </c>
      <c r="L59">
        <f t="shared" si="23"/>
        <v>7.0500000000000016E-3</v>
      </c>
      <c r="M59">
        <f t="shared" si="24"/>
        <v>7.0500000000000016E-3</v>
      </c>
      <c r="N59">
        <f t="shared" si="24"/>
        <v>7.0500000000000016E-3</v>
      </c>
      <c r="O59">
        <f t="shared" si="24"/>
        <v>7.0500000000000016E-3</v>
      </c>
      <c r="P59">
        <f t="shared" si="24"/>
        <v>7.0500000000000016E-3</v>
      </c>
      <c r="Q59">
        <f t="shared" si="24"/>
        <v>7.0500000000000016E-3</v>
      </c>
      <c r="R59">
        <f t="shared" si="24"/>
        <v>7.0500000000000016E-3</v>
      </c>
      <c r="S59">
        <f t="shared" si="24"/>
        <v>7.0500000000000016E-3</v>
      </c>
      <c r="T59">
        <f t="shared" si="24"/>
        <v>7.0500000000000016E-3</v>
      </c>
      <c r="U59">
        <f t="shared" si="24"/>
        <v>7.0500000000000016E-3</v>
      </c>
      <c r="V59">
        <f t="shared" si="24"/>
        <v>7.0500000000000016E-3</v>
      </c>
      <c r="W59">
        <f t="shared" si="25"/>
        <v>7.0500000000000016E-3</v>
      </c>
      <c r="X59">
        <f t="shared" si="25"/>
        <v>7.0500000000000016E-3</v>
      </c>
      <c r="Y59">
        <f t="shared" si="25"/>
        <v>7.0500000000000016E-3</v>
      </c>
      <c r="Z59">
        <f t="shared" si="25"/>
        <v>7.0500000000000016E-3</v>
      </c>
      <c r="AA59">
        <f t="shared" si="25"/>
        <v>7.0500000000000016E-3</v>
      </c>
      <c r="AB59">
        <f t="shared" si="25"/>
        <v>7.0500000000000016E-3</v>
      </c>
      <c r="AC59">
        <f t="shared" si="25"/>
        <v>7.0500000000000016E-3</v>
      </c>
      <c r="AD59">
        <f t="shared" si="25"/>
        <v>7.0500000000000016E-3</v>
      </c>
      <c r="AE59">
        <f t="shared" si="25"/>
        <v>7.0500000000000016E-3</v>
      </c>
      <c r="AF59">
        <f t="shared" si="25"/>
        <v>7.0500000000000016E-3</v>
      </c>
      <c r="AG59">
        <f t="shared" si="26"/>
        <v>7.0500000000000016E-3</v>
      </c>
      <c r="AH59">
        <f t="shared" si="26"/>
        <v>7.0500000000000016E-3</v>
      </c>
      <c r="AI59">
        <f t="shared" si="26"/>
        <v>7.0500000000000016E-3</v>
      </c>
      <c r="AJ59">
        <f t="shared" si="26"/>
        <v>7.0500000000000016E-3</v>
      </c>
      <c r="AK59">
        <f t="shared" si="26"/>
        <v>7.0500000000000016E-3</v>
      </c>
      <c r="AL59">
        <f t="shared" si="26"/>
        <v>7.0500000000000016E-3</v>
      </c>
      <c r="AM59">
        <f t="shared" si="26"/>
        <v>7.0500000000000016E-3</v>
      </c>
      <c r="AN59">
        <f t="shared" si="26"/>
        <v>7.0500000000000016E-3</v>
      </c>
      <c r="AO59">
        <f t="shared" si="26"/>
        <v>7.0500000000000016E-3</v>
      </c>
      <c r="AP59">
        <f t="shared" si="26"/>
        <v>7.0500000000000016E-3</v>
      </c>
      <c r="AQ59">
        <f t="shared" si="27"/>
        <v>7.0500000000000016E-3</v>
      </c>
      <c r="AR59">
        <f t="shared" si="27"/>
        <v>7.0500000000000016E-3</v>
      </c>
      <c r="AS59">
        <f t="shared" si="27"/>
        <v>7.0500000000000016E-3</v>
      </c>
      <c r="AT59">
        <f t="shared" si="27"/>
        <v>7.0500000000000016E-3</v>
      </c>
      <c r="AU59">
        <f t="shared" si="27"/>
        <v>7.0500000000000016E-3</v>
      </c>
      <c r="AV59">
        <f t="shared" si="27"/>
        <v>7.0500000000000016E-3</v>
      </c>
      <c r="AW59">
        <f t="shared" si="27"/>
        <v>7.0500000000000016E-3</v>
      </c>
      <c r="AX59">
        <f t="shared" si="27"/>
        <v>7.0500000000000016E-3</v>
      </c>
      <c r="AY59">
        <f t="shared" si="27"/>
        <v>7.0500000000000016E-3</v>
      </c>
      <c r="AZ59">
        <f t="shared" si="27"/>
        <v>7.0500000000000016E-3</v>
      </c>
      <c r="BA59" s="6"/>
    </row>
    <row r="60" spans="1:53" x14ac:dyDescent="0.2">
      <c r="A60">
        <f t="shared" si="6"/>
        <v>5</v>
      </c>
      <c r="B60" s="3">
        <f t="shared" si="22"/>
        <v>10</v>
      </c>
      <c r="C60">
        <f t="shared" si="23"/>
        <v>4.8750000000000009E-3</v>
      </c>
      <c r="D60">
        <f t="shared" si="23"/>
        <v>4.8750000000000009E-3</v>
      </c>
      <c r="E60">
        <f t="shared" si="23"/>
        <v>4.8750000000000009E-3</v>
      </c>
      <c r="F60">
        <f t="shared" si="23"/>
        <v>4.8750000000000009E-3</v>
      </c>
      <c r="G60">
        <f t="shared" si="23"/>
        <v>4.8750000000000009E-3</v>
      </c>
      <c r="H60">
        <f t="shared" si="23"/>
        <v>4.8750000000000009E-3</v>
      </c>
      <c r="I60">
        <f t="shared" si="23"/>
        <v>4.8750000000000009E-3</v>
      </c>
      <c r="J60">
        <f t="shared" si="23"/>
        <v>4.8750000000000009E-3</v>
      </c>
      <c r="K60">
        <f t="shared" si="23"/>
        <v>4.8750000000000009E-3</v>
      </c>
      <c r="L60">
        <f t="shared" si="23"/>
        <v>4.8750000000000009E-3</v>
      </c>
      <c r="M60">
        <f t="shared" si="24"/>
        <v>4.8750000000000009E-3</v>
      </c>
      <c r="N60">
        <f t="shared" si="24"/>
        <v>4.8750000000000009E-3</v>
      </c>
      <c r="O60">
        <f t="shared" si="24"/>
        <v>4.8750000000000009E-3</v>
      </c>
      <c r="P60">
        <f t="shared" si="24"/>
        <v>4.8750000000000009E-3</v>
      </c>
      <c r="Q60">
        <f t="shared" si="24"/>
        <v>4.8750000000000009E-3</v>
      </c>
      <c r="R60">
        <f t="shared" si="24"/>
        <v>4.8750000000000009E-3</v>
      </c>
      <c r="S60">
        <f t="shared" si="24"/>
        <v>4.8750000000000009E-3</v>
      </c>
      <c r="T60">
        <f t="shared" si="24"/>
        <v>4.8750000000000009E-3</v>
      </c>
      <c r="U60">
        <f t="shared" si="24"/>
        <v>4.8750000000000009E-3</v>
      </c>
      <c r="V60">
        <f t="shared" si="24"/>
        <v>4.8750000000000009E-3</v>
      </c>
      <c r="W60">
        <f t="shared" si="25"/>
        <v>4.8750000000000009E-3</v>
      </c>
      <c r="X60">
        <f t="shared" si="25"/>
        <v>4.8750000000000009E-3</v>
      </c>
      <c r="Y60">
        <f t="shared" si="25"/>
        <v>4.8750000000000009E-3</v>
      </c>
      <c r="Z60">
        <f t="shared" si="25"/>
        <v>4.8750000000000009E-3</v>
      </c>
      <c r="AA60">
        <f t="shared" si="25"/>
        <v>4.8750000000000009E-3</v>
      </c>
      <c r="AB60">
        <f t="shared" si="25"/>
        <v>4.8750000000000009E-3</v>
      </c>
      <c r="AC60">
        <f t="shared" si="25"/>
        <v>4.8750000000000009E-3</v>
      </c>
      <c r="AD60">
        <f t="shared" si="25"/>
        <v>4.8750000000000009E-3</v>
      </c>
      <c r="AE60">
        <f t="shared" si="25"/>
        <v>4.8750000000000009E-3</v>
      </c>
      <c r="AF60">
        <f t="shared" si="25"/>
        <v>4.8750000000000009E-3</v>
      </c>
      <c r="AG60">
        <f t="shared" si="26"/>
        <v>4.8750000000000009E-3</v>
      </c>
      <c r="AH60">
        <f t="shared" si="26"/>
        <v>4.8750000000000009E-3</v>
      </c>
      <c r="AI60">
        <f t="shared" si="26"/>
        <v>4.8750000000000009E-3</v>
      </c>
      <c r="AJ60">
        <f t="shared" si="26"/>
        <v>4.8750000000000009E-3</v>
      </c>
      <c r="AK60">
        <f t="shared" si="26"/>
        <v>4.8750000000000009E-3</v>
      </c>
      <c r="AL60">
        <f t="shared" si="26"/>
        <v>4.8750000000000009E-3</v>
      </c>
      <c r="AM60">
        <f t="shared" si="26"/>
        <v>4.8750000000000009E-3</v>
      </c>
      <c r="AN60">
        <f t="shared" si="26"/>
        <v>4.8750000000000009E-3</v>
      </c>
      <c r="AO60">
        <f t="shared" si="26"/>
        <v>4.8750000000000009E-3</v>
      </c>
      <c r="AP60">
        <f t="shared" si="26"/>
        <v>4.8750000000000009E-3</v>
      </c>
      <c r="AQ60">
        <f t="shared" si="27"/>
        <v>4.8750000000000009E-3</v>
      </c>
      <c r="AR60">
        <f t="shared" si="27"/>
        <v>4.8750000000000009E-3</v>
      </c>
      <c r="AS60">
        <f t="shared" si="27"/>
        <v>4.8750000000000009E-3</v>
      </c>
      <c r="AT60">
        <f t="shared" si="27"/>
        <v>4.8750000000000009E-3</v>
      </c>
      <c r="AU60">
        <f t="shared" si="27"/>
        <v>4.8750000000000009E-3</v>
      </c>
      <c r="AV60">
        <f t="shared" si="27"/>
        <v>4.8750000000000009E-3</v>
      </c>
      <c r="AW60">
        <f t="shared" si="27"/>
        <v>4.8750000000000009E-3</v>
      </c>
      <c r="AX60">
        <f t="shared" si="27"/>
        <v>4.8750000000000009E-3</v>
      </c>
      <c r="AY60">
        <f t="shared" si="27"/>
        <v>4.8750000000000009E-3</v>
      </c>
      <c r="AZ60">
        <f t="shared" si="27"/>
        <v>4.8750000000000009E-3</v>
      </c>
      <c r="BA60" s="6"/>
    </row>
    <row r="61" spans="1:53" x14ac:dyDescent="0.2">
      <c r="A61">
        <f t="shared" si="6"/>
        <v>4</v>
      </c>
      <c r="B61" s="3">
        <f t="shared" si="22"/>
        <v>8</v>
      </c>
      <c r="C61">
        <f t="shared" si="23"/>
        <v>3.1000000000000008E-3</v>
      </c>
      <c r="D61">
        <f t="shared" si="23"/>
        <v>3.1000000000000008E-3</v>
      </c>
      <c r="E61">
        <f t="shared" si="23"/>
        <v>3.1000000000000008E-3</v>
      </c>
      <c r="F61">
        <f t="shared" si="23"/>
        <v>3.1000000000000008E-3</v>
      </c>
      <c r="G61">
        <f t="shared" si="23"/>
        <v>3.1000000000000008E-3</v>
      </c>
      <c r="H61">
        <f t="shared" si="23"/>
        <v>3.1000000000000008E-3</v>
      </c>
      <c r="I61">
        <f t="shared" si="23"/>
        <v>3.1000000000000008E-3</v>
      </c>
      <c r="J61">
        <f t="shared" si="23"/>
        <v>3.1000000000000008E-3</v>
      </c>
      <c r="K61">
        <f t="shared" si="23"/>
        <v>3.1000000000000008E-3</v>
      </c>
      <c r="L61">
        <f t="shared" si="23"/>
        <v>3.1000000000000008E-3</v>
      </c>
      <c r="M61">
        <f t="shared" si="24"/>
        <v>3.1000000000000008E-3</v>
      </c>
      <c r="N61">
        <f t="shared" si="24"/>
        <v>3.1000000000000008E-3</v>
      </c>
      <c r="O61">
        <f t="shared" si="24"/>
        <v>3.1000000000000008E-3</v>
      </c>
      <c r="P61">
        <f t="shared" si="24"/>
        <v>3.1000000000000008E-3</v>
      </c>
      <c r="Q61">
        <f t="shared" si="24"/>
        <v>3.1000000000000008E-3</v>
      </c>
      <c r="R61">
        <f t="shared" si="24"/>
        <v>3.1000000000000008E-3</v>
      </c>
      <c r="S61">
        <f t="shared" si="24"/>
        <v>3.1000000000000008E-3</v>
      </c>
      <c r="T61">
        <f t="shared" si="24"/>
        <v>3.1000000000000008E-3</v>
      </c>
      <c r="U61">
        <f t="shared" si="24"/>
        <v>3.1000000000000008E-3</v>
      </c>
      <c r="V61">
        <f t="shared" si="24"/>
        <v>3.1000000000000008E-3</v>
      </c>
      <c r="W61">
        <f t="shared" si="25"/>
        <v>3.1000000000000008E-3</v>
      </c>
      <c r="X61">
        <f t="shared" si="25"/>
        <v>3.1000000000000008E-3</v>
      </c>
      <c r="Y61">
        <f t="shared" si="25"/>
        <v>3.1000000000000008E-3</v>
      </c>
      <c r="Z61">
        <f t="shared" si="25"/>
        <v>3.1000000000000008E-3</v>
      </c>
      <c r="AA61">
        <f t="shared" si="25"/>
        <v>3.1000000000000008E-3</v>
      </c>
      <c r="AB61">
        <f t="shared" si="25"/>
        <v>3.1000000000000008E-3</v>
      </c>
      <c r="AC61">
        <f t="shared" si="25"/>
        <v>3.1000000000000008E-3</v>
      </c>
      <c r="AD61">
        <f t="shared" si="25"/>
        <v>3.1000000000000008E-3</v>
      </c>
      <c r="AE61">
        <f t="shared" si="25"/>
        <v>3.1000000000000008E-3</v>
      </c>
      <c r="AF61">
        <f t="shared" si="25"/>
        <v>3.1000000000000008E-3</v>
      </c>
      <c r="AG61">
        <f t="shared" si="26"/>
        <v>3.1000000000000008E-3</v>
      </c>
      <c r="AH61">
        <f t="shared" si="26"/>
        <v>3.1000000000000008E-3</v>
      </c>
      <c r="AI61">
        <f t="shared" si="26"/>
        <v>3.1000000000000008E-3</v>
      </c>
      <c r="AJ61">
        <f t="shared" si="26"/>
        <v>3.1000000000000008E-3</v>
      </c>
      <c r="AK61">
        <f t="shared" si="26"/>
        <v>3.1000000000000008E-3</v>
      </c>
      <c r="AL61">
        <f t="shared" si="26"/>
        <v>3.1000000000000008E-3</v>
      </c>
      <c r="AM61">
        <f t="shared" si="26"/>
        <v>3.1000000000000008E-3</v>
      </c>
      <c r="AN61">
        <f t="shared" si="26"/>
        <v>3.1000000000000008E-3</v>
      </c>
      <c r="AO61">
        <f t="shared" si="26"/>
        <v>3.1000000000000008E-3</v>
      </c>
      <c r="AP61">
        <f t="shared" si="26"/>
        <v>3.1000000000000008E-3</v>
      </c>
      <c r="AQ61">
        <f t="shared" si="27"/>
        <v>3.1000000000000008E-3</v>
      </c>
      <c r="AR61">
        <f t="shared" si="27"/>
        <v>3.1000000000000008E-3</v>
      </c>
      <c r="AS61">
        <f t="shared" si="27"/>
        <v>3.1000000000000008E-3</v>
      </c>
      <c r="AT61">
        <f t="shared" si="27"/>
        <v>3.1000000000000008E-3</v>
      </c>
      <c r="AU61">
        <f t="shared" si="27"/>
        <v>3.1000000000000008E-3</v>
      </c>
      <c r="AV61">
        <f t="shared" si="27"/>
        <v>3.1000000000000008E-3</v>
      </c>
      <c r="AW61">
        <f t="shared" si="27"/>
        <v>3.1000000000000008E-3</v>
      </c>
      <c r="AX61">
        <f t="shared" si="27"/>
        <v>3.1000000000000008E-3</v>
      </c>
      <c r="AY61">
        <f t="shared" si="27"/>
        <v>3.1000000000000008E-3</v>
      </c>
      <c r="AZ61">
        <f t="shared" si="27"/>
        <v>3.1000000000000008E-3</v>
      </c>
      <c r="BA61" s="6"/>
    </row>
    <row r="62" spans="1:53" x14ac:dyDescent="0.2">
      <c r="A62">
        <f t="shared" si="6"/>
        <v>3</v>
      </c>
      <c r="B62" s="3">
        <f t="shared" si="22"/>
        <v>6</v>
      </c>
      <c r="C62">
        <f t="shared" si="23"/>
        <v>1.7250000000000004E-3</v>
      </c>
      <c r="D62">
        <f t="shared" si="23"/>
        <v>1.7250000000000004E-3</v>
      </c>
      <c r="E62">
        <f t="shared" si="23"/>
        <v>1.7250000000000004E-3</v>
      </c>
      <c r="F62">
        <f t="shared" si="23"/>
        <v>1.7250000000000004E-3</v>
      </c>
      <c r="G62">
        <f t="shared" si="23"/>
        <v>1.7250000000000004E-3</v>
      </c>
      <c r="H62">
        <f t="shared" si="23"/>
        <v>1.7250000000000004E-3</v>
      </c>
      <c r="I62">
        <f t="shared" si="23"/>
        <v>1.7250000000000004E-3</v>
      </c>
      <c r="J62">
        <f t="shared" si="23"/>
        <v>1.7250000000000004E-3</v>
      </c>
      <c r="K62">
        <f t="shared" si="23"/>
        <v>1.7250000000000004E-3</v>
      </c>
      <c r="L62">
        <f t="shared" si="23"/>
        <v>1.7250000000000004E-3</v>
      </c>
      <c r="M62">
        <f t="shared" si="24"/>
        <v>1.7250000000000004E-3</v>
      </c>
      <c r="N62">
        <f t="shared" si="24"/>
        <v>1.7250000000000004E-3</v>
      </c>
      <c r="O62">
        <f t="shared" si="24"/>
        <v>1.7250000000000004E-3</v>
      </c>
      <c r="P62">
        <f t="shared" si="24"/>
        <v>1.7250000000000004E-3</v>
      </c>
      <c r="Q62">
        <f t="shared" si="24"/>
        <v>1.7250000000000004E-3</v>
      </c>
      <c r="R62">
        <f t="shared" si="24"/>
        <v>1.7250000000000004E-3</v>
      </c>
      <c r="S62">
        <f t="shared" si="24"/>
        <v>1.7250000000000004E-3</v>
      </c>
      <c r="T62">
        <f t="shared" si="24"/>
        <v>1.7250000000000004E-3</v>
      </c>
      <c r="U62">
        <f t="shared" si="24"/>
        <v>1.7250000000000004E-3</v>
      </c>
      <c r="V62">
        <f t="shared" si="24"/>
        <v>1.7250000000000004E-3</v>
      </c>
      <c r="W62">
        <f t="shared" si="25"/>
        <v>1.7250000000000004E-3</v>
      </c>
      <c r="X62">
        <f t="shared" si="25"/>
        <v>1.7250000000000004E-3</v>
      </c>
      <c r="Y62">
        <f t="shared" si="25"/>
        <v>1.7250000000000004E-3</v>
      </c>
      <c r="Z62">
        <f t="shared" si="25"/>
        <v>1.7250000000000004E-3</v>
      </c>
      <c r="AA62">
        <f t="shared" si="25"/>
        <v>1.7250000000000004E-3</v>
      </c>
      <c r="AB62">
        <f t="shared" si="25"/>
        <v>1.7250000000000004E-3</v>
      </c>
      <c r="AC62">
        <f t="shared" si="25"/>
        <v>1.7250000000000004E-3</v>
      </c>
      <c r="AD62">
        <f t="shared" si="25"/>
        <v>1.7250000000000004E-3</v>
      </c>
      <c r="AE62">
        <f t="shared" si="25"/>
        <v>1.7250000000000004E-3</v>
      </c>
      <c r="AF62">
        <f t="shared" si="25"/>
        <v>1.7250000000000004E-3</v>
      </c>
      <c r="AG62">
        <f t="shared" si="26"/>
        <v>1.7250000000000004E-3</v>
      </c>
      <c r="AH62">
        <f t="shared" si="26"/>
        <v>1.7250000000000004E-3</v>
      </c>
      <c r="AI62">
        <f t="shared" si="26"/>
        <v>1.7250000000000004E-3</v>
      </c>
      <c r="AJ62">
        <f t="shared" si="26"/>
        <v>1.7250000000000004E-3</v>
      </c>
      <c r="AK62">
        <f t="shared" si="26"/>
        <v>1.7250000000000004E-3</v>
      </c>
      <c r="AL62">
        <f t="shared" si="26"/>
        <v>1.7250000000000004E-3</v>
      </c>
      <c r="AM62">
        <f t="shared" si="26"/>
        <v>1.7250000000000004E-3</v>
      </c>
      <c r="AN62">
        <f t="shared" si="26"/>
        <v>1.7250000000000004E-3</v>
      </c>
      <c r="AO62">
        <f t="shared" si="26"/>
        <v>1.7250000000000004E-3</v>
      </c>
      <c r="AP62">
        <f t="shared" si="26"/>
        <v>1.7250000000000004E-3</v>
      </c>
      <c r="AQ62">
        <f t="shared" si="27"/>
        <v>1.7250000000000004E-3</v>
      </c>
      <c r="AR62">
        <f t="shared" si="27"/>
        <v>1.7250000000000004E-3</v>
      </c>
      <c r="AS62">
        <f t="shared" si="27"/>
        <v>1.7250000000000004E-3</v>
      </c>
      <c r="AT62">
        <f t="shared" si="27"/>
        <v>1.7250000000000004E-3</v>
      </c>
      <c r="AU62">
        <f t="shared" si="27"/>
        <v>1.7250000000000004E-3</v>
      </c>
      <c r="AV62">
        <f t="shared" si="27"/>
        <v>1.7250000000000004E-3</v>
      </c>
      <c r="AW62">
        <f t="shared" si="27"/>
        <v>1.7250000000000004E-3</v>
      </c>
      <c r="AX62">
        <f t="shared" si="27"/>
        <v>1.7250000000000004E-3</v>
      </c>
      <c r="AY62">
        <f t="shared" si="27"/>
        <v>1.7250000000000004E-3</v>
      </c>
      <c r="AZ62">
        <f t="shared" si="27"/>
        <v>1.7250000000000004E-3</v>
      </c>
      <c r="BA62" s="6"/>
    </row>
    <row r="63" spans="1:53" x14ac:dyDescent="0.2">
      <c r="A63">
        <f t="shared" si="6"/>
        <v>2</v>
      </c>
      <c r="B63" s="3">
        <f t="shared" si="22"/>
        <v>4</v>
      </c>
      <c r="C63">
        <f t="shared" si="23"/>
        <v>7.5000000000000012E-4</v>
      </c>
      <c r="D63">
        <f t="shared" si="23"/>
        <v>7.5000000000000012E-4</v>
      </c>
      <c r="E63">
        <f t="shared" si="23"/>
        <v>7.5000000000000012E-4</v>
      </c>
      <c r="F63">
        <f t="shared" si="23"/>
        <v>7.5000000000000012E-4</v>
      </c>
      <c r="G63">
        <f t="shared" si="23"/>
        <v>7.5000000000000012E-4</v>
      </c>
      <c r="H63">
        <f t="shared" si="23"/>
        <v>7.5000000000000012E-4</v>
      </c>
      <c r="I63">
        <f t="shared" si="23"/>
        <v>7.5000000000000012E-4</v>
      </c>
      <c r="J63">
        <f t="shared" si="23"/>
        <v>7.5000000000000012E-4</v>
      </c>
      <c r="K63">
        <f t="shared" si="23"/>
        <v>7.5000000000000012E-4</v>
      </c>
      <c r="L63">
        <f t="shared" si="23"/>
        <v>7.5000000000000012E-4</v>
      </c>
      <c r="M63">
        <f t="shared" si="24"/>
        <v>7.5000000000000012E-4</v>
      </c>
      <c r="N63">
        <f t="shared" si="24"/>
        <v>7.5000000000000012E-4</v>
      </c>
      <c r="O63">
        <f t="shared" si="24"/>
        <v>7.5000000000000012E-4</v>
      </c>
      <c r="P63">
        <f t="shared" si="24"/>
        <v>7.5000000000000012E-4</v>
      </c>
      <c r="Q63">
        <f t="shared" si="24"/>
        <v>7.5000000000000012E-4</v>
      </c>
      <c r="R63">
        <f t="shared" si="24"/>
        <v>7.5000000000000012E-4</v>
      </c>
      <c r="S63">
        <f t="shared" si="24"/>
        <v>7.5000000000000012E-4</v>
      </c>
      <c r="T63">
        <f t="shared" si="24"/>
        <v>7.5000000000000012E-4</v>
      </c>
      <c r="U63">
        <f t="shared" si="24"/>
        <v>7.5000000000000012E-4</v>
      </c>
      <c r="V63">
        <f t="shared" si="24"/>
        <v>7.5000000000000012E-4</v>
      </c>
      <c r="W63">
        <f t="shared" si="25"/>
        <v>7.5000000000000012E-4</v>
      </c>
      <c r="X63">
        <f t="shared" si="25"/>
        <v>7.5000000000000012E-4</v>
      </c>
      <c r="Y63">
        <f t="shared" si="25"/>
        <v>7.5000000000000012E-4</v>
      </c>
      <c r="Z63">
        <f t="shared" si="25"/>
        <v>7.5000000000000012E-4</v>
      </c>
      <c r="AA63">
        <f t="shared" si="25"/>
        <v>7.5000000000000012E-4</v>
      </c>
      <c r="AB63">
        <f t="shared" si="25"/>
        <v>7.5000000000000012E-4</v>
      </c>
      <c r="AC63">
        <f t="shared" si="25"/>
        <v>7.5000000000000012E-4</v>
      </c>
      <c r="AD63">
        <f t="shared" si="25"/>
        <v>7.5000000000000012E-4</v>
      </c>
      <c r="AE63">
        <f t="shared" si="25"/>
        <v>7.5000000000000012E-4</v>
      </c>
      <c r="AF63">
        <f t="shared" si="25"/>
        <v>7.5000000000000012E-4</v>
      </c>
      <c r="AG63">
        <f t="shared" si="26"/>
        <v>7.5000000000000012E-4</v>
      </c>
      <c r="AH63">
        <f t="shared" si="26"/>
        <v>7.5000000000000012E-4</v>
      </c>
      <c r="AI63">
        <f t="shared" si="26"/>
        <v>7.5000000000000012E-4</v>
      </c>
      <c r="AJ63">
        <f t="shared" si="26"/>
        <v>7.5000000000000012E-4</v>
      </c>
      <c r="AK63">
        <f t="shared" si="26"/>
        <v>7.5000000000000012E-4</v>
      </c>
      <c r="AL63">
        <f t="shared" si="26"/>
        <v>7.5000000000000012E-4</v>
      </c>
      <c r="AM63">
        <f t="shared" si="26"/>
        <v>7.5000000000000012E-4</v>
      </c>
      <c r="AN63">
        <f t="shared" si="26"/>
        <v>7.5000000000000012E-4</v>
      </c>
      <c r="AO63">
        <f t="shared" si="26"/>
        <v>7.5000000000000012E-4</v>
      </c>
      <c r="AP63">
        <f t="shared" si="26"/>
        <v>7.5000000000000012E-4</v>
      </c>
      <c r="AQ63">
        <f t="shared" si="27"/>
        <v>7.5000000000000012E-4</v>
      </c>
      <c r="AR63">
        <f t="shared" si="27"/>
        <v>7.5000000000000012E-4</v>
      </c>
      <c r="AS63">
        <f t="shared" si="27"/>
        <v>7.5000000000000012E-4</v>
      </c>
      <c r="AT63">
        <f t="shared" si="27"/>
        <v>7.5000000000000012E-4</v>
      </c>
      <c r="AU63">
        <f t="shared" si="27"/>
        <v>7.5000000000000012E-4</v>
      </c>
      <c r="AV63">
        <f t="shared" si="27"/>
        <v>7.5000000000000012E-4</v>
      </c>
      <c r="AW63">
        <f t="shared" si="27"/>
        <v>7.5000000000000012E-4</v>
      </c>
      <c r="AX63">
        <f t="shared" si="27"/>
        <v>7.5000000000000012E-4</v>
      </c>
      <c r="AY63">
        <f t="shared" si="27"/>
        <v>7.5000000000000012E-4</v>
      </c>
      <c r="AZ63">
        <f t="shared" si="27"/>
        <v>7.5000000000000012E-4</v>
      </c>
      <c r="BA63" s="6"/>
    </row>
    <row r="64" spans="1:53" x14ac:dyDescent="0.2">
      <c r="A64">
        <f t="shared" si="6"/>
        <v>1</v>
      </c>
      <c r="B64" s="3">
        <f t="shared" si="22"/>
        <v>2</v>
      </c>
      <c r="C64">
        <f t="shared" si="23"/>
        <v>1.7500000000000005E-4</v>
      </c>
      <c r="D64">
        <f t="shared" si="23"/>
        <v>1.7500000000000005E-4</v>
      </c>
      <c r="E64">
        <f t="shared" si="23"/>
        <v>1.7500000000000005E-4</v>
      </c>
      <c r="F64">
        <f t="shared" si="23"/>
        <v>1.7500000000000005E-4</v>
      </c>
      <c r="G64">
        <f t="shared" si="23"/>
        <v>1.7500000000000005E-4</v>
      </c>
      <c r="H64">
        <f t="shared" si="23"/>
        <v>1.7500000000000005E-4</v>
      </c>
      <c r="I64">
        <f t="shared" si="23"/>
        <v>1.7500000000000005E-4</v>
      </c>
      <c r="J64">
        <f t="shared" si="23"/>
        <v>1.7500000000000005E-4</v>
      </c>
      <c r="K64">
        <f t="shared" si="23"/>
        <v>1.7500000000000005E-4</v>
      </c>
      <c r="L64">
        <f t="shared" si="23"/>
        <v>1.7500000000000005E-4</v>
      </c>
      <c r="M64">
        <f t="shared" si="24"/>
        <v>1.7500000000000005E-4</v>
      </c>
      <c r="N64">
        <f t="shared" si="24"/>
        <v>1.7500000000000005E-4</v>
      </c>
      <c r="O64">
        <f t="shared" si="24"/>
        <v>1.7500000000000005E-4</v>
      </c>
      <c r="P64">
        <f t="shared" si="24"/>
        <v>1.7500000000000005E-4</v>
      </c>
      <c r="Q64">
        <f t="shared" si="24"/>
        <v>1.7500000000000005E-4</v>
      </c>
      <c r="R64">
        <f t="shared" si="24"/>
        <v>1.7500000000000005E-4</v>
      </c>
      <c r="S64">
        <f t="shared" si="24"/>
        <v>1.7500000000000005E-4</v>
      </c>
      <c r="T64">
        <f t="shared" si="24"/>
        <v>1.7500000000000005E-4</v>
      </c>
      <c r="U64">
        <f t="shared" si="24"/>
        <v>1.7500000000000005E-4</v>
      </c>
      <c r="V64">
        <f t="shared" si="24"/>
        <v>1.7500000000000005E-4</v>
      </c>
      <c r="W64">
        <f t="shared" si="25"/>
        <v>1.7500000000000005E-4</v>
      </c>
      <c r="X64">
        <f t="shared" si="25"/>
        <v>1.7500000000000005E-4</v>
      </c>
      <c r="Y64">
        <f t="shared" si="25"/>
        <v>1.7500000000000005E-4</v>
      </c>
      <c r="Z64">
        <f t="shared" si="25"/>
        <v>1.7500000000000005E-4</v>
      </c>
      <c r="AA64">
        <f t="shared" si="25"/>
        <v>1.7500000000000005E-4</v>
      </c>
      <c r="AB64">
        <f t="shared" si="25"/>
        <v>1.7500000000000005E-4</v>
      </c>
      <c r="AC64">
        <f t="shared" si="25"/>
        <v>1.7500000000000005E-4</v>
      </c>
      <c r="AD64">
        <f t="shared" si="25"/>
        <v>1.7500000000000005E-4</v>
      </c>
      <c r="AE64">
        <f t="shared" si="25"/>
        <v>1.7500000000000005E-4</v>
      </c>
      <c r="AF64">
        <f t="shared" si="25"/>
        <v>1.7500000000000005E-4</v>
      </c>
      <c r="AG64">
        <f t="shared" si="26"/>
        <v>1.7500000000000005E-4</v>
      </c>
      <c r="AH64">
        <f t="shared" si="26"/>
        <v>1.7500000000000005E-4</v>
      </c>
      <c r="AI64">
        <f t="shared" si="26"/>
        <v>1.7500000000000005E-4</v>
      </c>
      <c r="AJ64">
        <f t="shared" si="26"/>
        <v>1.7500000000000005E-4</v>
      </c>
      <c r="AK64">
        <f t="shared" si="26"/>
        <v>1.7500000000000005E-4</v>
      </c>
      <c r="AL64">
        <f t="shared" si="26"/>
        <v>1.7500000000000005E-4</v>
      </c>
      <c r="AM64">
        <f t="shared" si="26"/>
        <v>1.7500000000000005E-4</v>
      </c>
      <c r="AN64">
        <f t="shared" si="26"/>
        <v>1.7500000000000005E-4</v>
      </c>
      <c r="AO64">
        <f t="shared" si="26"/>
        <v>1.7500000000000005E-4</v>
      </c>
      <c r="AP64">
        <f t="shared" si="26"/>
        <v>1.7500000000000005E-4</v>
      </c>
      <c r="AQ64">
        <f t="shared" si="27"/>
        <v>1.7500000000000005E-4</v>
      </c>
      <c r="AR64">
        <f t="shared" si="27"/>
        <v>1.7500000000000005E-4</v>
      </c>
      <c r="AS64">
        <f t="shared" si="27"/>
        <v>1.7500000000000005E-4</v>
      </c>
      <c r="AT64">
        <f t="shared" si="27"/>
        <v>1.7500000000000005E-4</v>
      </c>
      <c r="AU64">
        <f t="shared" si="27"/>
        <v>1.7500000000000005E-4</v>
      </c>
      <c r="AV64">
        <f t="shared" si="27"/>
        <v>1.7500000000000005E-4</v>
      </c>
      <c r="AW64">
        <f t="shared" si="27"/>
        <v>1.7500000000000005E-4</v>
      </c>
      <c r="AX64">
        <f t="shared" si="27"/>
        <v>1.7500000000000005E-4</v>
      </c>
      <c r="AY64">
        <f t="shared" si="27"/>
        <v>1.7500000000000005E-4</v>
      </c>
      <c r="AZ64">
        <f t="shared" si="27"/>
        <v>1.7500000000000005E-4</v>
      </c>
      <c r="BA64" s="6"/>
    </row>
    <row r="65" spans="1:53" x14ac:dyDescent="0.2">
      <c r="A65">
        <f t="shared" si="6"/>
        <v>0</v>
      </c>
      <c r="B65" s="3">
        <f t="shared" si="22"/>
        <v>0</v>
      </c>
      <c r="C65" s="2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</row>
    <row r="66" spans="1:53" x14ac:dyDescent="0.2">
      <c r="A66" s="1" t="s">
        <v>3</v>
      </c>
      <c r="B66" s="4">
        <v>0</v>
      </c>
      <c r="C66" s="1">
        <v>0</v>
      </c>
      <c r="D66" s="5">
        <f t="shared" ref="D66:AI66" si="28">D67*dt</f>
        <v>0.01</v>
      </c>
      <c r="E66" s="5">
        <f t="shared" si="28"/>
        <v>0.02</v>
      </c>
      <c r="F66" s="5">
        <f t="shared" si="28"/>
        <v>0.03</v>
      </c>
      <c r="G66" s="5">
        <f t="shared" si="28"/>
        <v>0.04</v>
      </c>
      <c r="H66" s="5">
        <f t="shared" si="28"/>
        <v>0.05</v>
      </c>
      <c r="I66" s="5">
        <f t="shared" si="28"/>
        <v>0.06</v>
      </c>
      <c r="J66" s="5">
        <f t="shared" si="28"/>
        <v>7.0000000000000007E-2</v>
      </c>
      <c r="K66" s="5">
        <f t="shared" si="28"/>
        <v>0.08</v>
      </c>
      <c r="L66" s="5">
        <f t="shared" si="28"/>
        <v>0.09</v>
      </c>
      <c r="M66" s="5">
        <f t="shared" si="28"/>
        <v>0.1</v>
      </c>
      <c r="N66" s="5">
        <f t="shared" si="28"/>
        <v>0.11</v>
      </c>
      <c r="O66" s="5">
        <f t="shared" si="28"/>
        <v>0.12</v>
      </c>
      <c r="P66" s="5">
        <f t="shared" si="28"/>
        <v>0.13</v>
      </c>
      <c r="Q66" s="5">
        <f t="shared" si="28"/>
        <v>0.14000000000000001</v>
      </c>
      <c r="R66" s="5">
        <f t="shared" si="28"/>
        <v>0.15</v>
      </c>
      <c r="S66" s="5">
        <f t="shared" si="28"/>
        <v>0.16</v>
      </c>
      <c r="T66" s="5">
        <f t="shared" si="28"/>
        <v>0.17</v>
      </c>
      <c r="U66" s="5">
        <f t="shared" si="28"/>
        <v>0.18</v>
      </c>
      <c r="V66" s="5">
        <f t="shared" si="28"/>
        <v>0.19</v>
      </c>
      <c r="W66" s="5">
        <f t="shared" si="28"/>
        <v>0.2</v>
      </c>
      <c r="X66" s="5">
        <f t="shared" si="28"/>
        <v>0.21</v>
      </c>
      <c r="Y66" s="5">
        <f t="shared" si="28"/>
        <v>0.22</v>
      </c>
      <c r="Z66" s="5">
        <f t="shared" si="28"/>
        <v>0.23</v>
      </c>
      <c r="AA66" s="5">
        <f t="shared" si="28"/>
        <v>0.24</v>
      </c>
      <c r="AB66" s="5">
        <f t="shared" si="28"/>
        <v>0.25</v>
      </c>
      <c r="AC66" s="5">
        <f t="shared" si="28"/>
        <v>0.26</v>
      </c>
      <c r="AD66" s="5">
        <f t="shared" si="28"/>
        <v>0.27</v>
      </c>
      <c r="AE66" s="5">
        <f t="shared" si="28"/>
        <v>0.28000000000000003</v>
      </c>
      <c r="AF66" s="5">
        <f t="shared" si="28"/>
        <v>0.28999999999999998</v>
      </c>
      <c r="AG66" s="5">
        <f t="shared" si="28"/>
        <v>0.3</v>
      </c>
      <c r="AH66" s="5">
        <f t="shared" si="28"/>
        <v>0.31</v>
      </c>
      <c r="AI66" s="5">
        <f t="shared" si="28"/>
        <v>0.32</v>
      </c>
      <c r="AJ66" s="5">
        <f t="shared" ref="AJ66:BA66" si="29">AJ67*dt</f>
        <v>0.33</v>
      </c>
      <c r="AK66" s="5">
        <f t="shared" si="29"/>
        <v>0.34</v>
      </c>
      <c r="AL66" s="5">
        <f t="shared" si="29"/>
        <v>0.35000000000000003</v>
      </c>
      <c r="AM66" s="5">
        <f t="shared" si="29"/>
        <v>0.36</v>
      </c>
      <c r="AN66" s="5">
        <f t="shared" si="29"/>
        <v>0.37</v>
      </c>
      <c r="AO66" s="5">
        <f t="shared" si="29"/>
        <v>0.38</v>
      </c>
      <c r="AP66" s="5">
        <f t="shared" si="29"/>
        <v>0.39</v>
      </c>
      <c r="AQ66" s="5">
        <f t="shared" si="29"/>
        <v>0.4</v>
      </c>
      <c r="AR66" s="5">
        <f t="shared" si="29"/>
        <v>0.41000000000000003</v>
      </c>
      <c r="AS66" s="5">
        <f t="shared" si="29"/>
        <v>0.42</v>
      </c>
      <c r="AT66" s="5">
        <f t="shared" si="29"/>
        <v>0.43</v>
      </c>
      <c r="AU66" s="5">
        <f t="shared" si="29"/>
        <v>0.44</v>
      </c>
      <c r="AV66" s="5">
        <f t="shared" si="29"/>
        <v>0.45</v>
      </c>
      <c r="AW66" s="5">
        <f t="shared" si="29"/>
        <v>0.46</v>
      </c>
      <c r="AX66" s="5">
        <f t="shared" si="29"/>
        <v>0.47000000000000003</v>
      </c>
      <c r="AY66" s="5">
        <f t="shared" si="29"/>
        <v>0.48</v>
      </c>
      <c r="AZ66" s="5">
        <f t="shared" si="29"/>
        <v>0.49</v>
      </c>
      <c r="BA66" s="5">
        <f t="shared" si="29"/>
        <v>0.5</v>
      </c>
    </row>
    <row r="67" spans="1:53" x14ac:dyDescent="0.2">
      <c r="A67" s="2" t="s">
        <v>4</v>
      </c>
      <c r="B67" s="3">
        <v>0</v>
      </c>
      <c r="C67" s="2">
        <v>0</v>
      </c>
      <c r="D67" s="2">
        <f>B67+1</f>
        <v>1</v>
      </c>
      <c r="E67" s="2">
        <f>D67+1</f>
        <v>2</v>
      </c>
      <c r="F67" s="2">
        <f>E67+1</f>
        <v>3</v>
      </c>
      <c r="G67" s="2">
        <f t="shared" ref="G67:BA67" si="30">F67+1</f>
        <v>4</v>
      </c>
      <c r="H67" s="2">
        <f t="shared" si="30"/>
        <v>5</v>
      </c>
      <c r="I67" s="2">
        <f t="shared" si="30"/>
        <v>6</v>
      </c>
      <c r="J67" s="2">
        <f t="shared" si="30"/>
        <v>7</v>
      </c>
      <c r="K67" s="2">
        <f t="shared" si="30"/>
        <v>8</v>
      </c>
      <c r="L67" s="2">
        <f t="shared" si="30"/>
        <v>9</v>
      </c>
      <c r="M67" s="2">
        <f t="shared" si="30"/>
        <v>10</v>
      </c>
      <c r="N67" s="2">
        <f t="shared" si="30"/>
        <v>11</v>
      </c>
      <c r="O67" s="2">
        <f t="shared" si="30"/>
        <v>12</v>
      </c>
      <c r="P67" s="2">
        <f t="shared" si="30"/>
        <v>13</v>
      </c>
      <c r="Q67" s="2">
        <f t="shared" si="30"/>
        <v>14</v>
      </c>
      <c r="R67" s="2">
        <f t="shared" si="30"/>
        <v>15</v>
      </c>
      <c r="S67" s="2">
        <f t="shared" si="30"/>
        <v>16</v>
      </c>
      <c r="T67" s="2">
        <f t="shared" si="30"/>
        <v>17</v>
      </c>
      <c r="U67" s="2">
        <f t="shared" si="30"/>
        <v>18</v>
      </c>
      <c r="V67" s="2">
        <f t="shared" si="30"/>
        <v>19</v>
      </c>
      <c r="W67" s="2">
        <f t="shared" si="30"/>
        <v>20</v>
      </c>
      <c r="X67" s="2">
        <f t="shared" si="30"/>
        <v>21</v>
      </c>
      <c r="Y67" s="2">
        <f t="shared" si="30"/>
        <v>22</v>
      </c>
      <c r="Z67" s="2">
        <f t="shared" si="30"/>
        <v>23</v>
      </c>
      <c r="AA67" s="2">
        <f t="shared" si="30"/>
        <v>24</v>
      </c>
      <c r="AB67" s="2">
        <f t="shared" si="30"/>
        <v>25</v>
      </c>
      <c r="AC67" s="2">
        <f t="shared" si="30"/>
        <v>26</v>
      </c>
      <c r="AD67" s="2">
        <f t="shared" si="30"/>
        <v>27</v>
      </c>
      <c r="AE67" s="2">
        <f t="shared" si="30"/>
        <v>28</v>
      </c>
      <c r="AF67" s="2">
        <f t="shared" si="30"/>
        <v>29</v>
      </c>
      <c r="AG67" s="2">
        <f t="shared" si="30"/>
        <v>30</v>
      </c>
      <c r="AH67" s="2">
        <f t="shared" si="30"/>
        <v>31</v>
      </c>
      <c r="AI67" s="2">
        <f t="shared" si="30"/>
        <v>32</v>
      </c>
      <c r="AJ67" s="2">
        <f t="shared" si="30"/>
        <v>33</v>
      </c>
      <c r="AK67" s="2">
        <f t="shared" si="30"/>
        <v>34</v>
      </c>
      <c r="AL67" s="2">
        <f t="shared" si="30"/>
        <v>35</v>
      </c>
      <c r="AM67" s="2">
        <f t="shared" si="30"/>
        <v>36</v>
      </c>
      <c r="AN67" s="2">
        <f t="shared" si="30"/>
        <v>37</v>
      </c>
      <c r="AO67" s="2">
        <f t="shared" si="30"/>
        <v>38</v>
      </c>
      <c r="AP67" s="2">
        <f t="shared" si="30"/>
        <v>39</v>
      </c>
      <c r="AQ67" s="2">
        <f t="shared" si="30"/>
        <v>40</v>
      </c>
      <c r="AR67" s="2">
        <f t="shared" si="30"/>
        <v>41</v>
      </c>
      <c r="AS67" s="2">
        <f t="shared" si="30"/>
        <v>42</v>
      </c>
      <c r="AT67" s="2">
        <f t="shared" si="30"/>
        <v>43</v>
      </c>
      <c r="AU67" s="2">
        <f t="shared" si="30"/>
        <v>44</v>
      </c>
      <c r="AV67" s="2">
        <f t="shared" si="30"/>
        <v>45</v>
      </c>
      <c r="AW67" s="2">
        <f t="shared" si="30"/>
        <v>46</v>
      </c>
      <c r="AX67" s="2">
        <f t="shared" si="30"/>
        <v>47</v>
      </c>
      <c r="AY67" s="2">
        <f t="shared" si="30"/>
        <v>48</v>
      </c>
      <c r="AZ67" s="2">
        <f t="shared" si="30"/>
        <v>49</v>
      </c>
      <c r="BA67" s="2">
        <f t="shared" si="30"/>
        <v>50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4:BA67"/>
  <sheetViews>
    <sheetView topLeftCell="A21" workbookViewId="0">
      <selection activeCell="C68" sqref="C68"/>
    </sheetView>
  </sheetViews>
  <sheetFormatPr defaultColWidth="8.85546875" defaultRowHeight="12.75" x14ac:dyDescent="0.2"/>
  <sheetData>
    <row r="14" spans="1:53" x14ac:dyDescent="0.2">
      <c r="A14" t="s">
        <v>12</v>
      </c>
      <c r="B14" t="s">
        <v>11</v>
      </c>
    </row>
    <row r="15" spans="1:53" x14ac:dyDescent="0.2">
      <c r="A15">
        <v>50</v>
      </c>
      <c r="B15" s="3">
        <f t="shared" ref="B15:B46" si="0">Smin+dS*A15</f>
        <v>100</v>
      </c>
      <c r="C15" s="2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</row>
    <row r="16" spans="1:53" x14ac:dyDescent="0.2">
      <c r="A16">
        <f>A15-1</f>
        <v>49</v>
      </c>
      <c r="B16" s="3">
        <f t="shared" si="0"/>
        <v>98</v>
      </c>
      <c r="C16">
        <f>'EXP FD A'!C16+'EXP FD B'!C16+'EXP FD C'!C16</f>
        <v>1</v>
      </c>
      <c r="D16">
        <f>'EXP FD A'!D16+'EXP FD B'!D16+'EXP FD C'!D16</f>
        <v>1</v>
      </c>
      <c r="E16">
        <f>'EXP FD A'!E16+'EXP FD B'!E16+'EXP FD C'!E16</f>
        <v>1</v>
      </c>
      <c r="F16">
        <f>'EXP FD A'!F16+'EXP FD B'!F16+'EXP FD C'!F16</f>
        <v>1</v>
      </c>
      <c r="G16">
        <f>'EXP FD A'!G16+'EXP FD B'!G16+'EXP FD C'!G16</f>
        <v>1</v>
      </c>
      <c r="H16">
        <f>'EXP FD A'!H16+'EXP FD B'!H16+'EXP FD C'!H16</f>
        <v>1</v>
      </c>
      <c r="I16">
        <f>'EXP FD A'!I16+'EXP FD B'!I16+'EXP FD C'!I16</f>
        <v>1</v>
      </c>
      <c r="J16">
        <f>'EXP FD A'!J16+'EXP FD B'!J16+'EXP FD C'!J16</f>
        <v>1</v>
      </c>
      <c r="K16">
        <f>'EXP FD A'!K16+'EXP FD B'!K16+'EXP FD C'!K16</f>
        <v>1</v>
      </c>
      <c r="L16">
        <f>'EXP FD A'!L16+'EXP FD B'!L16+'EXP FD C'!L16</f>
        <v>1</v>
      </c>
      <c r="M16">
        <f>'EXP FD A'!M16+'EXP FD B'!M16+'EXP FD C'!M16</f>
        <v>1</v>
      </c>
      <c r="N16">
        <f>'EXP FD A'!N16+'EXP FD B'!N16+'EXP FD C'!N16</f>
        <v>1</v>
      </c>
      <c r="O16">
        <f>'EXP FD A'!O16+'EXP FD B'!O16+'EXP FD C'!O16</f>
        <v>1</v>
      </c>
      <c r="P16">
        <f>'EXP FD A'!P16+'EXP FD B'!P16+'EXP FD C'!P16</f>
        <v>1</v>
      </c>
      <c r="Q16">
        <f>'EXP FD A'!Q16+'EXP FD B'!Q16+'EXP FD C'!Q16</f>
        <v>1</v>
      </c>
      <c r="R16">
        <f>'EXP FD A'!R16+'EXP FD B'!R16+'EXP FD C'!R16</f>
        <v>1</v>
      </c>
      <c r="S16">
        <f>'EXP FD A'!S16+'EXP FD B'!S16+'EXP FD C'!S16</f>
        <v>1</v>
      </c>
      <c r="T16">
        <f>'EXP FD A'!T16+'EXP FD B'!T16+'EXP FD C'!T16</f>
        <v>1</v>
      </c>
      <c r="U16">
        <f>'EXP FD A'!U16+'EXP FD B'!U16+'EXP FD C'!U16</f>
        <v>1</v>
      </c>
      <c r="V16">
        <f>'EXP FD A'!V16+'EXP FD B'!V16+'EXP FD C'!V16</f>
        <v>1</v>
      </c>
      <c r="W16">
        <f>'EXP FD A'!W16+'EXP FD B'!W16+'EXP FD C'!W16</f>
        <v>1</v>
      </c>
      <c r="X16">
        <f>'EXP FD A'!X16+'EXP FD B'!X16+'EXP FD C'!X16</f>
        <v>1</v>
      </c>
      <c r="Y16">
        <f>'EXP FD A'!Y16+'EXP FD B'!Y16+'EXP FD C'!Y16</f>
        <v>1</v>
      </c>
      <c r="Z16">
        <f>'EXP FD A'!Z16+'EXP FD B'!Z16+'EXP FD C'!Z16</f>
        <v>1</v>
      </c>
      <c r="AA16">
        <f>'EXP FD A'!AA16+'EXP FD B'!AA16+'EXP FD C'!AA16</f>
        <v>1</v>
      </c>
      <c r="AB16">
        <f>'EXP FD A'!AB16+'EXP FD B'!AB16+'EXP FD C'!AB16</f>
        <v>1</v>
      </c>
      <c r="AC16">
        <f>'EXP FD A'!AC16+'EXP FD B'!AC16+'EXP FD C'!AC16</f>
        <v>1</v>
      </c>
      <c r="AD16">
        <f>'EXP FD A'!AD16+'EXP FD B'!AD16+'EXP FD C'!AD16</f>
        <v>1</v>
      </c>
      <c r="AE16">
        <f>'EXP FD A'!AE16+'EXP FD B'!AE16+'EXP FD C'!AE16</f>
        <v>1</v>
      </c>
      <c r="AF16">
        <f>'EXP FD A'!AF16+'EXP FD B'!AF16+'EXP FD C'!AF16</f>
        <v>1</v>
      </c>
      <c r="AG16">
        <f>'EXP FD A'!AG16+'EXP FD B'!AG16+'EXP FD C'!AG16</f>
        <v>1</v>
      </c>
      <c r="AH16">
        <f>'EXP FD A'!AH16+'EXP FD B'!AH16+'EXP FD C'!AH16</f>
        <v>1</v>
      </c>
      <c r="AI16">
        <f>'EXP FD A'!AI16+'EXP FD B'!AI16+'EXP FD C'!AI16</f>
        <v>1</v>
      </c>
      <c r="AJ16">
        <f>'EXP FD A'!AJ16+'EXP FD B'!AJ16+'EXP FD C'!AJ16</f>
        <v>1</v>
      </c>
      <c r="AK16">
        <f>'EXP FD A'!AK16+'EXP FD B'!AK16+'EXP FD C'!AK16</f>
        <v>1</v>
      </c>
      <c r="AL16">
        <f>'EXP FD A'!AL16+'EXP FD B'!AL16+'EXP FD C'!AL16</f>
        <v>1</v>
      </c>
      <c r="AM16">
        <f>'EXP FD A'!AM16+'EXP FD B'!AM16+'EXP FD C'!AM16</f>
        <v>1</v>
      </c>
      <c r="AN16">
        <f>'EXP FD A'!AN16+'EXP FD B'!AN16+'EXP FD C'!AN16</f>
        <v>1</v>
      </c>
      <c r="AO16">
        <f>'EXP FD A'!AO16+'EXP FD B'!AO16+'EXP FD C'!AO16</f>
        <v>1</v>
      </c>
      <c r="AP16">
        <f>'EXP FD A'!AP16+'EXP FD B'!AP16+'EXP FD C'!AP16</f>
        <v>1</v>
      </c>
      <c r="AQ16">
        <f>'EXP FD A'!AQ16+'EXP FD B'!AQ16+'EXP FD C'!AQ16</f>
        <v>1</v>
      </c>
      <c r="AR16">
        <f>'EXP FD A'!AR16+'EXP FD B'!AR16+'EXP FD C'!AR16</f>
        <v>1</v>
      </c>
      <c r="AS16">
        <f>'EXP FD A'!AS16+'EXP FD B'!AS16+'EXP FD C'!AS16</f>
        <v>1</v>
      </c>
      <c r="AT16">
        <f>'EXP FD A'!AT16+'EXP FD B'!AT16+'EXP FD C'!AT16</f>
        <v>1</v>
      </c>
      <c r="AU16">
        <f>'EXP FD A'!AU16+'EXP FD B'!AU16+'EXP FD C'!AU16</f>
        <v>1</v>
      </c>
      <c r="AV16">
        <f>'EXP FD A'!AV16+'EXP FD B'!AV16+'EXP FD C'!AV16</f>
        <v>1</v>
      </c>
      <c r="AW16">
        <f>'EXP FD A'!AW16+'EXP FD B'!AW16+'EXP FD C'!AW16</f>
        <v>1</v>
      </c>
      <c r="AX16">
        <f>'EXP FD A'!AX16+'EXP FD B'!AX16+'EXP FD C'!AX16</f>
        <v>1</v>
      </c>
      <c r="AY16">
        <f>'EXP FD A'!AY16+'EXP FD B'!AY16+'EXP FD C'!AY16</f>
        <v>1</v>
      </c>
      <c r="AZ16">
        <f>'EXP FD A'!AZ16+'EXP FD B'!AZ16+'EXP FD C'!AZ16</f>
        <v>1</v>
      </c>
      <c r="BA16" s="6"/>
    </row>
    <row r="17" spans="1:53" x14ac:dyDescent="0.2">
      <c r="A17">
        <f t="shared" ref="A17:A65" si="1">A16-1</f>
        <v>48</v>
      </c>
      <c r="B17" s="3">
        <f t="shared" si="0"/>
        <v>96</v>
      </c>
      <c r="C17">
        <f>'EXP FD A'!C17+'EXP FD B'!C17+'EXP FD C'!C17</f>
        <v>1</v>
      </c>
      <c r="D17">
        <f>'EXP FD A'!D17+'EXP FD B'!D17+'EXP FD C'!D17</f>
        <v>1</v>
      </c>
      <c r="E17">
        <f>'EXP FD A'!E17+'EXP FD B'!E17+'EXP FD C'!E17</f>
        <v>1</v>
      </c>
      <c r="F17">
        <f>'EXP FD A'!F17+'EXP FD B'!F17+'EXP FD C'!F17</f>
        <v>1</v>
      </c>
      <c r="G17">
        <f>'EXP FD A'!G17+'EXP FD B'!G17+'EXP FD C'!G17</f>
        <v>1</v>
      </c>
      <c r="H17">
        <f>'EXP FD A'!H17+'EXP FD B'!H17+'EXP FD C'!H17</f>
        <v>1</v>
      </c>
      <c r="I17">
        <f>'EXP FD A'!I17+'EXP FD B'!I17+'EXP FD C'!I17</f>
        <v>1</v>
      </c>
      <c r="J17">
        <f>'EXP FD A'!J17+'EXP FD B'!J17+'EXP FD C'!J17</f>
        <v>1</v>
      </c>
      <c r="K17">
        <f>'EXP FD A'!K17+'EXP FD B'!K17+'EXP FD C'!K17</f>
        <v>1</v>
      </c>
      <c r="L17">
        <f>'EXP FD A'!L17+'EXP FD B'!L17+'EXP FD C'!L17</f>
        <v>1</v>
      </c>
      <c r="M17">
        <f>'EXP FD A'!M17+'EXP FD B'!M17+'EXP FD C'!M17</f>
        <v>1</v>
      </c>
      <c r="N17">
        <f>'EXP FD A'!N17+'EXP FD B'!N17+'EXP FD C'!N17</f>
        <v>1</v>
      </c>
      <c r="O17">
        <f>'EXP FD A'!O17+'EXP FD B'!O17+'EXP FD C'!O17</f>
        <v>1</v>
      </c>
      <c r="P17">
        <f>'EXP FD A'!P17+'EXP FD B'!P17+'EXP FD C'!P17</f>
        <v>1</v>
      </c>
      <c r="Q17">
        <f>'EXP FD A'!Q17+'EXP FD B'!Q17+'EXP FD C'!Q17</f>
        <v>1</v>
      </c>
      <c r="R17">
        <f>'EXP FD A'!R17+'EXP FD B'!R17+'EXP FD C'!R17</f>
        <v>1</v>
      </c>
      <c r="S17">
        <f>'EXP FD A'!S17+'EXP FD B'!S17+'EXP FD C'!S17</f>
        <v>1</v>
      </c>
      <c r="T17">
        <f>'EXP FD A'!T17+'EXP FD B'!T17+'EXP FD C'!T17</f>
        <v>1</v>
      </c>
      <c r="U17">
        <f>'EXP FD A'!U17+'EXP FD B'!U17+'EXP FD C'!U17</f>
        <v>1</v>
      </c>
      <c r="V17">
        <f>'EXP FD A'!V17+'EXP FD B'!V17+'EXP FD C'!V17</f>
        <v>1</v>
      </c>
      <c r="W17">
        <f>'EXP FD A'!W17+'EXP FD B'!W17+'EXP FD C'!W17</f>
        <v>1</v>
      </c>
      <c r="X17">
        <f>'EXP FD A'!X17+'EXP FD B'!X17+'EXP FD C'!X17</f>
        <v>1</v>
      </c>
      <c r="Y17">
        <f>'EXP FD A'!Y17+'EXP FD B'!Y17+'EXP FD C'!Y17</f>
        <v>1</v>
      </c>
      <c r="Z17">
        <f>'EXP FD A'!Z17+'EXP FD B'!Z17+'EXP FD C'!Z17</f>
        <v>1</v>
      </c>
      <c r="AA17">
        <f>'EXP FD A'!AA17+'EXP FD B'!AA17+'EXP FD C'!AA17</f>
        <v>1</v>
      </c>
      <c r="AB17">
        <f>'EXP FD A'!AB17+'EXP FD B'!AB17+'EXP FD C'!AB17</f>
        <v>1</v>
      </c>
      <c r="AC17">
        <f>'EXP FD A'!AC17+'EXP FD B'!AC17+'EXP FD C'!AC17</f>
        <v>1</v>
      </c>
      <c r="AD17">
        <f>'EXP FD A'!AD17+'EXP FD B'!AD17+'EXP FD C'!AD17</f>
        <v>1</v>
      </c>
      <c r="AE17">
        <f>'EXP FD A'!AE17+'EXP FD B'!AE17+'EXP FD C'!AE17</f>
        <v>1</v>
      </c>
      <c r="AF17">
        <f>'EXP FD A'!AF17+'EXP FD B'!AF17+'EXP FD C'!AF17</f>
        <v>1</v>
      </c>
      <c r="AG17">
        <f>'EXP FD A'!AG17+'EXP FD B'!AG17+'EXP FD C'!AG17</f>
        <v>1</v>
      </c>
      <c r="AH17">
        <f>'EXP FD A'!AH17+'EXP FD B'!AH17+'EXP FD C'!AH17</f>
        <v>1</v>
      </c>
      <c r="AI17">
        <f>'EXP FD A'!AI17+'EXP FD B'!AI17+'EXP FD C'!AI17</f>
        <v>1</v>
      </c>
      <c r="AJ17">
        <f>'EXP FD A'!AJ17+'EXP FD B'!AJ17+'EXP FD C'!AJ17</f>
        <v>1</v>
      </c>
      <c r="AK17">
        <f>'EXP FD A'!AK17+'EXP FD B'!AK17+'EXP FD C'!AK17</f>
        <v>1</v>
      </c>
      <c r="AL17">
        <f>'EXP FD A'!AL17+'EXP FD B'!AL17+'EXP FD C'!AL17</f>
        <v>1</v>
      </c>
      <c r="AM17">
        <f>'EXP FD A'!AM17+'EXP FD B'!AM17+'EXP FD C'!AM17</f>
        <v>1</v>
      </c>
      <c r="AN17">
        <f>'EXP FD A'!AN17+'EXP FD B'!AN17+'EXP FD C'!AN17</f>
        <v>1</v>
      </c>
      <c r="AO17">
        <f>'EXP FD A'!AO17+'EXP FD B'!AO17+'EXP FD C'!AO17</f>
        <v>1</v>
      </c>
      <c r="AP17">
        <f>'EXP FD A'!AP17+'EXP FD B'!AP17+'EXP FD C'!AP17</f>
        <v>1</v>
      </c>
      <c r="AQ17">
        <f>'EXP FD A'!AQ17+'EXP FD B'!AQ17+'EXP FD C'!AQ17</f>
        <v>1</v>
      </c>
      <c r="AR17">
        <f>'EXP FD A'!AR17+'EXP FD B'!AR17+'EXP FD C'!AR17</f>
        <v>1</v>
      </c>
      <c r="AS17">
        <f>'EXP FD A'!AS17+'EXP FD B'!AS17+'EXP FD C'!AS17</f>
        <v>1</v>
      </c>
      <c r="AT17">
        <f>'EXP FD A'!AT17+'EXP FD B'!AT17+'EXP FD C'!AT17</f>
        <v>1</v>
      </c>
      <c r="AU17">
        <f>'EXP FD A'!AU17+'EXP FD B'!AU17+'EXP FD C'!AU17</f>
        <v>1</v>
      </c>
      <c r="AV17">
        <f>'EXP FD A'!AV17+'EXP FD B'!AV17+'EXP FD C'!AV17</f>
        <v>1</v>
      </c>
      <c r="AW17">
        <f>'EXP FD A'!AW17+'EXP FD B'!AW17+'EXP FD C'!AW17</f>
        <v>1</v>
      </c>
      <c r="AX17">
        <f>'EXP FD A'!AX17+'EXP FD B'!AX17+'EXP FD C'!AX17</f>
        <v>1</v>
      </c>
      <c r="AY17">
        <f>'EXP FD A'!AY17+'EXP FD B'!AY17+'EXP FD C'!AY17</f>
        <v>1</v>
      </c>
      <c r="AZ17">
        <f>'EXP FD A'!AZ17+'EXP FD B'!AZ17+'EXP FD C'!AZ17</f>
        <v>1</v>
      </c>
      <c r="BA17" s="6"/>
    </row>
    <row r="18" spans="1:53" x14ac:dyDescent="0.2">
      <c r="A18">
        <f t="shared" si="1"/>
        <v>47</v>
      </c>
      <c r="B18" s="3">
        <f t="shared" si="0"/>
        <v>94</v>
      </c>
      <c r="C18">
        <f>'EXP FD A'!C18+'EXP FD B'!C18+'EXP FD C'!C18</f>
        <v>1</v>
      </c>
      <c r="D18">
        <f>'EXP FD A'!D18+'EXP FD B'!D18+'EXP FD C'!D18</f>
        <v>1</v>
      </c>
      <c r="E18">
        <f>'EXP FD A'!E18+'EXP FD B'!E18+'EXP FD C'!E18</f>
        <v>1</v>
      </c>
      <c r="F18">
        <f>'EXP FD A'!F18+'EXP FD B'!F18+'EXP FD C'!F18</f>
        <v>1</v>
      </c>
      <c r="G18">
        <f>'EXP FD A'!G18+'EXP FD B'!G18+'EXP FD C'!G18</f>
        <v>1</v>
      </c>
      <c r="H18">
        <f>'EXP FD A'!H18+'EXP FD B'!H18+'EXP FD C'!H18</f>
        <v>1</v>
      </c>
      <c r="I18">
        <f>'EXP FD A'!I18+'EXP FD B'!I18+'EXP FD C'!I18</f>
        <v>1</v>
      </c>
      <c r="J18">
        <f>'EXP FD A'!J18+'EXP FD B'!J18+'EXP FD C'!J18</f>
        <v>1</v>
      </c>
      <c r="K18">
        <f>'EXP FD A'!K18+'EXP FD B'!K18+'EXP FD C'!K18</f>
        <v>1</v>
      </c>
      <c r="L18">
        <f>'EXP FD A'!L18+'EXP FD B'!L18+'EXP FD C'!L18</f>
        <v>1</v>
      </c>
      <c r="M18">
        <f>'EXP FD A'!M18+'EXP FD B'!M18+'EXP FD C'!M18</f>
        <v>1</v>
      </c>
      <c r="N18">
        <f>'EXP FD A'!N18+'EXP FD B'!N18+'EXP FD C'!N18</f>
        <v>1</v>
      </c>
      <c r="O18">
        <f>'EXP FD A'!O18+'EXP FD B'!O18+'EXP FD C'!O18</f>
        <v>1</v>
      </c>
      <c r="P18">
        <f>'EXP FD A'!P18+'EXP FD B'!P18+'EXP FD C'!P18</f>
        <v>1</v>
      </c>
      <c r="Q18">
        <f>'EXP FD A'!Q18+'EXP FD B'!Q18+'EXP FD C'!Q18</f>
        <v>1</v>
      </c>
      <c r="R18">
        <f>'EXP FD A'!R18+'EXP FD B'!R18+'EXP FD C'!R18</f>
        <v>1</v>
      </c>
      <c r="S18">
        <f>'EXP FD A'!S18+'EXP FD B'!S18+'EXP FD C'!S18</f>
        <v>1</v>
      </c>
      <c r="T18">
        <f>'EXP FD A'!T18+'EXP FD B'!T18+'EXP FD C'!T18</f>
        <v>1</v>
      </c>
      <c r="U18">
        <f>'EXP FD A'!U18+'EXP FD B'!U18+'EXP FD C'!U18</f>
        <v>1</v>
      </c>
      <c r="V18">
        <f>'EXP FD A'!V18+'EXP FD B'!V18+'EXP FD C'!V18</f>
        <v>1</v>
      </c>
      <c r="W18">
        <f>'EXP FD A'!W18+'EXP FD B'!W18+'EXP FD C'!W18</f>
        <v>1</v>
      </c>
      <c r="X18">
        <f>'EXP FD A'!X18+'EXP FD B'!X18+'EXP FD C'!X18</f>
        <v>1</v>
      </c>
      <c r="Y18">
        <f>'EXP FD A'!Y18+'EXP FD B'!Y18+'EXP FD C'!Y18</f>
        <v>1</v>
      </c>
      <c r="Z18">
        <f>'EXP FD A'!Z18+'EXP FD B'!Z18+'EXP FD C'!Z18</f>
        <v>1</v>
      </c>
      <c r="AA18">
        <f>'EXP FD A'!AA18+'EXP FD B'!AA18+'EXP FD C'!AA18</f>
        <v>1</v>
      </c>
      <c r="AB18">
        <f>'EXP FD A'!AB18+'EXP FD B'!AB18+'EXP FD C'!AB18</f>
        <v>1</v>
      </c>
      <c r="AC18">
        <f>'EXP FD A'!AC18+'EXP FD B'!AC18+'EXP FD C'!AC18</f>
        <v>1</v>
      </c>
      <c r="AD18">
        <f>'EXP FD A'!AD18+'EXP FD B'!AD18+'EXP FD C'!AD18</f>
        <v>1</v>
      </c>
      <c r="AE18">
        <f>'EXP FD A'!AE18+'EXP FD B'!AE18+'EXP FD C'!AE18</f>
        <v>1</v>
      </c>
      <c r="AF18">
        <f>'EXP FD A'!AF18+'EXP FD B'!AF18+'EXP FD C'!AF18</f>
        <v>1</v>
      </c>
      <c r="AG18">
        <f>'EXP FD A'!AG18+'EXP FD B'!AG18+'EXP FD C'!AG18</f>
        <v>1</v>
      </c>
      <c r="AH18">
        <f>'EXP FD A'!AH18+'EXP FD B'!AH18+'EXP FD C'!AH18</f>
        <v>1</v>
      </c>
      <c r="AI18">
        <f>'EXP FD A'!AI18+'EXP FD B'!AI18+'EXP FD C'!AI18</f>
        <v>1</v>
      </c>
      <c r="AJ18">
        <f>'EXP FD A'!AJ18+'EXP FD B'!AJ18+'EXP FD C'!AJ18</f>
        <v>1</v>
      </c>
      <c r="AK18">
        <f>'EXP FD A'!AK18+'EXP FD B'!AK18+'EXP FD C'!AK18</f>
        <v>1</v>
      </c>
      <c r="AL18">
        <f>'EXP FD A'!AL18+'EXP FD B'!AL18+'EXP FD C'!AL18</f>
        <v>1</v>
      </c>
      <c r="AM18">
        <f>'EXP FD A'!AM18+'EXP FD B'!AM18+'EXP FD C'!AM18</f>
        <v>1</v>
      </c>
      <c r="AN18">
        <f>'EXP FD A'!AN18+'EXP FD B'!AN18+'EXP FD C'!AN18</f>
        <v>1</v>
      </c>
      <c r="AO18">
        <f>'EXP FD A'!AO18+'EXP FD B'!AO18+'EXP FD C'!AO18</f>
        <v>1</v>
      </c>
      <c r="AP18">
        <f>'EXP FD A'!AP18+'EXP FD B'!AP18+'EXP FD C'!AP18</f>
        <v>1</v>
      </c>
      <c r="AQ18">
        <f>'EXP FD A'!AQ18+'EXP FD B'!AQ18+'EXP FD C'!AQ18</f>
        <v>1</v>
      </c>
      <c r="AR18">
        <f>'EXP FD A'!AR18+'EXP FD B'!AR18+'EXP FD C'!AR18</f>
        <v>1</v>
      </c>
      <c r="AS18">
        <f>'EXP FD A'!AS18+'EXP FD B'!AS18+'EXP FD C'!AS18</f>
        <v>1</v>
      </c>
      <c r="AT18">
        <f>'EXP FD A'!AT18+'EXP FD B'!AT18+'EXP FD C'!AT18</f>
        <v>1</v>
      </c>
      <c r="AU18">
        <f>'EXP FD A'!AU18+'EXP FD B'!AU18+'EXP FD C'!AU18</f>
        <v>1</v>
      </c>
      <c r="AV18">
        <f>'EXP FD A'!AV18+'EXP FD B'!AV18+'EXP FD C'!AV18</f>
        <v>1</v>
      </c>
      <c r="AW18">
        <f>'EXP FD A'!AW18+'EXP FD B'!AW18+'EXP FD C'!AW18</f>
        <v>1</v>
      </c>
      <c r="AX18">
        <f>'EXP FD A'!AX18+'EXP FD B'!AX18+'EXP FD C'!AX18</f>
        <v>1</v>
      </c>
      <c r="AY18">
        <f>'EXP FD A'!AY18+'EXP FD B'!AY18+'EXP FD C'!AY18</f>
        <v>1</v>
      </c>
      <c r="AZ18">
        <f>'EXP FD A'!AZ18+'EXP FD B'!AZ18+'EXP FD C'!AZ18</f>
        <v>1</v>
      </c>
      <c r="BA18" s="6"/>
    </row>
    <row r="19" spans="1:53" x14ac:dyDescent="0.2">
      <c r="A19">
        <f t="shared" si="1"/>
        <v>46</v>
      </c>
      <c r="B19" s="3">
        <f t="shared" si="0"/>
        <v>92</v>
      </c>
      <c r="C19">
        <f>'EXP FD A'!C19+'EXP FD B'!C19+'EXP FD C'!C19</f>
        <v>1</v>
      </c>
      <c r="D19">
        <f>'EXP FD A'!D19+'EXP FD B'!D19+'EXP FD C'!D19</f>
        <v>1</v>
      </c>
      <c r="E19">
        <f>'EXP FD A'!E19+'EXP FD B'!E19+'EXP FD C'!E19</f>
        <v>1</v>
      </c>
      <c r="F19">
        <f>'EXP FD A'!F19+'EXP FD B'!F19+'EXP FD C'!F19</f>
        <v>1</v>
      </c>
      <c r="G19">
        <f>'EXP FD A'!G19+'EXP FD B'!G19+'EXP FD C'!G19</f>
        <v>1</v>
      </c>
      <c r="H19">
        <f>'EXP FD A'!H19+'EXP FD B'!H19+'EXP FD C'!H19</f>
        <v>1</v>
      </c>
      <c r="I19">
        <f>'EXP FD A'!I19+'EXP FD B'!I19+'EXP FD C'!I19</f>
        <v>1</v>
      </c>
      <c r="J19">
        <f>'EXP FD A'!J19+'EXP FD B'!J19+'EXP FD C'!J19</f>
        <v>1</v>
      </c>
      <c r="K19">
        <f>'EXP FD A'!K19+'EXP FD B'!K19+'EXP FD C'!K19</f>
        <v>1</v>
      </c>
      <c r="L19">
        <f>'EXP FD A'!L19+'EXP FD B'!L19+'EXP FD C'!L19</f>
        <v>1</v>
      </c>
      <c r="M19">
        <f>'EXP FD A'!M19+'EXP FD B'!M19+'EXP FD C'!M19</f>
        <v>1</v>
      </c>
      <c r="N19">
        <f>'EXP FD A'!N19+'EXP FD B'!N19+'EXP FD C'!N19</f>
        <v>1</v>
      </c>
      <c r="O19">
        <f>'EXP FD A'!O19+'EXP FD B'!O19+'EXP FD C'!O19</f>
        <v>1</v>
      </c>
      <c r="P19">
        <f>'EXP FD A'!P19+'EXP FD B'!P19+'EXP FD C'!P19</f>
        <v>1</v>
      </c>
      <c r="Q19">
        <f>'EXP FD A'!Q19+'EXP FD B'!Q19+'EXP FD C'!Q19</f>
        <v>1</v>
      </c>
      <c r="R19">
        <f>'EXP FD A'!R19+'EXP FD B'!R19+'EXP FD C'!R19</f>
        <v>1</v>
      </c>
      <c r="S19">
        <f>'EXP FD A'!S19+'EXP FD B'!S19+'EXP FD C'!S19</f>
        <v>1</v>
      </c>
      <c r="T19">
        <f>'EXP FD A'!T19+'EXP FD B'!T19+'EXP FD C'!T19</f>
        <v>1</v>
      </c>
      <c r="U19">
        <f>'EXP FD A'!U19+'EXP FD B'!U19+'EXP FD C'!U19</f>
        <v>1</v>
      </c>
      <c r="V19">
        <f>'EXP FD A'!V19+'EXP FD B'!V19+'EXP FD C'!V19</f>
        <v>1</v>
      </c>
      <c r="W19">
        <f>'EXP FD A'!W19+'EXP FD B'!W19+'EXP FD C'!W19</f>
        <v>1</v>
      </c>
      <c r="X19">
        <f>'EXP FD A'!X19+'EXP FD B'!X19+'EXP FD C'!X19</f>
        <v>1</v>
      </c>
      <c r="Y19">
        <f>'EXP FD A'!Y19+'EXP FD B'!Y19+'EXP FD C'!Y19</f>
        <v>1</v>
      </c>
      <c r="Z19">
        <f>'EXP FD A'!Z19+'EXP FD B'!Z19+'EXP FD C'!Z19</f>
        <v>1</v>
      </c>
      <c r="AA19">
        <f>'EXP FD A'!AA19+'EXP FD B'!AA19+'EXP FD C'!AA19</f>
        <v>1</v>
      </c>
      <c r="AB19">
        <f>'EXP FD A'!AB19+'EXP FD B'!AB19+'EXP FD C'!AB19</f>
        <v>1</v>
      </c>
      <c r="AC19">
        <f>'EXP FD A'!AC19+'EXP FD B'!AC19+'EXP FD C'!AC19</f>
        <v>1</v>
      </c>
      <c r="AD19">
        <f>'EXP FD A'!AD19+'EXP FD B'!AD19+'EXP FD C'!AD19</f>
        <v>1</v>
      </c>
      <c r="AE19">
        <f>'EXP FD A'!AE19+'EXP FD B'!AE19+'EXP FD C'!AE19</f>
        <v>1</v>
      </c>
      <c r="AF19">
        <f>'EXP FD A'!AF19+'EXP FD B'!AF19+'EXP FD C'!AF19</f>
        <v>1</v>
      </c>
      <c r="AG19">
        <f>'EXP FD A'!AG19+'EXP FD B'!AG19+'EXP FD C'!AG19</f>
        <v>1</v>
      </c>
      <c r="AH19">
        <f>'EXP FD A'!AH19+'EXP FD B'!AH19+'EXP FD C'!AH19</f>
        <v>1</v>
      </c>
      <c r="AI19">
        <f>'EXP FD A'!AI19+'EXP FD B'!AI19+'EXP FD C'!AI19</f>
        <v>1</v>
      </c>
      <c r="AJ19">
        <f>'EXP FD A'!AJ19+'EXP FD B'!AJ19+'EXP FD C'!AJ19</f>
        <v>1</v>
      </c>
      <c r="AK19">
        <f>'EXP FD A'!AK19+'EXP FD B'!AK19+'EXP FD C'!AK19</f>
        <v>1</v>
      </c>
      <c r="AL19">
        <f>'EXP FD A'!AL19+'EXP FD B'!AL19+'EXP FD C'!AL19</f>
        <v>1</v>
      </c>
      <c r="AM19">
        <f>'EXP FD A'!AM19+'EXP FD B'!AM19+'EXP FD C'!AM19</f>
        <v>1</v>
      </c>
      <c r="AN19">
        <f>'EXP FD A'!AN19+'EXP FD B'!AN19+'EXP FD C'!AN19</f>
        <v>1</v>
      </c>
      <c r="AO19">
        <f>'EXP FD A'!AO19+'EXP FD B'!AO19+'EXP FD C'!AO19</f>
        <v>1</v>
      </c>
      <c r="AP19">
        <f>'EXP FD A'!AP19+'EXP FD B'!AP19+'EXP FD C'!AP19</f>
        <v>1</v>
      </c>
      <c r="AQ19">
        <f>'EXP FD A'!AQ19+'EXP FD B'!AQ19+'EXP FD C'!AQ19</f>
        <v>1</v>
      </c>
      <c r="AR19">
        <f>'EXP FD A'!AR19+'EXP FD B'!AR19+'EXP FD C'!AR19</f>
        <v>1</v>
      </c>
      <c r="AS19">
        <f>'EXP FD A'!AS19+'EXP FD B'!AS19+'EXP FD C'!AS19</f>
        <v>1</v>
      </c>
      <c r="AT19">
        <f>'EXP FD A'!AT19+'EXP FD B'!AT19+'EXP FD C'!AT19</f>
        <v>1</v>
      </c>
      <c r="AU19">
        <f>'EXP FD A'!AU19+'EXP FD B'!AU19+'EXP FD C'!AU19</f>
        <v>1</v>
      </c>
      <c r="AV19">
        <f>'EXP FD A'!AV19+'EXP FD B'!AV19+'EXP FD C'!AV19</f>
        <v>1</v>
      </c>
      <c r="AW19">
        <f>'EXP FD A'!AW19+'EXP FD B'!AW19+'EXP FD C'!AW19</f>
        <v>1</v>
      </c>
      <c r="AX19">
        <f>'EXP FD A'!AX19+'EXP FD B'!AX19+'EXP FD C'!AX19</f>
        <v>1</v>
      </c>
      <c r="AY19">
        <f>'EXP FD A'!AY19+'EXP FD B'!AY19+'EXP FD C'!AY19</f>
        <v>1</v>
      </c>
      <c r="AZ19">
        <f>'EXP FD A'!AZ19+'EXP FD B'!AZ19+'EXP FD C'!AZ19</f>
        <v>1</v>
      </c>
      <c r="BA19" s="6"/>
    </row>
    <row r="20" spans="1:53" x14ac:dyDescent="0.2">
      <c r="A20">
        <f t="shared" si="1"/>
        <v>45</v>
      </c>
      <c r="B20" s="3">
        <f t="shared" si="0"/>
        <v>90</v>
      </c>
      <c r="C20">
        <f>'EXP FD A'!C20+'EXP FD B'!C20+'EXP FD C'!C20</f>
        <v>1</v>
      </c>
      <c r="D20">
        <f>'EXP FD A'!D20+'EXP FD B'!D20+'EXP FD C'!D20</f>
        <v>1</v>
      </c>
      <c r="E20">
        <f>'EXP FD A'!E20+'EXP FD B'!E20+'EXP FD C'!E20</f>
        <v>1</v>
      </c>
      <c r="F20">
        <f>'EXP FD A'!F20+'EXP FD B'!F20+'EXP FD C'!F20</f>
        <v>1</v>
      </c>
      <c r="G20">
        <f>'EXP FD A'!G20+'EXP FD B'!G20+'EXP FD C'!G20</f>
        <v>1</v>
      </c>
      <c r="H20">
        <f>'EXP FD A'!H20+'EXP FD B'!H20+'EXP FD C'!H20</f>
        <v>1</v>
      </c>
      <c r="I20">
        <f>'EXP FD A'!I20+'EXP FD B'!I20+'EXP FD C'!I20</f>
        <v>1</v>
      </c>
      <c r="J20">
        <f>'EXP FD A'!J20+'EXP FD B'!J20+'EXP FD C'!J20</f>
        <v>1</v>
      </c>
      <c r="K20">
        <f>'EXP FD A'!K20+'EXP FD B'!K20+'EXP FD C'!K20</f>
        <v>1</v>
      </c>
      <c r="L20">
        <f>'EXP FD A'!L20+'EXP FD B'!L20+'EXP FD C'!L20</f>
        <v>1</v>
      </c>
      <c r="M20">
        <f>'EXP FD A'!M20+'EXP FD B'!M20+'EXP FD C'!M20</f>
        <v>1</v>
      </c>
      <c r="N20">
        <f>'EXP FD A'!N20+'EXP FD B'!N20+'EXP FD C'!N20</f>
        <v>1</v>
      </c>
      <c r="O20">
        <f>'EXP FD A'!O20+'EXP FD B'!O20+'EXP FD C'!O20</f>
        <v>1</v>
      </c>
      <c r="P20">
        <f>'EXP FD A'!P20+'EXP FD B'!P20+'EXP FD C'!P20</f>
        <v>1</v>
      </c>
      <c r="Q20">
        <f>'EXP FD A'!Q20+'EXP FD B'!Q20+'EXP FD C'!Q20</f>
        <v>1</v>
      </c>
      <c r="R20">
        <f>'EXP FD A'!R20+'EXP FD B'!R20+'EXP FD C'!R20</f>
        <v>1</v>
      </c>
      <c r="S20">
        <f>'EXP FD A'!S20+'EXP FD B'!S20+'EXP FD C'!S20</f>
        <v>1</v>
      </c>
      <c r="T20">
        <f>'EXP FD A'!T20+'EXP FD B'!T20+'EXP FD C'!T20</f>
        <v>1</v>
      </c>
      <c r="U20">
        <f>'EXP FD A'!U20+'EXP FD B'!U20+'EXP FD C'!U20</f>
        <v>1</v>
      </c>
      <c r="V20">
        <f>'EXP FD A'!V20+'EXP FD B'!V20+'EXP FD C'!V20</f>
        <v>1</v>
      </c>
      <c r="W20">
        <f>'EXP FD A'!W20+'EXP FD B'!W20+'EXP FD C'!W20</f>
        <v>1</v>
      </c>
      <c r="X20">
        <f>'EXP FD A'!X20+'EXP FD B'!X20+'EXP FD C'!X20</f>
        <v>1</v>
      </c>
      <c r="Y20">
        <f>'EXP FD A'!Y20+'EXP FD B'!Y20+'EXP FD C'!Y20</f>
        <v>1</v>
      </c>
      <c r="Z20">
        <f>'EXP FD A'!Z20+'EXP FD B'!Z20+'EXP FD C'!Z20</f>
        <v>1</v>
      </c>
      <c r="AA20">
        <f>'EXP FD A'!AA20+'EXP FD B'!AA20+'EXP FD C'!AA20</f>
        <v>1</v>
      </c>
      <c r="AB20">
        <f>'EXP FD A'!AB20+'EXP FD B'!AB20+'EXP FD C'!AB20</f>
        <v>1</v>
      </c>
      <c r="AC20">
        <f>'EXP FD A'!AC20+'EXP FD B'!AC20+'EXP FD C'!AC20</f>
        <v>1</v>
      </c>
      <c r="AD20">
        <f>'EXP FD A'!AD20+'EXP FD B'!AD20+'EXP FD C'!AD20</f>
        <v>1</v>
      </c>
      <c r="AE20">
        <f>'EXP FD A'!AE20+'EXP FD B'!AE20+'EXP FD C'!AE20</f>
        <v>1</v>
      </c>
      <c r="AF20">
        <f>'EXP FD A'!AF20+'EXP FD B'!AF20+'EXP FD C'!AF20</f>
        <v>1</v>
      </c>
      <c r="AG20">
        <f>'EXP FD A'!AG20+'EXP FD B'!AG20+'EXP FD C'!AG20</f>
        <v>1</v>
      </c>
      <c r="AH20">
        <f>'EXP FD A'!AH20+'EXP FD B'!AH20+'EXP FD C'!AH20</f>
        <v>1</v>
      </c>
      <c r="AI20">
        <f>'EXP FD A'!AI20+'EXP FD B'!AI20+'EXP FD C'!AI20</f>
        <v>1</v>
      </c>
      <c r="AJ20">
        <f>'EXP FD A'!AJ20+'EXP FD B'!AJ20+'EXP FD C'!AJ20</f>
        <v>1</v>
      </c>
      <c r="AK20">
        <f>'EXP FD A'!AK20+'EXP FD B'!AK20+'EXP FD C'!AK20</f>
        <v>1</v>
      </c>
      <c r="AL20">
        <f>'EXP FD A'!AL20+'EXP FD B'!AL20+'EXP FD C'!AL20</f>
        <v>1</v>
      </c>
      <c r="AM20">
        <f>'EXP FD A'!AM20+'EXP FD B'!AM20+'EXP FD C'!AM20</f>
        <v>1</v>
      </c>
      <c r="AN20">
        <f>'EXP FD A'!AN20+'EXP FD B'!AN20+'EXP FD C'!AN20</f>
        <v>1</v>
      </c>
      <c r="AO20">
        <f>'EXP FD A'!AO20+'EXP FD B'!AO20+'EXP FD C'!AO20</f>
        <v>1</v>
      </c>
      <c r="AP20">
        <f>'EXP FD A'!AP20+'EXP FD B'!AP20+'EXP FD C'!AP20</f>
        <v>1</v>
      </c>
      <c r="AQ20">
        <f>'EXP FD A'!AQ20+'EXP FD B'!AQ20+'EXP FD C'!AQ20</f>
        <v>1</v>
      </c>
      <c r="AR20">
        <f>'EXP FD A'!AR20+'EXP FD B'!AR20+'EXP FD C'!AR20</f>
        <v>1</v>
      </c>
      <c r="AS20">
        <f>'EXP FD A'!AS20+'EXP FD B'!AS20+'EXP FD C'!AS20</f>
        <v>1</v>
      </c>
      <c r="AT20">
        <f>'EXP FD A'!AT20+'EXP FD B'!AT20+'EXP FD C'!AT20</f>
        <v>1</v>
      </c>
      <c r="AU20">
        <f>'EXP FD A'!AU20+'EXP FD B'!AU20+'EXP FD C'!AU20</f>
        <v>1</v>
      </c>
      <c r="AV20">
        <f>'EXP FD A'!AV20+'EXP FD B'!AV20+'EXP FD C'!AV20</f>
        <v>1</v>
      </c>
      <c r="AW20">
        <f>'EXP FD A'!AW20+'EXP FD B'!AW20+'EXP FD C'!AW20</f>
        <v>1</v>
      </c>
      <c r="AX20">
        <f>'EXP FD A'!AX20+'EXP FD B'!AX20+'EXP FD C'!AX20</f>
        <v>1</v>
      </c>
      <c r="AY20">
        <f>'EXP FD A'!AY20+'EXP FD B'!AY20+'EXP FD C'!AY20</f>
        <v>1</v>
      </c>
      <c r="AZ20">
        <f>'EXP FD A'!AZ20+'EXP FD B'!AZ20+'EXP FD C'!AZ20</f>
        <v>1</v>
      </c>
      <c r="BA20" s="6"/>
    </row>
    <row r="21" spans="1:53" x14ac:dyDescent="0.2">
      <c r="A21">
        <f t="shared" si="1"/>
        <v>44</v>
      </c>
      <c r="B21" s="3">
        <f t="shared" si="0"/>
        <v>88</v>
      </c>
      <c r="C21">
        <f>'EXP FD A'!C21+'EXP FD B'!C21+'EXP FD C'!C21</f>
        <v>1</v>
      </c>
      <c r="D21">
        <f>'EXP FD A'!D21+'EXP FD B'!D21+'EXP FD C'!D21</f>
        <v>1</v>
      </c>
      <c r="E21">
        <f>'EXP FD A'!E21+'EXP FD B'!E21+'EXP FD C'!E21</f>
        <v>1</v>
      </c>
      <c r="F21">
        <f>'EXP FD A'!F21+'EXP FD B'!F21+'EXP FD C'!F21</f>
        <v>1</v>
      </c>
      <c r="G21">
        <f>'EXP FD A'!G21+'EXP FD B'!G21+'EXP FD C'!G21</f>
        <v>1</v>
      </c>
      <c r="H21">
        <f>'EXP FD A'!H21+'EXP FD B'!H21+'EXP FD C'!H21</f>
        <v>1</v>
      </c>
      <c r="I21">
        <f>'EXP FD A'!I21+'EXP FD B'!I21+'EXP FD C'!I21</f>
        <v>1</v>
      </c>
      <c r="J21">
        <f>'EXP FD A'!J21+'EXP FD B'!J21+'EXP FD C'!J21</f>
        <v>1</v>
      </c>
      <c r="K21">
        <f>'EXP FD A'!K21+'EXP FD B'!K21+'EXP FD C'!K21</f>
        <v>1</v>
      </c>
      <c r="L21">
        <f>'EXP FD A'!L21+'EXP FD B'!L21+'EXP FD C'!L21</f>
        <v>1</v>
      </c>
      <c r="M21">
        <f>'EXP FD A'!M21+'EXP FD B'!M21+'EXP FD C'!M21</f>
        <v>1</v>
      </c>
      <c r="N21">
        <f>'EXP FD A'!N21+'EXP FD B'!N21+'EXP FD C'!N21</f>
        <v>1</v>
      </c>
      <c r="O21">
        <f>'EXP FD A'!O21+'EXP FD B'!O21+'EXP FD C'!O21</f>
        <v>1</v>
      </c>
      <c r="P21">
        <f>'EXP FD A'!P21+'EXP FD B'!P21+'EXP FD C'!P21</f>
        <v>1</v>
      </c>
      <c r="Q21">
        <f>'EXP FD A'!Q21+'EXP FD B'!Q21+'EXP FD C'!Q21</f>
        <v>1</v>
      </c>
      <c r="R21">
        <f>'EXP FD A'!R21+'EXP FD B'!R21+'EXP FD C'!R21</f>
        <v>1</v>
      </c>
      <c r="S21">
        <f>'EXP FD A'!S21+'EXP FD B'!S21+'EXP FD C'!S21</f>
        <v>1</v>
      </c>
      <c r="T21">
        <f>'EXP FD A'!T21+'EXP FD B'!T21+'EXP FD C'!T21</f>
        <v>1</v>
      </c>
      <c r="U21">
        <f>'EXP FD A'!U21+'EXP FD B'!U21+'EXP FD C'!U21</f>
        <v>1</v>
      </c>
      <c r="V21">
        <f>'EXP FD A'!V21+'EXP FD B'!V21+'EXP FD C'!V21</f>
        <v>1</v>
      </c>
      <c r="W21">
        <f>'EXP FD A'!W21+'EXP FD B'!W21+'EXP FD C'!W21</f>
        <v>1</v>
      </c>
      <c r="X21">
        <f>'EXP FD A'!X21+'EXP FD B'!X21+'EXP FD C'!X21</f>
        <v>1</v>
      </c>
      <c r="Y21">
        <f>'EXP FD A'!Y21+'EXP FD B'!Y21+'EXP FD C'!Y21</f>
        <v>1</v>
      </c>
      <c r="Z21">
        <f>'EXP FD A'!Z21+'EXP FD B'!Z21+'EXP FD C'!Z21</f>
        <v>1</v>
      </c>
      <c r="AA21">
        <f>'EXP FD A'!AA21+'EXP FD B'!AA21+'EXP FD C'!AA21</f>
        <v>1</v>
      </c>
      <c r="AB21">
        <f>'EXP FD A'!AB21+'EXP FD B'!AB21+'EXP FD C'!AB21</f>
        <v>1</v>
      </c>
      <c r="AC21">
        <f>'EXP FD A'!AC21+'EXP FD B'!AC21+'EXP FD C'!AC21</f>
        <v>1</v>
      </c>
      <c r="AD21">
        <f>'EXP FD A'!AD21+'EXP FD B'!AD21+'EXP FD C'!AD21</f>
        <v>1</v>
      </c>
      <c r="AE21">
        <f>'EXP FD A'!AE21+'EXP FD B'!AE21+'EXP FD C'!AE21</f>
        <v>1</v>
      </c>
      <c r="AF21">
        <f>'EXP FD A'!AF21+'EXP FD B'!AF21+'EXP FD C'!AF21</f>
        <v>1</v>
      </c>
      <c r="AG21">
        <f>'EXP FD A'!AG21+'EXP FD B'!AG21+'EXP FD C'!AG21</f>
        <v>1</v>
      </c>
      <c r="AH21">
        <f>'EXP FD A'!AH21+'EXP FD B'!AH21+'EXP FD C'!AH21</f>
        <v>1</v>
      </c>
      <c r="AI21">
        <f>'EXP FD A'!AI21+'EXP FD B'!AI21+'EXP FD C'!AI21</f>
        <v>1</v>
      </c>
      <c r="AJ21">
        <f>'EXP FD A'!AJ21+'EXP FD B'!AJ21+'EXP FD C'!AJ21</f>
        <v>1</v>
      </c>
      <c r="AK21">
        <f>'EXP FD A'!AK21+'EXP FD B'!AK21+'EXP FD C'!AK21</f>
        <v>1</v>
      </c>
      <c r="AL21">
        <f>'EXP FD A'!AL21+'EXP FD B'!AL21+'EXP FD C'!AL21</f>
        <v>1</v>
      </c>
      <c r="AM21">
        <f>'EXP FD A'!AM21+'EXP FD B'!AM21+'EXP FD C'!AM21</f>
        <v>1</v>
      </c>
      <c r="AN21">
        <f>'EXP FD A'!AN21+'EXP FD B'!AN21+'EXP FD C'!AN21</f>
        <v>1</v>
      </c>
      <c r="AO21">
        <f>'EXP FD A'!AO21+'EXP FD B'!AO21+'EXP FD C'!AO21</f>
        <v>1</v>
      </c>
      <c r="AP21">
        <f>'EXP FD A'!AP21+'EXP FD B'!AP21+'EXP FD C'!AP21</f>
        <v>1</v>
      </c>
      <c r="AQ21">
        <f>'EXP FD A'!AQ21+'EXP FD B'!AQ21+'EXP FD C'!AQ21</f>
        <v>1</v>
      </c>
      <c r="AR21">
        <f>'EXP FD A'!AR21+'EXP FD B'!AR21+'EXP FD C'!AR21</f>
        <v>1</v>
      </c>
      <c r="AS21">
        <f>'EXP FD A'!AS21+'EXP FD B'!AS21+'EXP FD C'!AS21</f>
        <v>1</v>
      </c>
      <c r="AT21">
        <f>'EXP FD A'!AT21+'EXP FD B'!AT21+'EXP FD C'!AT21</f>
        <v>1</v>
      </c>
      <c r="AU21">
        <f>'EXP FD A'!AU21+'EXP FD B'!AU21+'EXP FD C'!AU21</f>
        <v>1</v>
      </c>
      <c r="AV21">
        <f>'EXP FD A'!AV21+'EXP FD B'!AV21+'EXP FD C'!AV21</f>
        <v>1</v>
      </c>
      <c r="AW21">
        <f>'EXP FD A'!AW21+'EXP FD B'!AW21+'EXP FD C'!AW21</f>
        <v>1</v>
      </c>
      <c r="AX21">
        <f>'EXP FD A'!AX21+'EXP FD B'!AX21+'EXP FD C'!AX21</f>
        <v>1</v>
      </c>
      <c r="AY21">
        <f>'EXP FD A'!AY21+'EXP FD B'!AY21+'EXP FD C'!AY21</f>
        <v>1</v>
      </c>
      <c r="AZ21">
        <f>'EXP FD A'!AZ21+'EXP FD B'!AZ21+'EXP FD C'!AZ21</f>
        <v>1</v>
      </c>
      <c r="BA21" s="6"/>
    </row>
    <row r="22" spans="1:53" x14ac:dyDescent="0.2">
      <c r="A22">
        <f t="shared" si="1"/>
        <v>43</v>
      </c>
      <c r="B22" s="3">
        <f t="shared" si="0"/>
        <v>86</v>
      </c>
      <c r="C22">
        <f>'EXP FD A'!C22+'EXP FD B'!C22+'EXP FD C'!C22</f>
        <v>1</v>
      </c>
      <c r="D22">
        <f>'EXP FD A'!D22+'EXP FD B'!D22+'EXP FD C'!D22</f>
        <v>1</v>
      </c>
      <c r="E22">
        <f>'EXP FD A'!E22+'EXP FD B'!E22+'EXP FD C'!E22</f>
        <v>1</v>
      </c>
      <c r="F22">
        <f>'EXP FD A'!F22+'EXP FD B'!F22+'EXP FD C'!F22</f>
        <v>1</v>
      </c>
      <c r="G22">
        <f>'EXP FD A'!G22+'EXP FD B'!G22+'EXP FD C'!G22</f>
        <v>1</v>
      </c>
      <c r="H22">
        <f>'EXP FD A'!H22+'EXP FD B'!H22+'EXP FD C'!H22</f>
        <v>1</v>
      </c>
      <c r="I22">
        <f>'EXP FD A'!I22+'EXP FD B'!I22+'EXP FD C'!I22</f>
        <v>1</v>
      </c>
      <c r="J22">
        <f>'EXP FD A'!J22+'EXP FD B'!J22+'EXP FD C'!J22</f>
        <v>1</v>
      </c>
      <c r="K22">
        <f>'EXP FD A'!K22+'EXP FD B'!K22+'EXP FD C'!K22</f>
        <v>1</v>
      </c>
      <c r="L22">
        <f>'EXP FD A'!L22+'EXP FD B'!L22+'EXP FD C'!L22</f>
        <v>1</v>
      </c>
      <c r="M22">
        <f>'EXP FD A'!M22+'EXP FD B'!M22+'EXP FD C'!M22</f>
        <v>1</v>
      </c>
      <c r="N22">
        <f>'EXP FD A'!N22+'EXP FD B'!N22+'EXP FD C'!N22</f>
        <v>1</v>
      </c>
      <c r="O22">
        <f>'EXP FD A'!O22+'EXP FD B'!O22+'EXP FD C'!O22</f>
        <v>1</v>
      </c>
      <c r="P22">
        <f>'EXP FD A'!P22+'EXP FD B'!P22+'EXP FD C'!P22</f>
        <v>1</v>
      </c>
      <c r="Q22">
        <f>'EXP FD A'!Q22+'EXP FD B'!Q22+'EXP FD C'!Q22</f>
        <v>1</v>
      </c>
      <c r="R22">
        <f>'EXP FD A'!R22+'EXP FD B'!R22+'EXP FD C'!R22</f>
        <v>1</v>
      </c>
      <c r="S22">
        <f>'EXP FD A'!S22+'EXP FD B'!S22+'EXP FD C'!S22</f>
        <v>1</v>
      </c>
      <c r="T22">
        <f>'EXP FD A'!T22+'EXP FD B'!T22+'EXP FD C'!T22</f>
        <v>1</v>
      </c>
      <c r="U22">
        <f>'EXP FD A'!U22+'EXP FD B'!U22+'EXP FD C'!U22</f>
        <v>1</v>
      </c>
      <c r="V22">
        <f>'EXP FD A'!V22+'EXP FD B'!V22+'EXP FD C'!V22</f>
        <v>1</v>
      </c>
      <c r="W22">
        <f>'EXP FD A'!W22+'EXP FD B'!W22+'EXP FD C'!W22</f>
        <v>1</v>
      </c>
      <c r="X22">
        <f>'EXP FD A'!X22+'EXP FD B'!X22+'EXP FD C'!X22</f>
        <v>1</v>
      </c>
      <c r="Y22">
        <f>'EXP FD A'!Y22+'EXP FD B'!Y22+'EXP FD C'!Y22</f>
        <v>1</v>
      </c>
      <c r="Z22">
        <f>'EXP FD A'!Z22+'EXP FD B'!Z22+'EXP FD C'!Z22</f>
        <v>1</v>
      </c>
      <c r="AA22">
        <f>'EXP FD A'!AA22+'EXP FD B'!AA22+'EXP FD C'!AA22</f>
        <v>1</v>
      </c>
      <c r="AB22">
        <f>'EXP FD A'!AB22+'EXP FD B'!AB22+'EXP FD C'!AB22</f>
        <v>1</v>
      </c>
      <c r="AC22">
        <f>'EXP FD A'!AC22+'EXP FD B'!AC22+'EXP FD C'!AC22</f>
        <v>1</v>
      </c>
      <c r="AD22">
        <f>'EXP FD A'!AD22+'EXP FD B'!AD22+'EXP FD C'!AD22</f>
        <v>1</v>
      </c>
      <c r="AE22">
        <f>'EXP FD A'!AE22+'EXP FD B'!AE22+'EXP FD C'!AE22</f>
        <v>1</v>
      </c>
      <c r="AF22">
        <f>'EXP FD A'!AF22+'EXP FD B'!AF22+'EXP FD C'!AF22</f>
        <v>1</v>
      </c>
      <c r="AG22">
        <f>'EXP FD A'!AG22+'EXP FD B'!AG22+'EXP FD C'!AG22</f>
        <v>1</v>
      </c>
      <c r="AH22">
        <f>'EXP FD A'!AH22+'EXP FD B'!AH22+'EXP FD C'!AH22</f>
        <v>1</v>
      </c>
      <c r="AI22">
        <f>'EXP FD A'!AI22+'EXP FD B'!AI22+'EXP FD C'!AI22</f>
        <v>1</v>
      </c>
      <c r="AJ22">
        <f>'EXP FD A'!AJ22+'EXP FD B'!AJ22+'EXP FD C'!AJ22</f>
        <v>1</v>
      </c>
      <c r="AK22">
        <f>'EXP FD A'!AK22+'EXP FD B'!AK22+'EXP FD C'!AK22</f>
        <v>1</v>
      </c>
      <c r="AL22">
        <f>'EXP FD A'!AL22+'EXP FD B'!AL22+'EXP FD C'!AL22</f>
        <v>1</v>
      </c>
      <c r="AM22">
        <f>'EXP FD A'!AM22+'EXP FD B'!AM22+'EXP FD C'!AM22</f>
        <v>1</v>
      </c>
      <c r="AN22">
        <f>'EXP FD A'!AN22+'EXP FD B'!AN22+'EXP FD C'!AN22</f>
        <v>1</v>
      </c>
      <c r="AO22">
        <f>'EXP FD A'!AO22+'EXP FD B'!AO22+'EXP FD C'!AO22</f>
        <v>1</v>
      </c>
      <c r="AP22">
        <f>'EXP FD A'!AP22+'EXP FD B'!AP22+'EXP FD C'!AP22</f>
        <v>1</v>
      </c>
      <c r="AQ22">
        <f>'EXP FD A'!AQ22+'EXP FD B'!AQ22+'EXP FD C'!AQ22</f>
        <v>1</v>
      </c>
      <c r="AR22">
        <f>'EXP FD A'!AR22+'EXP FD B'!AR22+'EXP FD C'!AR22</f>
        <v>1</v>
      </c>
      <c r="AS22">
        <f>'EXP FD A'!AS22+'EXP FD B'!AS22+'EXP FD C'!AS22</f>
        <v>1</v>
      </c>
      <c r="AT22">
        <f>'EXP FD A'!AT22+'EXP FD B'!AT22+'EXP FD C'!AT22</f>
        <v>1</v>
      </c>
      <c r="AU22">
        <f>'EXP FD A'!AU22+'EXP FD B'!AU22+'EXP FD C'!AU22</f>
        <v>1</v>
      </c>
      <c r="AV22">
        <f>'EXP FD A'!AV22+'EXP FD B'!AV22+'EXP FD C'!AV22</f>
        <v>1</v>
      </c>
      <c r="AW22">
        <f>'EXP FD A'!AW22+'EXP FD B'!AW22+'EXP FD C'!AW22</f>
        <v>1</v>
      </c>
      <c r="AX22">
        <f>'EXP FD A'!AX22+'EXP FD B'!AX22+'EXP FD C'!AX22</f>
        <v>1</v>
      </c>
      <c r="AY22">
        <f>'EXP FD A'!AY22+'EXP FD B'!AY22+'EXP FD C'!AY22</f>
        <v>1</v>
      </c>
      <c r="AZ22">
        <f>'EXP FD A'!AZ22+'EXP FD B'!AZ22+'EXP FD C'!AZ22</f>
        <v>1</v>
      </c>
      <c r="BA22" s="6"/>
    </row>
    <row r="23" spans="1:53" x14ac:dyDescent="0.2">
      <c r="A23">
        <f t="shared" si="1"/>
        <v>42</v>
      </c>
      <c r="B23" s="3">
        <f t="shared" si="0"/>
        <v>84</v>
      </c>
      <c r="C23">
        <f>'EXP FD A'!C23+'EXP FD B'!C23+'EXP FD C'!C23</f>
        <v>0.99999999999999989</v>
      </c>
      <c r="D23">
        <f>'EXP FD A'!D23+'EXP FD B'!D23+'EXP FD C'!D23</f>
        <v>0.99999999999999989</v>
      </c>
      <c r="E23">
        <f>'EXP FD A'!E23+'EXP FD B'!E23+'EXP FD C'!E23</f>
        <v>0.99999999999999989</v>
      </c>
      <c r="F23">
        <f>'EXP FD A'!F23+'EXP FD B'!F23+'EXP FD C'!F23</f>
        <v>0.99999999999999989</v>
      </c>
      <c r="G23">
        <f>'EXP FD A'!G23+'EXP FD B'!G23+'EXP FD C'!G23</f>
        <v>0.99999999999999989</v>
      </c>
      <c r="H23">
        <f>'EXP FD A'!H23+'EXP FD B'!H23+'EXP FD C'!H23</f>
        <v>0.99999999999999989</v>
      </c>
      <c r="I23">
        <f>'EXP FD A'!I23+'EXP FD B'!I23+'EXP FD C'!I23</f>
        <v>0.99999999999999989</v>
      </c>
      <c r="J23">
        <f>'EXP FD A'!J23+'EXP FD B'!J23+'EXP FD C'!J23</f>
        <v>0.99999999999999989</v>
      </c>
      <c r="K23">
        <f>'EXP FD A'!K23+'EXP FD B'!K23+'EXP FD C'!K23</f>
        <v>0.99999999999999989</v>
      </c>
      <c r="L23">
        <f>'EXP FD A'!L23+'EXP FD B'!L23+'EXP FD C'!L23</f>
        <v>0.99999999999999989</v>
      </c>
      <c r="M23">
        <f>'EXP FD A'!M23+'EXP FD B'!M23+'EXP FD C'!M23</f>
        <v>0.99999999999999989</v>
      </c>
      <c r="N23">
        <f>'EXP FD A'!N23+'EXP FD B'!N23+'EXP FD C'!N23</f>
        <v>0.99999999999999989</v>
      </c>
      <c r="O23">
        <f>'EXP FD A'!O23+'EXP FD B'!O23+'EXP FD C'!O23</f>
        <v>0.99999999999999989</v>
      </c>
      <c r="P23">
        <f>'EXP FD A'!P23+'EXP FD B'!P23+'EXP FD C'!P23</f>
        <v>0.99999999999999989</v>
      </c>
      <c r="Q23">
        <f>'EXP FD A'!Q23+'EXP FD B'!Q23+'EXP FD C'!Q23</f>
        <v>0.99999999999999989</v>
      </c>
      <c r="R23">
        <f>'EXP FD A'!R23+'EXP FD B'!R23+'EXP FD C'!R23</f>
        <v>0.99999999999999989</v>
      </c>
      <c r="S23">
        <f>'EXP FD A'!S23+'EXP FD B'!S23+'EXP FD C'!S23</f>
        <v>0.99999999999999989</v>
      </c>
      <c r="T23">
        <f>'EXP FD A'!T23+'EXP FD B'!T23+'EXP FD C'!T23</f>
        <v>0.99999999999999989</v>
      </c>
      <c r="U23">
        <f>'EXP FD A'!U23+'EXP FD B'!U23+'EXP FD C'!U23</f>
        <v>0.99999999999999989</v>
      </c>
      <c r="V23">
        <f>'EXP FD A'!V23+'EXP FD B'!V23+'EXP FD C'!V23</f>
        <v>0.99999999999999989</v>
      </c>
      <c r="W23">
        <f>'EXP FD A'!W23+'EXP FD B'!W23+'EXP FD C'!W23</f>
        <v>0.99999999999999989</v>
      </c>
      <c r="X23">
        <f>'EXP FD A'!X23+'EXP FD B'!X23+'EXP FD C'!X23</f>
        <v>0.99999999999999989</v>
      </c>
      <c r="Y23">
        <f>'EXP FD A'!Y23+'EXP FD B'!Y23+'EXP FD C'!Y23</f>
        <v>0.99999999999999989</v>
      </c>
      <c r="Z23">
        <f>'EXP FD A'!Z23+'EXP FD B'!Z23+'EXP FD C'!Z23</f>
        <v>0.99999999999999989</v>
      </c>
      <c r="AA23">
        <f>'EXP FD A'!AA23+'EXP FD B'!AA23+'EXP FD C'!AA23</f>
        <v>0.99999999999999989</v>
      </c>
      <c r="AB23">
        <f>'EXP FD A'!AB23+'EXP FD B'!AB23+'EXP FD C'!AB23</f>
        <v>0.99999999999999989</v>
      </c>
      <c r="AC23">
        <f>'EXP FD A'!AC23+'EXP FD B'!AC23+'EXP FD C'!AC23</f>
        <v>0.99999999999999989</v>
      </c>
      <c r="AD23">
        <f>'EXP FD A'!AD23+'EXP FD B'!AD23+'EXP FD C'!AD23</f>
        <v>0.99999999999999989</v>
      </c>
      <c r="AE23">
        <f>'EXP FD A'!AE23+'EXP FD B'!AE23+'EXP FD C'!AE23</f>
        <v>0.99999999999999989</v>
      </c>
      <c r="AF23">
        <f>'EXP FD A'!AF23+'EXP FD B'!AF23+'EXP FD C'!AF23</f>
        <v>0.99999999999999989</v>
      </c>
      <c r="AG23">
        <f>'EXP FD A'!AG23+'EXP FD B'!AG23+'EXP FD C'!AG23</f>
        <v>0.99999999999999989</v>
      </c>
      <c r="AH23">
        <f>'EXP FD A'!AH23+'EXP FD B'!AH23+'EXP FD C'!AH23</f>
        <v>0.99999999999999989</v>
      </c>
      <c r="AI23">
        <f>'EXP FD A'!AI23+'EXP FD B'!AI23+'EXP FD C'!AI23</f>
        <v>0.99999999999999989</v>
      </c>
      <c r="AJ23">
        <f>'EXP FD A'!AJ23+'EXP FD B'!AJ23+'EXP FD C'!AJ23</f>
        <v>0.99999999999999989</v>
      </c>
      <c r="AK23">
        <f>'EXP FD A'!AK23+'EXP FD B'!AK23+'EXP FD C'!AK23</f>
        <v>0.99999999999999989</v>
      </c>
      <c r="AL23">
        <f>'EXP FD A'!AL23+'EXP FD B'!AL23+'EXP FD C'!AL23</f>
        <v>0.99999999999999989</v>
      </c>
      <c r="AM23">
        <f>'EXP FD A'!AM23+'EXP FD B'!AM23+'EXP FD C'!AM23</f>
        <v>0.99999999999999989</v>
      </c>
      <c r="AN23">
        <f>'EXP FD A'!AN23+'EXP FD B'!AN23+'EXP FD C'!AN23</f>
        <v>0.99999999999999989</v>
      </c>
      <c r="AO23">
        <f>'EXP FD A'!AO23+'EXP FD B'!AO23+'EXP FD C'!AO23</f>
        <v>0.99999999999999989</v>
      </c>
      <c r="AP23">
        <f>'EXP FD A'!AP23+'EXP FD B'!AP23+'EXP FD C'!AP23</f>
        <v>0.99999999999999989</v>
      </c>
      <c r="AQ23">
        <f>'EXP FD A'!AQ23+'EXP FD B'!AQ23+'EXP FD C'!AQ23</f>
        <v>0.99999999999999989</v>
      </c>
      <c r="AR23">
        <f>'EXP FD A'!AR23+'EXP FD B'!AR23+'EXP FD C'!AR23</f>
        <v>0.99999999999999989</v>
      </c>
      <c r="AS23">
        <f>'EXP FD A'!AS23+'EXP FD B'!AS23+'EXP FD C'!AS23</f>
        <v>0.99999999999999989</v>
      </c>
      <c r="AT23">
        <f>'EXP FD A'!AT23+'EXP FD B'!AT23+'EXP FD C'!AT23</f>
        <v>0.99999999999999989</v>
      </c>
      <c r="AU23">
        <f>'EXP FD A'!AU23+'EXP FD B'!AU23+'EXP FD C'!AU23</f>
        <v>0.99999999999999989</v>
      </c>
      <c r="AV23">
        <f>'EXP FD A'!AV23+'EXP FD B'!AV23+'EXP FD C'!AV23</f>
        <v>0.99999999999999989</v>
      </c>
      <c r="AW23">
        <f>'EXP FD A'!AW23+'EXP FD B'!AW23+'EXP FD C'!AW23</f>
        <v>0.99999999999999989</v>
      </c>
      <c r="AX23">
        <f>'EXP FD A'!AX23+'EXP FD B'!AX23+'EXP FD C'!AX23</f>
        <v>0.99999999999999989</v>
      </c>
      <c r="AY23">
        <f>'EXP FD A'!AY23+'EXP FD B'!AY23+'EXP FD C'!AY23</f>
        <v>0.99999999999999989</v>
      </c>
      <c r="AZ23">
        <f>'EXP FD A'!AZ23+'EXP FD B'!AZ23+'EXP FD C'!AZ23</f>
        <v>0.99999999999999989</v>
      </c>
      <c r="BA23" s="6"/>
    </row>
    <row r="24" spans="1:53" x14ac:dyDescent="0.2">
      <c r="A24">
        <f t="shared" si="1"/>
        <v>41</v>
      </c>
      <c r="B24" s="3">
        <f t="shared" si="0"/>
        <v>82</v>
      </c>
      <c r="C24">
        <f>'EXP FD A'!C24+'EXP FD B'!C24+'EXP FD C'!C24</f>
        <v>1</v>
      </c>
      <c r="D24">
        <f>'EXP FD A'!D24+'EXP FD B'!D24+'EXP FD C'!D24</f>
        <v>1</v>
      </c>
      <c r="E24">
        <f>'EXP FD A'!E24+'EXP FD B'!E24+'EXP FD C'!E24</f>
        <v>1</v>
      </c>
      <c r="F24">
        <f>'EXP FD A'!F24+'EXP FD B'!F24+'EXP FD C'!F24</f>
        <v>1</v>
      </c>
      <c r="G24">
        <f>'EXP FD A'!G24+'EXP FD B'!G24+'EXP FD C'!G24</f>
        <v>1</v>
      </c>
      <c r="H24">
        <f>'EXP FD A'!H24+'EXP FD B'!H24+'EXP FD C'!H24</f>
        <v>1</v>
      </c>
      <c r="I24">
        <f>'EXP FD A'!I24+'EXP FD B'!I24+'EXP FD C'!I24</f>
        <v>1</v>
      </c>
      <c r="J24">
        <f>'EXP FD A'!J24+'EXP FD B'!J24+'EXP FD C'!J24</f>
        <v>1</v>
      </c>
      <c r="K24">
        <f>'EXP FD A'!K24+'EXP FD B'!K24+'EXP FD C'!K24</f>
        <v>1</v>
      </c>
      <c r="L24">
        <f>'EXP FD A'!L24+'EXP FD B'!L24+'EXP FD C'!L24</f>
        <v>1</v>
      </c>
      <c r="M24">
        <f>'EXP FD A'!M24+'EXP FD B'!M24+'EXP FD C'!M24</f>
        <v>1</v>
      </c>
      <c r="N24">
        <f>'EXP FD A'!N24+'EXP FD B'!N24+'EXP FD C'!N24</f>
        <v>1</v>
      </c>
      <c r="O24">
        <f>'EXP FD A'!O24+'EXP FD B'!O24+'EXP FD C'!O24</f>
        <v>1</v>
      </c>
      <c r="P24">
        <f>'EXP FD A'!P24+'EXP FD B'!P24+'EXP FD C'!P24</f>
        <v>1</v>
      </c>
      <c r="Q24">
        <f>'EXP FD A'!Q24+'EXP FD B'!Q24+'EXP FD C'!Q24</f>
        <v>1</v>
      </c>
      <c r="R24">
        <f>'EXP FD A'!R24+'EXP FD B'!R24+'EXP FD C'!R24</f>
        <v>1</v>
      </c>
      <c r="S24">
        <f>'EXP FD A'!S24+'EXP FD B'!S24+'EXP FD C'!S24</f>
        <v>1</v>
      </c>
      <c r="T24">
        <f>'EXP FD A'!T24+'EXP FD B'!T24+'EXP FD C'!T24</f>
        <v>1</v>
      </c>
      <c r="U24">
        <f>'EXP FD A'!U24+'EXP FD B'!U24+'EXP FD C'!U24</f>
        <v>1</v>
      </c>
      <c r="V24">
        <f>'EXP FD A'!V24+'EXP FD B'!V24+'EXP FD C'!V24</f>
        <v>1</v>
      </c>
      <c r="W24">
        <f>'EXP FD A'!W24+'EXP FD B'!W24+'EXP FD C'!W24</f>
        <v>1</v>
      </c>
      <c r="X24">
        <f>'EXP FD A'!X24+'EXP FD B'!X24+'EXP FD C'!X24</f>
        <v>1</v>
      </c>
      <c r="Y24">
        <f>'EXP FD A'!Y24+'EXP FD B'!Y24+'EXP FD C'!Y24</f>
        <v>1</v>
      </c>
      <c r="Z24">
        <f>'EXP FD A'!Z24+'EXP FD B'!Z24+'EXP FD C'!Z24</f>
        <v>1</v>
      </c>
      <c r="AA24">
        <f>'EXP FD A'!AA24+'EXP FD B'!AA24+'EXP FD C'!AA24</f>
        <v>1</v>
      </c>
      <c r="AB24">
        <f>'EXP FD A'!AB24+'EXP FD B'!AB24+'EXP FD C'!AB24</f>
        <v>1</v>
      </c>
      <c r="AC24">
        <f>'EXP FD A'!AC24+'EXP FD B'!AC24+'EXP FD C'!AC24</f>
        <v>1</v>
      </c>
      <c r="AD24">
        <f>'EXP FD A'!AD24+'EXP FD B'!AD24+'EXP FD C'!AD24</f>
        <v>1</v>
      </c>
      <c r="AE24">
        <f>'EXP FD A'!AE24+'EXP FD B'!AE24+'EXP FD C'!AE24</f>
        <v>1</v>
      </c>
      <c r="AF24">
        <f>'EXP FD A'!AF24+'EXP FD B'!AF24+'EXP FD C'!AF24</f>
        <v>1</v>
      </c>
      <c r="AG24">
        <f>'EXP FD A'!AG24+'EXP FD B'!AG24+'EXP FD C'!AG24</f>
        <v>1</v>
      </c>
      <c r="AH24">
        <f>'EXP FD A'!AH24+'EXP FD B'!AH24+'EXP FD C'!AH24</f>
        <v>1</v>
      </c>
      <c r="AI24">
        <f>'EXP FD A'!AI24+'EXP FD B'!AI24+'EXP FD C'!AI24</f>
        <v>1</v>
      </c>
      <c r="AJ24">
        <f>'EXP FD A'!AJ24+'EXP FD B'!AJ24+'EXP FD C'!AJ24</f>
        <v>1</v>
      </c>
      <c r="AK24">
        <f>'EXP FD A'!AK24+'EXP FD B'!AK24+'EXP FD C'!AK24</f>
        <v>1</v>
      </c>
      <c r="AL24">
        <f>'EXP FD A'!AL24+'EXP FD B'!AL24+'EXP FD C'!AL24</f>
        <v>1</v>
      </c>
      <c r="AM24">
        <f>'EXP FD A'!AM24+'EXP FD B'!AM24+'EXP FD C'!AM24</f>
        <v>1</v>
      </c>
      <c r="AN24">
        <f>'EXP FD A'!AN24+'EXP FD B'!AN24+'EXP FD C'!AN24</f>
        <v>1</v>
      </c>
      <c r="AO24">
        <f>'EXP FD A'!AO24+'EXP FD B'!AO24+'EXP FD C'!AO24</f>
        <v>1</v>
      </c>
      <c r="AP24">
        <f>'EXP FD A'!AP24+'EXP FD B'!AP24+'EXP FD C'!AP24</f>
        <v>1</v>
      </c>
      <c r="AQ24">
        <f>'EXP FD A'!AQ24+'EXP FD B'!AQ24+'EXP FD C'!AQ24</f>
        <v>1</v>
      </c>
      <c r="AR24">
        <f>'EXP FD A'!AR24+'EXP FD B'!AR24+'EXP FD C'!AR24</f>
        <v>1</v>
      </c>
      <c r="AS24">
        <f>'EXP FD A'!AS24+'EXP FD B'!AS24+'EXP FD C'!AS24</f>
        <v>1</v>
      </c>
      <c r="AT24">
        <f>'EXP FD A'!AT24+'EXP FD B'!AT24+'EXP FD C'!AT24</f>
        <v>1</v>
      </c>
      <c r="AU24">
        <f>'EXP FD A'!AU24+'EXP FD B'!AU24+'EXP FD C'!AU24</f>
        <v>1</v>
      </c>
      <c r="AV24">
        <f>'EXP FD A'!AV24+'EXP FD B'!AV24+'EXP FD C'!AV24</f>
        <v>1</v>
      </c>
      <c r="AW24">
        <f>'EXP FD A'!AW24+'EXP FD B'!AW24+'EXP FD C'!AW24</f>
        <v>1</v>
      </c>
      <c r="AX24">
        <f>'EXP FD A'!AX24+'EXP FD B'!AX24+'EXP FD C'!AX24</f>
        <v>1</v>
      </c>
      <c r="AY24">
        <f>'EXP FD A'!AY24+'EXP FD B'!AY24+'EXP FD C'!AY24</f>
        <v>1</v>
      </c>
      <c r="AZ24">
        <f>'EXP FD A'!AZ24+'EXP FD B'!AZ24+'EXP FD C'!AZ24</f>
        <v>1</v>
      </c>
      <c r="BA24" s="6"/>
    </row>
    <row r="25" spans="1:53" x14ac:dyDescent="0.2">
      <c r="A25">
        <f t="shared" si="1"/>
        <v>40</v>
      </c>
      <c r="B25" s="3">
        <f t="shared" si="0"/>
        <v>80</v>
      </c>
      <c r="C25">
        <f>'EXP FD A'!C25+'EXP FD B'!C25+'EXP FD C'!C25</f>
        <v>1</v>
      </c>
      <c r="D25">
        <f>'EXP FD A'!D25+'EXP FD B'!D25+'EXP FD C'!D25</f>
        <v>1</v>
      </c>
      <c r="E25">
        <f>'EXP FD A'!E25+'EXP FD B'!E25+'EXP FD C'!E25</f>
        <v>1</v>
      </c>
      <c r="F25">
        <f>'EXP FD A'!F25+'EXP FD B'!F25+'EXP FD C'!F25</f>
        <v>1</v>
      </c>
      <c r="G25">
        <f>'EXP FD A'!G25+'EXP FD B'!G25+'EXP FD C'!G25</f>
        <v>1</v>
      </c>
      <c r="H25">
        <f>'EXP FD A'!H25+'EXP FD B'!H25+'EXP FD C'!H25</f>
        <v>1</v>
      </c>
      <c r="I25">
        <f>'EXP FD A'!I25+'EXP FD B'!I25+'EXP FD C'!I25</f>
        <v>1</v>
      </c>
      <c r="J25">
        <f>'EXP FD A'!J25+'EXP FD B'!J25+'EXP FD C'!J25</f>
        <v>1</v>
      </c>
      <c r="K25">
        <f>'EXP FD A'!K25+'EXP FD B'!K25+'EXP FD C'!K25</f>
        <v>1</v>
      </c>
      <c r="L25">
        <f>'EXP FD A'!L25+'EXP FD B'!L25+'EXP FD C'!L25</f>
        <v>1</v>
      </c>
      <c r="M25">
        <f>'EXP FD A'!M25+'EXP FD B'!M25+'EXP FD C'!M25</f>
        <v>1</v>
      </c>
      <c r="N25">
        <f>'EXP FD A'!N25+'EXP FD B'!N25+'EXP FD C'!N25</f>
        <v>1</v>
      </c>
      <c r="O25">
        <f>'EXP FD A'!O25+'EXP FD B'!O25+'EXP FD C'!O25</f>
        <v>1</v>
      </c>
      <c r="P25">
        <f>'EXP FD A'!P25+'EXP FD B'!P25+'EXP FD C'!P25</f>
        <v>1</v>
      </c>
      <c r="Q25">
        <f>'EXP FD A'!Q25+'EXP FD B'!Q25+'EXP FD C'!Q25</f>
        <v>1</v>
      </c>
      <c r="R25">
        <f>'EXP FD A'!R25+'EXP FD B'!R25+'EXP FD C'!R25</f>
        <v>1</v>
      </c>
      <c r="S25">
        <f>'EXP FD A'!S25+'EXP FD B'!S25+'EXP FD C'!S25</f>
        <v>1</v>
      </c>
      <c r="T25">
        <f>'EXP FD A'!T25+'EXP FD B'!T25+'EXP FD C'!T25</f>
        <v>1</v>
      </c>
      <c r="U25">
        <f>'EXP FD A'!U25+'EXP FD B'!U25+'EXP FD C'!U25</f>
        <v>1</v>
      </c>
      <c r="V25">
        <f>'EXP FD A'!V25+'EXP FD B'!V25+'EXP FD C'!V25</f>
        <v>1</v>
      </c>
      <c r="W25">
        <f>'EXP FD A'!W25+'EXP FD B'!W25+'EXP FD C'!W25</f>
        <v>1</v>
      </c>
      <c r="X25">
        <f>'EXP FD A'!X25+'EXP FD B'!X25+'EXP FD C'!X25</f>
        <v>1</v>
      </c>
      <c r="Y25">
        <f>'EXP FD A'!Y25+'EXP FD B'!Y25+'EXP FD C'!Y25</f>
        <v>1</v>
      </c>
      <c r="Z25">
        <f>'EXP FD A'!Z25+'EXP FD B'!Z25+'EXP FD C'!Z25</f>
        <v>1</v>
      </c>
      <c r="AA25">
        <f>'EXP FD A'!AA25+'EXP FD B'!AA25+'EXP FD C'!AA25</f>
        <v>1</v>
      </c>
      <c r="AB25">
        <f>'EXP FD A'!AB25+'EXP FD B'!AB25+'EXP FD C'!AB25</f>
        <v>1</v>
      </c>
      <c r="AC25">
        <f>'EXP FD A'!AC25+'EXP FD B'!AC25+'EXP FD C'!AC25</f>
        <v>1</v>
      </c>
      <c r="AD25">
        <f>'EXP FD A'!AD25+'EXP FD B'!AD25+'EXP FD C'!AD25</f>
        <v>1</v>
      </c>
      <c r="AE25">
        <f>'EXP FD A'!AE25+'EXP FD B'!AE25+'EXP FD C'!AE25</f>
        <v>1</v>
      </c>
      <c r="AF25">
        <f>'EXP FD A'!AF25+'EXP FD B'!AF25+'EXP FD C'!AF25</f>
        <v>1</v>
      </c>
      <c r="AG25">
        <f>'EXP FD A'!AG25+'EXP FD B'!AG25+'EXP FD C'!AG25</f>
        <v>1</v>
      </c>
      <c r="AH25">
        <f>'EXP FD A'!AH25+'EXP FD B'!AH25+'EXP FD C'!AH25</f>
        <v>1</v>
      </c>
      <c r="AI25">
        <f>'EXP FD A'!AI25+'EXP FD B'!AI25+'EXP FD C'!AI25</f>
        <v>1</v>
      </c>
      <c r="AJ25">
        <f>'EXP FD A'!AJ25+'EXP FD B'!AJ25+'EXP FD C'!AJ25</f>
        <v>1</v>
      </c>
      <c r="AK25">
        <f>'EXP FD A'!AK25+'EXP FD B'!AK25+'EXP FD C'!AK25</f>
        <v>1</v>
      </c>
      <c r="AL25">
        <f>'EXP FD A'!AL25+'EXP FD B'!AL25+'EXP FD C'!AL25</f>
        <v>1</v>
      </c>
      <c r="AM25">
        <f>'EXP FD A'!AM25+'EXP FD B'!AM25+'EXP FD C'!AM25</f>
        <v>1</v>
      </c>
      <c r="AN25">
        <f>'EXP FD A'!AN25+'EXP FD B'!AN25+'EXP FD C'!AN25</f>
        <v>1</v>
      </c>
      <c r="AO25">
        <f>'EXP FD A'!AO25+'EXP FD B'!AO25+'EXP FD C'!AO25</f>
        <v>1</v>
      </c>
      <c r="AP25">
        <f>'EXP FD A'!AP25+'EXP FD B'!AP25+'EXP FD C'!AP25</f>
        <v>1</v>
      </c>
      <c r="AQ25">
        <f>'EXP FD A'!AQ25+'EXP FD B'!AQ25+'EXP FD C'!AQ25</f>
        <v>1</v>
      </c>
      <c r="AR25">
        <f>'EXP FD A'!AR25+'EXP FD B'!AR25+'EXP FD C'!AR25</f>
        <v>1</v>
      </c>
      <c r="AS25">
        <f>'EXP FD A'!AS25+'EXP FD B'!AS25+'EXP FD C'!AS25</f>
        <v>1</v>
      </c>
      <c r="AT25">
        <f>'EXP FD A'!AT25+'EXP FD B'!AT25+'EXP FD C'!AT25</f>
        <v>1</v>
      </c>
      <c r="AU25">
        <f>'EXP FD A'!AU25+'EXP FD B'!AU25+'EXP FD C'!AU25</f>
        <v>1</v>
      </c>
      <c r="AV25">
        <f>'EXP FD A'!AV25+'EXP FD B'!AV25+'EXP FD C'!AV25</f>
        <v>1</v>
      </c>
      <c r="AW25">
        <f>'EXP FD A'!AW25+'EXP FD B'!AW25+'EXP FD C'!AW25</f>
        <v>1</v>
      </c>
      <c r="AX25">
        <f>'EXP FD A'!AX25+'EXP FD B'!AX25+'EXP FD C'!AX25</f>
        <v>1</v>
      </c>
      <c r="AY25">
        <f>'EXP FD A'!AY25+'EXP FD B'!AY25+'EXP FD C'!AY25</f>
        <v>1</v>
      </c>
      <c r="AZ25">
        <f>'EXP FD A'!AZ25+'EXP FD B'!AZ25+'EXP FD C'!AZ25</f>
        <v>1</v>
      </c>
      <c r="BA25" s="6"/>
    </row>
    <row r="26" spans="1:53" x14ac:dyDescent="0.2">
      <c r="A26">
        <f t="shared" si="1"/>
        <v>39</v>
      </c>
      <c r="B26" s="3">
        <f t="shared" si="0"/>
        <v>78</v>
      </c>
      <c r="C26">
        <f>'EXP FD A'!C26+'EXP FD B'!C26+'EXP FD C'!C26</f>
        <v>1</v>
      </c>
      <c r="D26">
        <f>'EXP FD A'!D26+'EXP FD B'!D26+'EXP FD C'!D26</f>
        <v>1</v>
      </c>
      <c r="E26">
        <f>'EXP FD A'!E26+'EXP FD B'!E26+'EXP FD C'!E26</f>
        <v>1</v>
      </c>
      <c r="F26">
        <f>'EXP FD A'!F26+'EXP FD B'!F26+'EXP FD C'!F26</f>
        <v>1</v>
      </c>
      <c r="G26">
        <f>'EXP FD A'!G26+'EXP FD B'!G26+'EXP FD C'!G26</f>
        <v>1</v>
      </c>
      <c r="H26">
        <f>'EXP FD A'!H26+'EXP FD B'!H26+'EXP FD C'!H26</f>
        <v>1</v>
      </c>
      <c r="I26">
        <f>'EXP FD A'!I26+'EXP FD B'!I26+'EXP FD C'!I26</f>
        <v>1</v>
      </c>
      <c r="J26">
        <f>'EXP FD A'!J26+'EXP FD B'!J26+'EXP FD C'!J26</f>
        <v>1</v>
      </c>
      <c r="K26">
        <f>'EXP FD A'!K26+'EXP FD B'!K26+'EXP FD C'!K26</f>
        <v>1</v>
      </c>
      <c r="L26">
        <f>'EXP FD A'!L26+'EXP FD B'!L26+'EXP FD C'!L26</f>
        <v>1</v>
      </c>
      <c r="M26">
        <f>'EXP FD A'!M26+'EXP FD B'!M26+'EXP FD C'!M26</f>
        <v>1</v>
      </c>
      <c r="N26">
        <f>'EXP FD A'!N26+'EXP FD B'!N26+'EXP FD C'!N26</f>
        <v>1</v>
      </c>
      <c r="O26">
        <f>'EXP FD A'!O26+'EXP FD B'!O26+'EXP FD C'!O26</f>
        <v>1</v>
      </c>
      <c r="P26">
        <f>'EXP FD A'!P26+'EXP FD B'!P26+'EXP FD C'!P26</f>
        <v>1</v>
      </c>
      <c r="Q26">
        <f>'EXP FD A'!Q26+'EXP FD B'!Q26+'EXP FD C'!Q26</f>
        <v>1</v>
      </c>
      <c r="R26">
        <f>'EXP FD A'!R26+'EXP FD B'!R26+'EXP FD C'!R26</f>
        <v>1</v>
      </c>
      <c r="S26">
        <f>'EXP FD A'!S26+'EXP FD B'!S26+'EXP FD C'!S26</f>
        <v>1</v>
      </c>
      <c r="T26">
        <f>'EXP FD A'!T26+'EXP FD B'!T26+'EXP FD C'!T26</f>
        <v>1</v>
      </c>
      <c r="U26">
        <f>'EXP FD A'!U26+'EXP FD B'!U26+'EXP FD C'!U26</f>
        <v>1</v>
      </c>
      <c r="V26">
        <f>'EXP FD A'!V26+'EXP FD B'!V26+'EXP FD C'!V26</f>
        <v>1</v>
      </c>
      <c r="W26">
        <f>'EXP FD A'!W26+'EXP FD B'!W26+'EXP FD C'!W26</f>
        <v>1</v>
      </c>
      <c r="X26">
        <f>'EXP FD A'!X26+'EXP FD B'!X26+'EXP FD C'!X26</f>
        <v>1</v>
      </c>
      <c r="Y26">
        <f>'EXP FD A'!Y26+'EXP FD B'!Y26+'EXP FD C'!Y26</f>
        <v>1</v>
      </c>
      <c r="Z26">
        <f>'EXP FD A'!Z26+'EXP FD B'!Z26+'EXP FD C'!Z26</f>
        <v>1</v>
      </c>
      <c r="AA26">
        <f>'EXP FD A'!AA26+'EXP FD B'!AA26+'EXP FD C'!AA26</f>
        <v>1</v>
      </c>
      <c r="AB26">
        <f>'EXP FD A'!AB26+'EXP FD B'!AB26+'EXP FD C'!AB26</f>
        <v>1</v>
      </c>
      <c r="AC26">
        <f>'EXP FD A'!AC26+'EXP FD B'!AC26+'EXP FD C'!AC26</f>
        <v>1</v>
      </c>
      <c r="AD26">
        <f>'EXP FD A'!AD26+'EXP FD B'!AD26+'EXP FD C'!AD26</f>
        <v>1</v>
      </c>
      <c r="AE26">
        <f>'EXP FD A'!AE26+'EXP FD B'!AE26+'EXP FD C'!AE26</f>
        <v>1</v>
      </c>
      <c r="AF26">
        <f>'EXP FD A'!AF26+'EXP FD B'!AF26+'EXP FD C'!AF26</f>
        <v>1</v>
      </c>
      <c r="AG26">
        <f>'EXP FD A'!AG26+'EXP FD B'!AG26+'EXP FD C'!AG26</f>
        <v>1</v>
      </c>
      <c r="AH26">
        <f>'EXP FD A'!AH26+'EXP FD B'!AH26+'EXP FD C'!AH26</f>
        <v>1</v>
      </c>
      <c r="AI26">
        <f>'EXP FD A'!AI26+'EXP FD B'!AI26+'EXP FD C'!AI26</f>
        <v>1</v>
      </c>
      <c r="AJ26">
        <f>'EXP FD A'!AJ26+'EXP FD B'!AJ26+'EXP FD C'!AJ26</f>
        <v>1</v>
      </c>
      <c r="AK26">
        <f>'EXP FD A'!AK26+'EXP FD B'!AK26+'EXP FD C'!AK26</f>
        <v>1</v>
      </c>
      <c r="AL26">
        <f>'EXP FD A'!AL26+'EXP FD B'!AL26+'EXP FD C'!AL26</f>
        <v>1</v>
      </c>
      <c r="AM26">
        <f>'EXP FD A'!AM26+'EXP FD B'!AM26+'EXP FD C'!AM26</f>
        <v>1</v>
      </c>
      <c r="AN26">
        <f>'EXP FD A'!AN26+'EXP FD B'!AN26+'EXP FD C'!AN26</f>
        <v>1</v>
      </c>
      <c r="AO26">
        <f>'EXP FD A'!AO26+'EXP FD B'!AO26+'EXP FD C'!AO26</f>
        <v>1</v>
      </c>
      <c r="AP26">
        <f>'EXP FD A'!AP26+'EXP FD B'!AP26+'EXP FD C'!AP26</f>
        <v>1</v>
      </c>
      <c r="AQ26">
        <f>'EXP FD A'!AQ26+'EXP FD B'!AQ26+'EXP FD C'!AQ26</f>
        <v>1</v>
      </c>
      <c r="AR26">
        <f>'EXP FD A'!AR26+'EXP FD B'!AR26+'EXP FD C'!AR26</f>
        <v>1</v>
      </c>
      <c r="AS26">
        <f>'EXP FD A'!AS26+'EXP FD B'!AS26+'EXP FD C'!AS26</f>
        <v>1</v>
      </c>
      <c r="AT26">
        <f>'EXP FD A'!AT26+'EXP FD B'!AT26+'EXP FD C'!AT26</f>
        <v>1</v>
      </c>
      <c r="AU26">
        <f>'EXP FD A'!AU26+'EXP FD B'!AU26+'EXP FD C'!AU26</f>
        <v>1</v>
      </c>
      <c r="AV26">
        <f>'EXP FD A'!AV26+'EXP FD B'!AV26+'EXP FD C'!AV26</f>
        <v>1</v>
      </c>
      <c r="AW26">
        <f>'EXP FD A'!AW26+'EXP FD B'!AW26+'EXP FD C'!AW26</f>
        <v>1</v>
      </c>
      <c r="AX26">
        <f>'EXP FD A'!AX26+'EXP FD B'!AX26+'EXP FD C'!AX26</f>
        <v>1</v>
      </c>
      <c r="AY26">
        <f>'EXP FD A'!AY26+'EXP FD B'!AY26+'EXP FD C'!AY26</f>
        <v>1</v>
      </c>
      <c r="AZ26">
        <f>'EXP FD A'!AZ26+'EXP FD B'!AZ26+'EXP FD C'!AZ26</f>
        <v>1</v>
      </c>
      <c r="BA26" s="6"/>
    </row>
    <row r="27" spans="1:53" x14ac:dyDescent="0.2">
      <c r="A27">
        <f t="shared" si="1"/>
        <v>38</v>
      </c>
      <c r="B27" s="3">
        <f t="shared" si="0"/>
        <v>76</v>
      </c>
      <c r="C27">
        <f>'EXP FD A'!C27+'EXP FD B'!C27+'EXP FD C'!C27</f>
        <v>1</v>
      </c>
      <c r="D27">
        <f>'EXP FD A'!D27+'EXP FD B'!D27+'EXP FD C'!D27</f>
        <v>1</v>
      </c>
      <c r="E27">
        <f>'EXP FD A'!E27+'EXP FD B'!E27+'EXP FD C'!E27</f>
        <v>1</v>
      </c>
      <c r="F27">
        <f>'EXP FD A'!F27+'EXP FD B'!F27+'EXP FD C'!F27</f>
        <v>1</v>
      </c>
      <c r="G27">
        <f>'EXP FD A'!G27+'EXP FD B'!G27+'EXP FD C'!G27</f>
        <v>1</v>
      </c>
      <c r="H27">
        <f>'EXP FD A'!H27+'EXP FD B'!H27+'EXP FD C'!H27</f>
        <v>1</v>
      </c>
      <c r="I27">
        <f>'EXP FD A'!I27+'EXP FD B'!I27+'EXP FD C'!I27</f>
        <v>1</v>
      </c>
      <c r="J27">
        <f>'EXP FD A'!J27+'EXP FD B'!J27+'EXP FD C'!J27</f>
        <v>1</v>
      </c>
      <c r="K27">
        <f>'EXP FD A'!K27+'EXP FD B'!K27+'EXP FD C'!K27</f>
        <v>1</v>
      </c>
      <c r="L27">
        <f>'EXP FD A'!L27+'EXP FD B'!L27+'EXP FD C'!L27</f>
        <v>1</v>
      </c>
      <c r="M27">
        <f>'EXP FD A'!M27+'EXP FD B'!M27+'EXP FD C'!M27</f>
        <v>1</v>
      </c>
      <c r="N27">
        <f>'EXP FD A'!N27+'EXP FD B'!N27+'EXP FD C'!N27</f>
        <v>1</v>
      </c>
      <c r="O27">
        <f>'EXP FD A'!O27+'EXP FD B'!O27+'EXP FD C'!O27</f>
        <v>1</v>
      </c>
      <c r="P27">
        <f>'EXP FD A'!P27+'EXP FD B'!P27+'EXP FD C'!P27</f>
        <v>1</v>
      </c>
      <c r="Q27">
        <f>'EXP FD A'!Q27+'EXP FD B'!Q27+'EXP FD C'!Q27</f>
        <v>1</v>
      </c>
      <c r="R27">
        <f>'EXP FD A'!R27+'EXP FD B'!R27+'EXP FD C'!R27</f>
        <v>1</v>
      </c>
      <c r="S27">
        <f>'EXP FD A'!S27+'EXP FD B'!S27+'EXP FD C'!S27</f>
        <v>1</v>
      </c>
      <c r="T27">
        <f>'EXP FD A'!T27+'EXP FD B'!T27+'EXP FD C'!T27</f>
        <v>1</v>
      </c>
      <c r="U27">
        <f>'EXP FD A'!U27+'EXP FD B'!U27+'EXP FD C'!U27</f>
        <v>1</v>
      </c>
      <c r="V27">
        <f>'EXP FD A'!V27+'EXP FD B'!V27+'EXP FD C'!V27</f>
        <v>1</v>
      </c>
      <c r="W27">
        <f>'EXP FD A'!W27+'EXP FD B'!W27+'EXP FD C'!W27</f>
        <v>1</v>
      </c>
      <c r="X27">
        <f>'EXP FD A'!X27+'EXP FD B'!X27+'EXP FD C'!X27</f>
        <v>1</v>
      </c>
      <c r="Y27">
        <f>'EXP FD A'!Y27+'EXP FD B'!Y27+'EXP FD C'!Y27</f>
        <v>1</v>
      </c>
      <c r="Z27">
        <f>'EXP FD A'!Z27+'EXP FD B'!Z27+'EXP FD C'!Z27</f>
        <v>1</v>
      </c>
      <c r="AA27">
        <f>'EXP FD A'!AA27+'EXP FD B'!AA27+'EXP FD C'!AA27</f>
        <v>1</v>
      </c>
      <c r="AB27">
        <f>'EXP FD A'!AB27+'EXP FD B'!AB27+'EXP FD C'!AB27</f>
        <v>1</v>
      </c>
      <c r="AC27">
        <f>'EXP FD A'!AC27+'EXP FD B'!AC27+'EXP FD C'!AC27</f>
        <v>1</v>
      </c>
      <c r="AD27">
        <f>'EXP FD A'!AD27+'EXP FD B'!AD27+'EXP FD C'!AD27</f>
        <v>1</v>
      </c>
      <c r="AE27">
        <f>'EXP FD A'!AE27+'EXP FD B'!AE27+'EXP FD C'!AE27</f>
        <v>1</v>
      </c>
      <c r="AF27">
        <f>'EXP FD A'!AF27+'EXP FD B'!AF27+'EXP FD C'!AF27</f>
        <v>1</v>
      </c>
      <c r="AG27">
        <f>'EXP FD A'!AG27+'EXP FD B'!AG27+'EXP FD C'!AG27</f>
        <v>1</v>
      </c>
      <c r="AH27">
        <f>'EXP FD A'!AH27+'EXP FD B'!AH27+'EXP FD C'!AH27</f>
        <v>1</v>
      </c>
      <c r="AI27">
        <f>'EXP FD A'!AI27+'EXP FD B'!AI27+'EXP FD C'!AI27</f>
        <v>1</v>
      </c>
      <c r="AJ27">
        <f>'EXP FD A'!AJ27+'EXP FD B'!AJ27+'EXP FD C'!AJ27</f>
        <v>1</v>
      </c>
      <c r="AK27">
        <f>'EXP FD A'!AK27+'EXP FD B'!AK27+'EXP FD C'!AK27</f>
        <v>1</v>
      </c>
      <c r="AL27">
        <f>'EXP FD A'!AL27+'EXP FD B'!AL27+'EXP FD C'!AL27</f>
        <v>1</v>
      </c>
      <c r="AM27">
        <f>'EXP FD A'!AM27+'EXP FD B'!AM27+'EXP FD C'!AM27</f>
        <v>1</v>
      </c>
      <c r="AN27">
        <f>'EXP FD A'!AN27+'EXP FD B'!AN27+'EXP FD C'!AN27</f>
        <v>1</v>
      </c>
      <c r="AO27">
        <f>'EXP FD A'!AO27+'EXP FD B'!AO27+'EXP FD C'!AO27</f>
        <v>1</v>
      </c>
      <c r="AP27">
        <f>'EXP FD A'!AP27+'EXP FD B'!AP27+'EXP FD C'!AP27</f>
        <v>1</v>
      </c>
      <c r="AQ27">
        <f>'EXP FD A'!AQ27+'EXP FD B'!AQ27+'EXP FD C'!AQ27</f>
        <v>1</v>
      </c>
      <c r="AR27">
        <f>'EXP FD A'!AR27+'EXP FD B'!AR27+'EXP FD C'!AR27</f>
        <v>1</v>
      </c>
      <c r="AS27">
        <f>'EXP FD A'!AS27+'EXP FD B'!AS27+'EXP FD C'!AS27</f>
        <v>1</v>
      </c>
      <c r="AT27">
        <f>'EXP FD A'!AT27+'EXP FD B'!AT27+'EXP FD C'!AT27</f>
        <v>1</v>
      </c>
      <c r="AU27">
        <f>'EXP FD A'!AU27+'EXP FD B'!AU27+'EXP FD C'!AU27</f>
        <v>1</v>
      </c>
      <c r="AV27">
        <f>'EXP FD A'!AV27+'EXP FD B'!AV27+'EXP FD C'!AV27</f>
        <v>1</v>
      </c>
      <c r="AW27">
        <f>'EXP FD A'!AW27+'EXP FD B'!AW27+'EXP FD C'!AW27</f>
        <v>1</v>
      </c>
      <c r="AX27">
        <f>'EXP FD A'!AX27+'EXP FD B'!AX27+'EXP FD C'!AX27</f>
        <v>1</v>
      </c>
      <c r="AY27">
        <f>'EXP FD A'!AY27+'EXP FD B'!AY27+'EXP FD C'!AY27</f>
        <v>1</v>
      </c>
      <c r="AZ27">
        <f>'EXP FD A'!AZ27+'EXP FD B'!AZ27+'EXP FD C'!AZ27</f>
        <v>1</v>
      </c>
      <c r="BA27" s="6"/>
    </row>
    <row r="28" spans="1:53" x14ac:dyDescent="0.2">
      <c r="A28">
        <f t="shared" si="1"/>
        <v>37</v>
      </c>
      <c r="B28" s="3">
        <f t="shared" si="0"/>
        <v>74</v>
      </c>
      <c r="C28">
        <f>'EXP FD A'!C28+'EXP FD B'!C28+'EXP FD C'!C28</f>
        <v>1</v>
      </c>
      <c r="D28">
        <f>'EXP FD A'!D28+'EXP FD B'!D28+'EXP FD C'!D28</f>
        <v>1</v>
      </c>
      <c r="E28">
        <f>'EXP FD A'!E28+'EXP FD B'!E28+'EXP FD C'!E28</f>
        <v>1</v>
      </c>
      <c r="F28">
        <f>'EXP FD A'!F28+'EXP FD B'!F28+'EXP FD C'!F28</f>
        <v>1</v>
      </c>
      <c r="G28">
        <f>'EXP FD A'!G28+'EXP FD B'!G28+'EXP FD C'!G28</f>
        <v>1</v>
      </c>
      <c r="H28">
        <f>'EXP FD A'!H28+'EXP FD B'!H28+'EXP FD C'!H28</f>
        <v>1</v>
      </c>
      <c r="I28">
        <f>'EXP FD A'!I28+'EXP FD B'!I28+'EXP FD C'!I28</f>
        <v>1</v>
      </c>
      <c r="J28">
        <f>'EXP FD A'!J28+'EXP FD B'!J28+'EXP FD C'!J28</f>
        <v>1</v>
      </c>
      <c r="K28">
        <f>'EXP FD A'!K28+'EXP FD B'!K28+'EXP FD C'!K28</f>
        <v>1</v>
      </c>
      <c r="L28">
        <f>'EXP FD A'!L28+'EXP FD B'!L28+'EXP FD C'!L28</f>
        <v>1</v>
      </c>
      <c r="M28">
        <f>'EXP FD A'!M28+'EXP FD B'!M28+'EXP FD C'!M28</f>
        <v>1</v>
      </c>
      <c r="N28">
        <f>'EXP FD A'!N28+'EXP FD B'!N28+'EXP FD C'!N28</f>
        <v>1</v>
      </c>
      <c r="O28">
        <f>'EXP FD A'!O28+'EXP FD B'!O28+'EXP FD C'!O28</f>
        <v>1</v>
      </c>
      <c r="P28">
        <f>'EXP FD A'!P28+'EXP FD B'!P28+'EXP FD C'!P28</f>
        <v>1</v>
      </c>
      <c r="Q28">
        <f>'EXP FD A'!Q28+'EXP FD B'!Q28+'EXP FD C'!Q28</f>
        <v>1</v>
      </c>
      <c r="R28">
        <f>'EXP FD A'!R28+'EXP FD B'!R28+'EXP FD C'!R28</f>
        <v>1</v>
      </c>
      <c r="S28">
        <f>'EXP FD A'!S28+'EXP FD B'!S28+'EXP FD C'!S28</f>
        <v>1</v>
      </c>
      <c r="T28">
        <f>'EXP FD A'!T28+'EXP FD B'!T28+'EXP FD C'!T28</f>
        <v>1</v>
      </c>
      <c r="U28">
        <f>'EXP FD A'!U28+'EXP FD B'!U28+'EXP FD C'!U28</f>
        <v>1</v>
      </c>
      <c r="V28">
        <f>'EXP FD A'!V28+'EXP FD B'!V28+'EXP FD C'!V28</f>
        <v>1</v>
      </c>
      <c r="W28">
        <f>'EXP FD A'!W28+'EXP FD B'!W28+'EXP FD C'!W28</f>
        <v>1</v>
      </c>
      <c r="X28">
        <f>'EXP FD A'!X28+'EXP FD B'!X28+'EXP FD C'!X28</f>
        <v>1</v>
      </c>
      <c r="Y28">
        <f>'EXP FD A'!Y28+'EXP FD B'!Y28+'EXP FD C'!Y28</f>
        <v>1</v>
      </c>
      <c r="Z28">
        <f>'EXP FD A'!Z28+'EXP FD B'!Z28+'EXP FD C'!Z28</f>
        <v>1</v>
      </c>
      <c r="AA28">
        <f>'EXP FD A'!AA28+'EXP FD B'!AA28+'EXP FD C'!AA28</f>
        <v>1</v>
      </c>
      <c r="AB28">
        <f>'EXP FD A'!AB28+'EXP FD B'!AB28+'EXP FD C'!AB28</f>
        <v>1</v>
      </c>
      <c r="AC28">
        <f>'EXP FD A'!AC28+'EXP FD B'!AC28+'EXP FD C'!AC28</f>
        <v>1</v>
      </c>
      <c r="AD28">
        <f>'EXP FD A'!AD28+'EXP FD B'!AD28+'EXP FD C'!AD28</f>
        <v>1</v>
      </c>
      <c r="AE28">
        <f>'EXP FD A'!AE28+'EXP FD B'!AE28+'EXP FD C'!AE28</f>
        <v>1</v>
      </c>
      <c r="AF28">
        <f>'EXP FD A'!AF28+'EXP FD B'!AF28+'EXP FD C'!AF28</f>
        <v>1</v>
      </c>
      <c r="AG28">
        <f>'EXP FD A'!AG28+'EXP FD B'!AG28+'EXP FD C'!AG28</f>
        <v>1</v>
      </c>
      <c r="AH28">
        <f>'EXP FD A'!AH28+'EXP FD B'!AH28+'EXP FD C'!AH28</f>
        <v>1</v>
      </c>
      <c r="AI28">
        <f>'EXP FD A'!AI28+'EXP FD B'!AI28+'EXP FD C'!AI28</f>
        <v>1</v>
      </c>
      <c r="AJ28">
        <f>'EXP FD A'!AJ28+'EXP FD B'!AJ28+'EXP FD C'!AJ28</f>
        <v>1</v>
      </c>
      <c r="AK28">
        <f>'EXP FD A'!AK28+'EXP FD B'!AK28+'EXP FD C'!AK28</f>
        <v>1</v>
      </c>
      <c r="AL28">
        <f>'EXP FD A'!AL28+'EXP FD B'!AL28+'EXP FD C'!AL28</f>
        <v>1</v>
      </c>
      <c r="AM28">
        <f>'EXP FD A'!AM28+'EXP FD B'!AM28+'EXP FD C'!AM28</f>
        <v>1</v>
      </c>
      <c r="AN28">
        <f>'EXP FD A'!AN28+'EXP FD B'!AN28+'EXP FD C'!AN28</f>
        <v>1</v>
      </c>
      <c r="AO28">
        <f>'EXP FD A'!AO28+'EXP FD B'!AO28+'EXP FD C'!AO28</f>
        <v>1</v>
      </c>
      <c r="AP28">
        <f>'EXP FD A'!AP28+'EXP FD B'!AP28+'EXP FD C'!AP28</f>
        <v>1</v>
      </c>
      <c r="AQ28">
        <f>'EXP FD A'!AQ28+'EXP FD B'!AQ28+'EXP FD C'!AQ28</f>
        <v>1</v>
      </c>
      <c r="AR28">
        <f>'EXP FD A'!AR28+'EXP FD B'!AR28+'EXP FD C'!AR28</f>
        <v>1</v>
      </c>
      <c r="AS28">
        <f>'EXP FD A'!AS28+'EXP FD B'!AS28+'EXP FD C'!AS28</f>
        <v>1</v>
      </c>
      <c r="AT28">
        <f>'EXP FD A'!AT28+'EXP FD B'!AT28+'EXP FD C'!AT28</f>
        <v>1</v>
      </c>
      <c r="AU28">
        <f>'EXP FD A'!AU28+'EXP FD B'!AU28+'EXP FD C'!AU28</f>
        <v>1</v>
      </c>
      <c r="AV28">
        <f>'EXP FD A'!AV28+'EXP FD B'!AV28+'EXP FD C'!AV28</f>
        <v>1</v>
      </c>
      <c r="AW28">
        <f>'EXP FD A'!AW28+'EXP FD B'!AW28+'EXP FD C'!AW28</f>
        <v>1</v>
      </c>
      <c r="AX28">
        <f>'EXP FD A'!AX28+'EXP FD B'!AX28+'EXP FD C'!AX28</f>
        <v>1</v>
      </c>
      <c r="AY28">
        <f>'EXP FD A'!AY28+'EXP FD B'!AY28+'EXP FD C'!AY28</f>
        <v>1</v>
      </c>
      <c r="AZ28">
        <f>'EXP FD A'!AZ28+'EXP FD B'!AZ28+'EXP FD C'!AZ28</f>
        <v>1</v>
      </c>
      <c r="BA28" s="6"/>
    </row>
    <row r="29" spans="1:53" x14ac:dyDescent="0.2">
      <c r="A29">
        <f t="shared" si="1"/>
        <v>36</v>
      </c>
      <c r="B29" s="3">
        <f t="shared" si="0"/>
        <v>72</v>
      </c>
      <c r="C29">
        <f>'EXP FD A'!C29+'EXP FD B'!C29+'EXP FD C'!C29</f>
        <v>1</v>
      </c>
      <c r="D29">
        <f>'EXP FD A'!D29+'EXP FD B'!D29+'EXP FD C'!D29</f>
        <v>1</v>
      </c>
      <c r="E29">
        <f>'EXP FD A'!E29+'EXP FD B'!E29+'EXP FD C'!E29</f>
        <v>1</v>
      </c>
      <c r="F29">
        <f>'EXP FD A'!F29+'EXP FD B'!F29+'EXP FD C'!F29</f>
        <v>1</v>
      </c>
      <c r="G29">
        <f>'EXP FD A'!G29+'EXP FD B'!G29+'EXP FD C'!G29</f>
        <v>1</v>
      </c>
      <c r="H29">
        <f>'EXP FD A'!H29+'EXP FD B'!H29+'EXP FD C'!H29</f>
        <v>1</v>
      </c>
      <c r="I29">
        <f>'EXP FD A'!I29+'EXP FD B'!I29+'EXP FD C'!I29</f>
        <v>1</v>
      </c>
      <c r="J29">
        <f>'EXP FD A'!J29+'EXP FD B'!J29+'EXP FD C'!J29</f>
        <v>1</v>
      </c>
      <c r="K29">
        <f>'EXP FD A'!K29+'EXP FD B'!K29+'EXP FD C'!K29</f>
        <v>1</v>
      </c>
      <c r="L29">
        <f>'EXP FD A'!L29+'EXP FD B'!L29+'EXP FD C'!L29</f>
        <v>1</v>
      </c>
      <c r="M29">
        <f>'EXP FD A'!M29+'EXP FD B'!M29+'EXP FD C'!M29</f>
        <v>1</v>
      </c>
      <c r="N29">
        <f>'EXP FD A'!N29+'EXP FD B'!N29+'EXP FD C'!N29</f>
        <v>1</v>
      </c>
      <c r="O29">
        <f>'EXP FD A'!O29+'EXP FD B'!O29+'EXP FD C'!O29</f>
        <v>1</v>
      </c>
      <c r="P29">
        <f>'EXP FD A'!P29+'EXP FD B'!P29+'EXP FD C'!P29</f>
        <v>1</v>
      </c>
      <c r="Q29">
        <f>'EXP FD A'!Q29+'EXP FD B'!Q29+'EXP FD C'!Q29</f>
        <v>1</v>
      </c>
      <c r="R29">
        <f>'EXP FD A'!R29+'EXP FD B'!R29+'EXP FD C'!R29</f>
        <v>1</v>
      </c>
      <c r="S29">
        <f>'EXP FD A'!S29+'EXP FD B'!S29+'EXP FD C'!S29</f>
        <v>1</v>
      </c>
      <c r="T29">
        <f>'EXP FD A'!T29+'EXP FD B'!T29+'EXP FD C'!T29</f>
        <v>1</v>
      </c>
      <c r="U29">
        <f>'EXP FD A'!U29+'EXP FD B'!U29+'EXP FD C'!U29</f>
        <v>1</v>
      </c>
      <c r="V29">
        <f>'EXP FD A'!V29+'EXP FD B'!V29+'EXP FD C'!V29</f>
        <v>1</v>
      </c>
      <c r="W29">
        <f>'EXP FD A'!W29+'EXP FD B'!W29+'EXP FD C'!W29</f>
        <v>1</v>
      </c>
      <c r="X29">
        <f>'EXP FD A'!X29+'EXP FD B'!X29+'EXP FD C'!X29</f>
        <v>1</v>
      </c>
      <c r="Y29">
        <f>'EXP FD A'!Y29+'EXP FD B'!Y29+'EXP FD C'!Y29</f>
        <v>1</v>
      </c>
      <c r="Z29">
        <f>'EXP FD A'!Z29+'EXP FD B'!Z29+'EXP FD C'!Z29</f>
        <v>1</v>
      </c>
      <c r="AA29">
        <f>'EXP FD A'!AA29+'EXP FD B'!AA29+'EXP FD C'!AA29</f>
        <v>1</v>
      </c>
      <c r="AB29">
        <f>'EXP FD A'!AB29+'EXP FD B'!AB29+'EXP FD C'!AB29</f>
        <v>1</v>
      </c>
      <c r="AC29">
        <f>'EXP FD A'!AC29+'EXP FD B'!AC29+'EXP FD C'!AC29</f>
        <v>1</v>
      </c>
      <c r="AD29">
        <f>'EXP FD A'!AD29+'EXP FD B'!AD29+'EXP FD C'!AD29</f>
        <v>1</v>
      </c>
      <c r="AE29">
        <f>'EXP FD A'!AE29+'EXP FD B'!AE29+'EXP FD C'!AE29</f>
        <v>1</v>
      </c>
      <c r="AF29">
        <f>'EXP FD A'!AF29+'EXP FD B'!AF29+'EXP FD C'!AF29</f>
        <v>1</v>
      </c>
      <c r="AG29">
        <f>'EXP FD A'!AG29+'EXP FD B'!AG29+'EXP FD C'!AG29</f>
        <v>1</v>
      </c>
      <c r="AH29">
        <f>'EXP FD A'!AH29+'EXP FD B'!AH29+'EXP FD C'!AH29</f>
        <v>1</v>
      </c>
      <c r="AI29">
        <f>'EXP FD A'!AI29+'EXP FD B'!AI29+'EXP FD C'!AI29</f>
        <v>1</v>
      </c>
      <c r="AJ29">
        <f>'EXP FD A'!AJ29+'EXP FD B'!AJ29+'EXP FD C'!AJ29</f>
        <v>1</v>
      </c>
      <c r="AK29">
        <f>'EXP FD A'!AK29+'EXP FD B'!AK29+'EXP FD C'!AK29</f>
        <v>1</v>
      </c>
      <c r="AL29">
        <f>'EXP FD A'!AL29+'EXP FD B'!AL29+'EXP FD C'!AL29</f>
        <v>1</v>
      </c>
      <c r="AM29">
        <f>'EXP FD A'!AM29+'EXP FD B'!AM29+'EXP FD C'!AM29</f>
        <v>1</v>
      </c>
      <c r="AN29">
        <f>'EXP FD A'!AN29+'EXP FD B'!AN29+'EXP FD C'!AN29</f>
        <v>1</v>
      </c>
      <c r="AO29">
        <f>'EXP FD A'!AO29+'EXP FD B'!AO29+'EXP FD C'!AO29</f>
        <v>1</v>
      </c>
      <c r="AP29">
        <f>'EXP FD A'!AP29+'EXP FD B'!AP29+'EXP FD C'!AP29</f>
        <v>1</v>
      </c>
      <c r="AQ29">
        <f>'EXP FD A'!AQ29+'EXP FD B'!AQ29+'EXP FD C'!AQ29</f>
        <v>1</v>
      </c>
      <c r="AR29">
        <f>'EXP FD A'!AR29+'EXP FD B'!AR29+'EXP FD C'!AR29</f>
        <v>1</v>
      </c>
      <c r="AS29">
        <f>'EXP FD A'!AS29+'EXP FD B'!AS29+'EXP FD C'!AS29</f>
        <v>1</v>
      </c>
      <c r="AT29">
        <f>'EXP FD A'!AT29+'EXP FD B'!AT29+'EXP FD C'!AT29</f>
        <v>1</v>
      </c>
      <c r="AU29">
        <f>'EXP FD A'!AU29+'EXP FD B'!AU29+'EXP FD C'!AU29</f>
        <v>1</v>
      </c>
      <c r="AV29">
        <f>'EXP FD A'!AV29+'EXP FD B'!AV29+'EXP FD C'!AV29</f>
        <v>1</v>
      </c>
      <c r="AW29">
        <f>'EXP FD A'!AW29+'EXP FD B'!AW29+'EXP FD C'!AW29</f>
        <v>1</v>
      </c>
      <c r="AX29">
        <f>'EXP FD A'!AX29+'EXP FD B'!AX29+'EXP FD C'!AX29</f>
        <v>1</v>
      </c>
      <c r="AY29">
        <f>'EXP FD A'!AY29+'EXP FD B'!AY29+'EXP FD C'!AY29</f>
        <v>1</v>
      </c>
      <c r="AZ29">
        <f>'EXP FD A'!AZ29+'EXP FD B'!AZ29+'EXP FD C'!AZ29</f>
        <v>1</v>
      </c>
      <c r="BA29" s="6"/>
    </row>
    <row r="30" spans="1:53" x14ac:dyDescent="0.2">
      <c r="A30">
        <f t="shared" si="1"/>
        <v>35</v>
      </c>
      <c r="B30" s="3">
        <f t="shared" si="0"/>
        <v>70</v>
      </c>
      <c r="C30">
        <f>'EXP FD A'!C30+'EXP FD B'!C30+'EXP FD C'!C30</f>
        <v>1</v>
      </c>
      <c r="D30">
        <f>'EXP FD A'!D30+'EXP FD B'!D30+'EXP FD C'!D30</f>
        <v>1</v>
      </c>
      <c r="E30">
        <f>'EXP FD A'!E30+'EXP FD B'!E30+'EXP FD C'!E30</f>
        <v>1</v>
      </c>
      <c r="F30">
        <f>'EXP FD A'!F30+'EXP FD B'!F30+'EXP FD C'!F30</f>
        <v>1</v>
      </c>
      <c r="G30">
        <f>'EXP FD A'!G30+'EXP FD B'!G30+'EXP FD C'!G30</f>
        <v>1</v>
      </c>
      <c r="H30">
        <f>'EXP FD A'!H30+'EXP FD B'!H30+'EXP FD C'!H30</f>
        <v>1</v>
      </c>
      <c r="I30">
        <f>'EXP FD A'!I30+'EXP FD B'!I30+'EXP FD C'!I30</f>
        <v>1</v>
      </c>
      <c r="J30">
        <f>'EXP FD A'!J30+'EXP FD B'!J30+'EXP FD C'!J30</f>
        <v>1</v>
      </c>
      <c r="K30">
        <f>'EXP FD A'!K30+'EXP FD B'!K30+'EXP FD C'!K30</f>
        <v>1</v>
      </c>
      <c r="L30">
        <f>'EXP FD A'!L30+'EXP FD B'!L30+'EXP FD C'!L30</f>
        <v>1</v>
      </c>
      <c r="M30">
        <f>'EXP FD A'!M30+'EXP FD B'!M30+'EXP FD C'!M30</f>
        <v>1</v>
      </c>
      <c r="N30">
        <f>'EXP FD A'!N30+'EXP FD B'!N30+'EXP FD C'!N30</f>
        <v>1</v>
      </c>
      <c r="O30">
        <f>'EXP FD A'!O30+'EXP FD B'!O30+'EXP FD C'!O30</f>
        <v>1</v>
      </c>
      <c r="P30">
        <f>'EXP FD A'!P30+'EXP FD B'!P30+'EXP FD C'!P30</f>
        <v>1</v>
      </c>
      <c r="Q30">
        <f>'EXP FD A'!Q30+'EXP FD B'!Q30+'EXP FD C'!Q30</f>
        <v>1</v>
      </c>
      <c r="R30">
        <f>'EXP FD A'!R30+'EXP FD B'!R30+'EXP FD C'!R30</f>
        <v>1</v>
      </c>
      <c r="S30">
        <f>'EXP FD A'!S30+'EXP FD B'!S30+'EXP FD C'!S30</f>
        <v>1</v>
      </c>
      <c r="T30">
        <f>'EXP FD A'!T30+'EXP FD B'!T30+'EXP FD C'!T30</f>
        <v>1</v>
      </c>
      <c r="U30">
        <f>'EXP FD A'!U30+'EXP FD B'!U30+'EXP FD C'!U30</f>
        <v>1</v>
      </c>
      <c r="V30">
        <f>'EXP FD A'!V30+'EXP FD B'!V30+'EXP FD C'!V30</f>
        <v>1</v>
      </c>
      <c r="W30">
        <f>'EXP FD A'!W30+'EXP FD B'!W30+'EXP FD C'!W30</f>
        <v>1</v>
      </c>
      <c r="X30">
        <f>'EXP FD A'!X30+'EXP FD B'!X30+'EXP FD C'!X30</f>
        <v>1</v>
      </c>
      <c r="Y30">
        <f>'EXP FD A'!Y30+'EXP FD B'!Y30+'EXP FD C'!Y30</f>
        <v>1</v>
      </c>
      <c r="Z30">
        <f>'EXP FD A'!Z30+'EXP FD B'!Z30+'EXP FD C'!Z30</f>
        <v>1</v>
      </c>
      <c r="AA30">
        <f>'EXP FD A'!AA30+'EXP FD B'!AA30+'EXP FD C'!AA30</f>
        <v>1</v>
      </c>
      <c r="AB30">
        <f>'EXP FD A'!AB30+'EXP FD B'!AB30+'EXP FD C'!AB30</f>
        <v>1</v>
      </c>
      <c r="AC30">
        <f>'EXP FD A'!AC30+'EXP FD B'!AC30+'EXP FD C'!AC30</f>
        <v>1</v>
      </c>
      <c r="AD30">
        <f>'EXP FD A'!AD30+'EXP FD B'!AD30+'EXP FD C'!AD30</f>
        <v>1</v>
      </c>
      <c r="AE30">
        <f>'EXP FD A'!AE30+'EXP FD B'!AE30+'EXP FD C'!AE30</f>
        <v>1</v>
      </c>
      <c r="AF30">
        <f>'EXP FD A'!AF30+'EXP FD B'!AF30+'EXP FD C'!AF30</f>
        <v>1</v>
      </c>
      <c r="AG30">
        <f>'EXP FD A'!AG30+'EXP FD B'!AG30+'EXP FD C'!AG30</f>
        <v>1</v>
      </c>
      <c r="AH30">
        <f>'EXP FD A'!AH30+'EXP FD B'!AH30+'EXP FD C'!AH30</f>
        <v>1</v>
      </c>
      <c r="AI30">
        <f>'EXP FD A'!AI30+'EXP FD B'!AI30+'EXP FD C'!AI30</f>
        <v>1</v>
      </c>
      <c r="AJ30">
        <f>'EXP FD A'!AJ30+'EXP FD B'!AJ30+'EXP FD C'!AJ30</f>
        <v>1</v>
      </c>
      <c r="AK30">
        <f>'EXP FD A'!AK30+'EXP FD B'!AK30+'EXP FD C'!AK30</f>
        <v>1</v>
      </c>
      <c r="AL30">
        <f>'EXP FD A'!AL30+'EXP FD B'!AL30+'EXP FD C'!AL30</f>
        <v>1</v>
      </c>
      <c r="AM30">
        <f>'EXP FD A'!AM30+'EXP FD B'!AM30+'EXP FD C'!AM30</f>
        <v>1</v>
      </c>
      <c r="AN30">
        <f>'EXP FD A'!AN30+'EXP FD B'!AN30+'EXP FD C'!AN30</f>
        <v>1</v>
      </c>
      <c r="AO30">
        <f>'EXP FD A'!AO30+'EXP FD B'!AO30+'EXP FD C'!AO30</f>
        <v>1</v>
      </c>
      <c r="AP30">
        <f>'EXP FD A'!AP30+'EXP FD B'!AP30+'EXP FD C'!AP30</f>
        <v>1</v>
      </c>
      <c r="AQ30">
        <f>'EXP FD A'!AQ30+'EXP FD B'!AQ30+'EXP FD C'!AQ30</f>
        <v>1</v>
      </c>
      <c r="AR30">
        <f>'EXP FD A'!AR30+'EXP FD B'!AR30+'EXP FD C'!AR30</f>
        <v>1</v>
      </c>
      <c r="AS30">
        <f>'EXP FD A'!AS30+'EXP FD B'!AS30+'EXP FD C'!AS30</f>
        <v>1</v>
      </c>
      <c r="AT30">
        <f>'EXP FD A'!AT30+'EXP FD B'!AT30+'EXP FD C'!AT30</f>
        <v>1</v>
      </c>
      <c r="AU30">
        <f>'EXP FD A'!AU30+'EXP FD B'!AU30+'EXP FD C'!AU30</f>
        <v>1</v>
      </c>
      <c r="AV30">
        <f>'EXP FD A'!AV30+'EXP FD B'!AV30+'EXP FD C'!AV30</f>
        <v>1</v>
      </c>
      <c r="AW30">
        <f>'EXP FD A'!AW30+'EXP FD B'!AW30+'EXP FD C'!AW30</f>
        <v>1</v>
      </c>
      <c r="AX30">
        <f>'EXP FD A'!AX30+'EXP FD B'!AX30+'EXP FD C'!AX30</f>
        <v>1</v>
      </c>
      <c r="AY30">
        <f>'EXP FD A'!AY30+'EXP FD B'!AY30+'EXP FD C'!AY30</f>
        <v>1</v>
      </c>
      <c r="AZ30">
        <f>'EXP FD A'!AZ30+'EXP FD B'!AZ30+'EXP FD C'!AZ30</f>
        <v>1</v>
      </c>
      <c r="BA30" s="6"/>
    </row>
    <row r="31" spans="1:53" x14ac:dyDescent="0.2">
      <c r="A31">
        <f t="shared" si="1"/>
        <v>34</v>
      </c>
      <c r="B31" s="3">
        <f t="shared" si="0"/>
        <v>68</v>
      </c>
      <c r="C31">
        <f>'EXP FD A'!C31+'EXP FD B'!C31+'EXP FD C'!C31</f>
        <v>1</v>
      </c>
      <c r="D31">
        <f>'EXP FD A'!D31+'EXP FD B'!D31+'EXP FD C'!D31</f>
        <v>1</v>
      </c>
      <c r="E31">
        <f>'EXP FD A'!E31+'EXP FD B'!E31+'EXP FD C'!E31</f>
        <v>1</v>
      </c>
      <c r="F31">
        <f>'EXP FD A'!F31+'EXP FD B'!F31+'EXP FD C'!F31</f>
        <v>1</v>
      </c>
      <c r="G31">
        <f>'EXP FD A'!G31+'EXP FD B'!G31+'EXP FD C'!G31</f>
        <v>1</v>
      </c>
      <c r="H31">
        <f>'EXP FD A'!H31+'EXP FD B'!H31+'EXP FD C'!H31</f>
        <v>1</v>
      </c>
      <c r="I31">
        <f>'EXP FD A'!I31+'EXP FD B'!I31+'EXP FD C'!I31</f>
        <v>1</v>
      </c>
      <c r="J31">
        <f>'EXP FD A'!J31+'EXP FD B'!J31+'EXP FD C'!J31</f>
        <v>1</v>
      </c>
      <c r="K31">
        <f>'EXP FD A'!K31+'EXP FD B'!K31+'EXP FD C'!K31</f>
        <v>1</v>
      </c>
      <c r="L31">
        <f>'EXP FD A'!L31+'EXP FD B'!L31+'EXP FD C'!L31</f>
        <v>1</v>
      </c>
      <c r="M31">
        <f>'EXP FD A'!M31+'EXP FD B'!M31+'EXP FD C'!M31</f>
        <v>1</v>
      </c>
      <c r="N31">
        <f>'EXP FD A'!N31+'EXP FD B'!N31+'EXP FD C'!N31</f>
        <v>1</v>
      </c>
      <c r="O31">
        <f>'EXP FD A'!O31+'EXP FD B'!O31+'EXP FD C'!O31</f>
        <v>1</v>
      </c>
      <c r="P31">
        <f>'EXP FD A'!P31+'EXP FD B'!P31+'EXP FD C'!P31</f>
        <v>1</v>
      </c>
      <c r="Q31">
        <f>'EXP FD A'!Q31+'EXP FD B'!Q31+'EXP FD C'!Q31</f>
        <v>1</v>
      </c>
      <c r="R31">
        <f>'EXP FD A'!R31+'EXP FD B'!R31+'EXP FD C'!R31</f>
        <v>1</v>
      </c>
      <c r="S31">
        <f>'EXP FD A'!S31+'EXP FD B'!S31+'EXP FD C'!S31</f>
        <v>1</v>
      </c>
      <c r="T31">
        <f>'EXP FD A'!T31+'EXP FD B'!T31+'EXP FD C'!T31</f>
        <v>1</v>
      </c>
      <c r="U31">
        <f>'EXP FD A'!U31+'EXP FD B'!U31+'EXP FD C'!U31</f>
        <v>1</v>
      </c>
      <c r="V31">
        <f>'EXP FD A'!V31+'EXP FD B'!V31+'EXP FD C'!V31</f>
        <v>1</v>
      </c>
      <c r="W31">
        <f>'EXP FD A'!W31+'EXP FD B'!W31+'EXP FD C'!W31</f>
        <v>1</v>
      </c>
      <c r="X31">
        <f>'EXP FD A'!X31+'EXP FD B'!X31+'EXP FD C'!X31</f>
        <v>1</v>
      </c>
      <c r="Y31">
        <f>'EXP FD A'!Y31+'EXP FD B'!Y31+'EXP FD C'!Y31</f>
        <v>1</v>
      </c>
      <c r="Z31">
        <f>'EXP FD A'!Z31+'EXP FD B'!Z31+'EXP FD C'!Z31</f>
        <v>1</v>
      </c>
      <c r="AA31">
        <f>'EXP FD A'!AA31+'EXP FD B'!AA31+'EXP FD C'!AA31</f>
        <v>1</v>
      </c>
      <c r="AB31">
        <f>'EXP FD A'!AB31+'EXP FD B'!AB31+'EXP FD C'!AB31</f>
        <v>1</v>
      </c>
      <c r="AC31">
        <f>'EXP FD A'!AC31+'EXP FD B'!AC31+'EXP FD C'!AC31</f>
        <v>1</v>
      </c>
      <c r="AD31">
        <f>'EXP FD A'!AD31+'EXP FD B'!AD31+'EXP FD C'!AD31</f>
        <v>1</v>
      </c>
      <c r="AE31">
        <f>'EXP FD A'!AE31+'EXP FD B'!AE31+'EXP FD C'!AE31</f>
        <v>1</v>
      </c>
      <c r="AF31">
        <f>'EXP FD A'!AF31+'EXP FD B'!AF31+'EXP FD C'!AF31</f>
        <v>1</v>
      </c>
      <c r="AG31">
        <f>'EXP FD A'!AG31+'EXP FD B'!AG31+'EXP FD C'!AG31</f>
        <v>1</v>
      </c>
      <c r="AH31">
        <f>'EXP FD A'!AH31+'EXP FD B'!AH31+'EXP FD C'!AH31</f>
        <v>1</v>
      </c>
      <c r="AI31">
        <f>'EXP FD A'!AI31+'EXP FD B'!AI31+'EXP FD C'!AI31</f>
        <v>1</v>
      </c>
      <c r="AJ31">
        <f>'EXP FD A'!AJ31+'EXP FD B'!AJ31+'EXP FD C'!AJ31</f>
        <v>1</v>
      </c>
      <c r="AK31">
        <f>'EXP FD A'!AK31+'EXP FD B'!AK31+'EXP FD C'!AK31</f>
        <v>1</v>
      </c>
      <c r="AL31">
        <f>'EXP FD A'!AL31+'EXP FD B'!AL31+'EXP FD C'!AL31</f>
        <v>1</v>
      </c>
      <c r="AM31">
        <f>'EXP FD A'!AM31+'EXP FD B'!AM31+'EXP FD C'!AM31</f>
        <v>1</v>
      </c>
      <c r="AN31">
        <f>'EXP FD A'!AN31+'EXP FD B'!AN31+'EXP FD C'!AN31</f>
        <v>1</v>
      </c>
      <c r="AO31">
        <f>'EXP FD A'!AO31+'EXP FD B'!AO31+'EXP FD C'!AO31</f>
        <v>1</v>
      </c>
      <c r="AP31">
        <f>'EXP FD A'!AP31+'EXP FD B'!AP31+'EXP FD C'!AP31</f>
        <v>1</v>
      </c>
      <c r="AQ31">
        <f>'EXP FD A'!AQ31+'EXP FD B'!AQ31+'EXP FD C'!AQ31</f>
        <v>1</v>
      </c>
      <c r="AR31">
        <f>'EXP FD A'!AR31+'EXP FD B'!AR31+'EXP FD C'!AR31</f>
        <v>1</v>
      </c>
      <c r="AS31">
        <f>'EXP FD A'!AS31+'EXP FD B'!AS31+'EXP FD C'!AS31</f>
        <v>1</v>
      </c>
      <c r="AT31">
        <f>'EXP FD A'!AT31+'EXP FD B'!AT31+'EXP FD C'!AT31</f>
        <v>1</v>
      </c>
      <c r="AU31">
        <f>'EXP FD A'!AU31+'EXP FD B'!AU31+'EXP FD C'!AU31</f>
        <v>1</v>
      </c>
      <c r="AV31">
        <f>'EXP FD A'!AV31+'EXP FD B'!AV31+'EXP FD C'!AV31</f>
        <v>1</v>
      </c>
      <c r="AW31">
        <f>'EXP FD A'!AW31+'EXP FD B'!AW31+'EXP FD C'!AW31</f>
        <v>1</v>
      </c>
      <c r="AX31">
        <f>'EXP FD A'!AX31+'EXP FD B'!AX31+'EXP FD C'!AX31</f>
        <v>1</v>
      </c>
      <c r="AY31">
        <f>'EXP FD A'!AY31+'EXP FD B'!AY31+'EXP FD C'!AY31</f>
        <v>1</v>
      </c>
      <c r="AZ31">
        <f>'EXP FD A'!AZ31+'EXP FD B'!AZ31+'EXP FD C'!AZ31</f>
        <v>1</v>
      </c>
      <c r="BA31" s="6"/>
    </row>
    <row r="32" spans="1:53" x14ac:dyDescent="0.2">
      <c r="A32">
        <f t="shared" si="1"/>
        <v>33</v>
      </c>
      <c r="B32" s="3">
        <f t="shared" si="0"/>
        <v>66</v>
      </c>
      <c r="C32">
        <f>'EXP FD A'!C32+'EXP FD B'!C32+'EXP FD C'!C32</f>
        <v>1</v>
      </c>
      <c r="D32">
        <f>'EXP FD A'!D32+'EXP FD B'!D32+'EXP FD C'!D32</f>
        <v>1</v>
      </c>
      <c r="E32">
        <f>'EXP FD A'!E32+'EXP FD B'!E32+'EXP FD C'!E32</f>
        <v>1</v>
      </c>
      <c r="F32">
        <f>'EXP FD A'!F32+'EXP FD B'!F32+'EXP FD C'!F32</f>
        <v>1</v>
      </c>
      <c r="G32">
        <f>'EXP FD A'!G32+'EXP FD B'!G32+'EXP FD C'!G32</f>
        <v>1</v>
      </c>
      <c r="H32">
        <f>'EXP FD A'!H32+'EXP FD B'!H32+'EXP FD C'!H32</f>
        <v>1</v>
      </c>
      <c r="I32">
        <f>'EXP FD A'!I32+'EXP FD B'!I32+'EXP FD C'!I32</f>
        <v>1</v>
      </c>
      <c r="J32">
        <f>'EXP FD A'!J32+'EXP FD B'!J32+'EXP FD C'!J32</f>
        <v>1</v>
      </c>
      <c r="K32">
        <f>'EXP FD A'!K32+'EXP FD B'!K32+'EXP FD C'!K32</f>
        <v>1</v>
      </c>
      <c r="L32">
        <f>'EXP FD A'!L32+'EXP FD B'!L32+'EXP FD C'!L32</f>
        <v>1</v>
      </c>
      <c r="M32">
        <f>'EXP FD A'!M32+'EXP FD B'!M32+'EXP FD C'!M32</f>
        <v>1</v>
      </c>
      <c r="N32">
        <f>'EXP FD A'!N32+'EXP FD B'!N32+'EXP FD C'!N32</f>
        <v>1</v>
      </c>
      <c r="O32">
        <f>'EXP FD A'!O32+'EXP FD B'!O32+'EXP FD C'!O32</f>
        <v>1</v>
      </c>
      <c r="P32">
        <f>'EXP FD A'!P32+'EXP FD B'!P32+'EXP FD C'!P32</f>
        <v>1</v>
      </c>
      <c r="Q32">
        <f>'EXP FD A'!Q32+'EXP FD B'!Q32+'EXP FD C'!Q32</f>
        <v>1</v>
      </c>
      <c r="R32">
        <f>'EXP FD A'!R32+'EXP FD B'!R32+'EXP FD C'!R32</f>
        <v>1</v>
      </c>
      <c r="S32">
        <f>'EXP FD A'!S32+'EXP FD B'!S32+'EXP FD C'!S32</f>
        <v>1</v>
      </c>
      <c r="T32">
        <f>'EXP FD A'!T32+'EXP FD B'!T32+'EXP FD C'!T32</f>
        <v>1</v>
      </c>
      <c r="U32">
        <f>'EXP FD A'!U32+'EXP FD B'!U32+'EXP FD C'!U32</f>
        <v>1</v>
      </c>
      <c r="V32">
        <f>'EXP FD A'!V32+'EXP FD B'!V32+'EXP FD C'!V32</f>
        <v>1</v>
      </c>
      <c r="W32">
        <f>'EXP FD A'!W32+'EXP FD B'!W32+'EXP FD C'!W32</f>
        <v>1</v>
      </c>
      <c r="X32">
        <f>'EXP FD A'!X32+'EXP FD B'!X32+'EXP FD C'!X32</f>
        <v>1</v>
      </c>
      <c r="Y32">
        <f>'EXP FD A'!Y32+'EXP FD B'!Y32+'EXP FD C'!Y32</f>
        <v>1</v>
      </c>
      <c r="Z32">
        <f>'EXP FD A'!Z32+'EXP FD B'!Z32+'EXP FD C'!Z32</f>
        <v>1</v>
      </c>
      <c r="AA32">
        <f>'EXP FD A'!AA32+'EXP FD B'!AA32+'EXP FD C'!AA32</f>
        <v>1</v>
      </c>
      <c r="AB32">
        <f>'EXP FD A'!AB32+'EXP FD B'!AB32+'EXP FD C'!AB32</f>
        <v>1</v>
      </c>
      <c r="AC32">
        <f>'EXP FD A'!AC32+'EXP FD B'!AC32+'EXP FD C'!AC32</f>
        <v>1</v>
      </c>
      <c r="AD32">
        <f>'EXP FD A'!AD32+'EXP FD B'!AD32+'EXP FD C'!AD32</f>
        <v>1</v>
      </c>
      <c r="AE32">
        <f>'EXP FD A'!AE32+'EXP FD B'!AE32+'EXP FD C'!AE32</f>
        <v>1</v>
      </c>
      <c r="AF32">
        <f>'EXP FD A'!AF32+'EXP FD B'!AF32+'EXP FD C'!AF32</f>
        <v>1</v>
      </c>
      <c r="AG32">
        <f>'EXP FD A'!AG32+'EXP FD B'!AG32+'EXP FD C'!AG32</f>
        <v>1</v>
      </c>
      <c r="AH32">
        <f>'EXP FD A'!AH32+'EXP FD B'!AH32+'EXP FD C'!AH32</f>
        <v>1</v>
      </c>
      <c r="AI32">
        <f>'EXP FD A'!AI32+'EXP FD B'!AI32+'EXP FD C'!AI32</f>
        <v>1</v>
      </c>
      <c r="AJ32">
        <f>'EXP FD A'!AJ32+'EXP FD B'!AJ32+'EXP FD C'!AJ32</f>
        <v>1</v>
      </c>
      <c r="AK32">
        <f>'EXP FD A'!AK32+'EXP FD B'!AK32+'EXP FD C'!AK32</f>
        <v>1</v>
      </c>
      <c r="AL32">
        <f>'EXP FD A'!AL32+'EXP FD B'!AL32+'EXP FD C'!AL32</f>
        <v>1</v>
      </c>
      <c r="AM32">
        <f>'EXP FD A'!AM32+'EXP FD B'!AM32+'EXP FD C'!AM32</f>
        <v>1</v>
      </c>
      <c r="AN32">
        <f>'EXP FD A'!AN32+'EXP FD B'!AN32+'EXP FD C'!AN32</f>
        <v>1</v>
      </c>
      <c r="AO32">
        <f>'EXP FD A'!AO32+'EXP FD B'!AO32+'EXP FD C'!AO32</f>
        <v>1</v>
      </c>
      <c r="AP32">
        <f>'EXP FD A'!AP32+'EXP FD B'!AP32+'EXP FD C'!AP32</f>
        <v>1</v>
      </c>
      <c r="AQ32">
        <f>'EXP FD A'!AQ32+'EXP FD B'!AQ32+'EXP FD C'!AQ32</f>
        <v>1</v>
      </c>
      <c r="AR32">
        <f>'EXP FD A'!AR32+'EXP FD B'!AR32+'EXP FD C'!AR32</f>
        <v>1</v>
      </c>
      <c r="AS32">
        <f>'EXP FD A'!AS32+'EXP FD B'!AS32+'EXP FD C'!AS32</f>
        <v>1</v>
      </c>
      <c r="AT32">
        <f>'EXP FD A'!AT32+'EXP FD B'!AT32+'EXP FD C'!AT32</f>
        <v>1</v>
      </c>
      <c r="AU32">
        <f>'EXP FD A'!AU32+'EXP FD B'!AU32+'EXP FD C'!AU32</f>
        <v>1</v>
      </c>
      <c r="AV32">
        <f>'EXP FD A'!AV32+'EXP FD B'!AV32+'EXP FD C'!AV32</f>
        <v>1</v>
      </c>
      <c r="AW32">
        <f>'EXP FD A'!AW32+'EXP FD B'!AW32+'EXP FD C'!AW32</f>
        <v>1</v>
      </c>
      <c r="AX32">
        <f>'EXP FD A'!AX32+'EXP FD B'!AX32+'EXP FD C'!AX32</f>
        <v>1</v>
      </c>
      <c r="AY32">
        <f>'EXP FD A'!AY32+'EXP FD B'!AY32+'EXP FD C'!AY32</f>
        <v>1</v>
      </c>
      <c r="AZ32">
        <f>'EXP FD A'!AZ32+'EXP FD B'!AZ32+'EXP FD C'!AZ32</f>
        <v>1</v>
      </c>
      <c r="BA32" s="6"/>
    </row>
    <row r="33" spans="1:53" x14ac:dyDescent="0.2">
      <c r="A33">
        <f t="shared" si="1"/>
        <v>32</v>
      </c>
      <c r="B33" s="3">
        <f t="shared" si="0"/>
        <v>64</v>
      </c>
      <c r="C33">
        <f>'EXP FD A'!C33+'EXP FD B'!C33+'EXP FD C'!C33</f>
        <v>1</v>
      </c>
      <c r="D33">
        <f>'EXP FD A'!D33+'EXP FD B'!D33+'EXP FD C'!D33</f>
        <v>1</v>
      </c>
      <c r="E33">
        <f>'EXP FD A'!E33+'EXP FD B'!E33+'EXP FD C'!E33</f>
        <v>1</v>
      </c>
      <c r="F33">
        <f>'EXP FD A'!F33+'EXP FD B'!F33+'EXP FD C'!F33</f>
        <v>1</v>
      </c>
      <c r="G33">
        <f>'EXP FD A'!G33+'EXP FD B'!G33+'EXP FD C'!G33</f>
        <v>1</v>
      </c>
      <c r="H33">
        <f>'EXP FD A'!H33+'EXP FD B'!H33+'EXP FD C'!H33</f>
        <v>1</v>
      </c>
      <c r="I33">
        <f>'EXP FD A'!I33+'EXP FD B'!I33+'EXP FD C'!I33</f>
        <v>1</v>
      </c>
      <c r="J33">
        <f>'EXP FD A'!J33+'EXP FD B'!J33+'EXP FD C'!J33</f>
        <v>1</v>
      </c>
      <c r="K33">
        <f>'EXP FD A'!K33+'EXP FD B'!K33+'EXP FD C'!K33</f>
        <v>1</v>
      </c>
      <c r="L33">
        <f>'EXP FD A'!L33+'EXP FD B'!L33+'EXP FD C'!L33</f>
        <v>1</v>
      </c>
      <c r="M33">
        <f>'EXP FD A'!M33+'EXP FD B'!M33+'EXP FD C'!M33</f>
        <v>1</v>
      </c>
      <c r="N33">
        <f>'EXP FD A'!N33+'EXP FD B'!N33+'EXP FD C'!N33</f>
        <v>1</v>
      </c>
      <c r="O33">
        <f>'EXP FD A'!O33+'EXP FD B'!O33+'EXP FD C'!O33</f>
        <v>1</v>
      </c>
      <c r="P33">
        <f>'EXP FD A'!P33+'EXP FD B'!P33+'EXP FD C'!P33</f>
        <v>1</v>
      </c>
      <c r="Q33">
        <f>'EXP FD A'!Q33+'EXP FD B'!Q33+'EXP FD C'!Q33</f>
        <v>1</v>
      </c>
      <c r="R33">
        <f>'EXP FD A'!R33+'EXP FD B'!R33+'EXP FD C'!R33</f>
        <v>1</v>
      </c>
      <c r="S33">
        <f>'EXP FD A'!S33+'EXP FD B'!S33+'EXP FD C'!S33</f>
        <v>1</v>
      </c>
      <c r="T33">
        <f>'EXP FD A'!T33+'EXP FD B'!T33+'EXP FD C'!T33</f>
        <v>1</v>
      </c>
      <c r="U33">
        <f>'EXP FD A'!U33+'EXP FD B'!U33+'EXP FD C'!U33</f>
        <v>1</v>
      </c>
      <c r="V33">
        <f>'EXP FD A'!V33+'EXP FD B'!V33+'EXP FD C'!V33</f>
        <v>1</v>
      </c>
      <c r="W33">
        <f>'EXP FD A'!W33+'EXP FD B'!W33+'EXP FD C'!W33</f>
        <v>1</v>
      </c>
      <c r="X33">
        <f>'EXP FD A'!X33+'EXP FD B'!X33+'EXP FD C'!X33</f>
        <v>1</v>
      </c>
      <c r="Y33">
        <f>'EXP FD A'!Y33+'EXP FD B'!Y33+'EXP FD C'!Y33</f>
        <v>1</v>
      </c>
      <c r="Z33">
        <f>'EXP FD A'!Z33+'EXP FD B'!Z33+'EXP FD C'!Z33</f>
        <v>1</v>
      </c>
      <c r="AA33">
        <f>'EXP FD A'!AA33+'EXP FD B'!AA33+'EXP FD C'!AA33</f>
        <v>1</v>
      </c>
      <c r="AB33">
        <f>'EXP FD A'!AB33+'EXP FD B'!AB33+'EXP FD C'!AB33</f>
        <v>1</v>
      </c>
      <c r="AC33">
        <f>'EXP FD A'!AC33+'EXP FD B'!AC33+'EXP FD C'!AC33</f>
        <v>1</v>
      </c>
      <c r="AD33">
        <f>'EXP FD A'!AD33+'EXP FD B'!AD33+'EXP FD C'!AD33</f>
        <v>1</v>
      </c>
      <c r="AE33">
        <f>'EXP FD A'!AE33+'EXP FD B'!AE33+'EXP FD C'!AE33</f>
        <v>1</v>
      </c>
      <c r="AF33">
        <f>'EXP FD A'!AF33+'EXP FD B'!AF33+'EXP FD C'!AF33</f>
        <v>1</v>
      </c>
      <c r="AG33">
        <f>'EXP FD A'!AG33+'EXP FD B'!AG33+'EXP FD C'!AG33</f>
        <v>1</v>
      </c>
      <c r="AH33">
        <f>'EXP FD A'!AH33+'EXP FD B'!AH33+'EXP FD C'!AH33</f>
        <v>1</v>
      </c>
      <c r="AI33">
        <f>'EXP FD A'!AI33+'EXP FD B'!AI33+'EXP FD C'!AI33</f>
        <v>1</v>
      </c>
      <c r="AJ33">
        <f>'EXP FD A'!AJ33+'EXP FD B'!AJ33+'EXP FD C'!AJ33</f>
        <v>1</v>
      </c>
      <c r="AK33">
        <f>'EXP FD A'!AK33+'EXP FD B'!AK33+'EXP FD C'!AK33</f>
        <v>1</v>
      </c>
      <c r="AL33">
        <f>'EXP FD A'!AL33+'EXP FD B'!AL33+'EXP FD C'!AL33</f>
        <v>1</v>
      </c>
      <c r="AM33">
        <f>'EXP FD A'!AM33+'EXP FD B'!AM33+'EXP FD C'!AM33</f>
        <v>1</v>
      </c>
      <c r="AN33">
        <f>'EXP FD A'!AN33+'EXP FD B'!AN33+'EXP FD C'!AN33</f>
        <v>1</v>
      </c>
      <c r="AO33">
        <f>'EXP FD A'!AO33+'EXP FD B'!AO33+'EXP FD C'!AO33</f>
        <v>1</v>
      </c>
      <c r="AP33">
        <f>'EXP FD A'!AP33+'EXP FD B'!AP33+'EXP FD C'!AP33</f>
        <v>1</v>
      </c>
      <c r="AQ33">
        <f>'EXP FD A'!AQ33+'EXP FD B'!AQ33+'EXP FD C'!AQ33</f>
        <v>1</v>
      </c>
      <c r="AR33">
        <f>'EXP FD A'!AR33+'EXP FD B'!AR33+'EXP FD C'!AR33</f>
        <v>1</v>
      </c>
      <c r="AS33">
        <f>'EXP FD A'!AS33+'EXP FD B'!AS33+'EXP FD C'!AS33</f>
        <v>1</v>
      </c>
      <c r="AT33">
        <f>'EXP FD A'!AT33+'EXP FD B'!AT33+'EXP FD C'!AT33</f>
        <v>1</v>
      </c>
      <c r="AU33">
        <f>'EXP FD A'!AU33+'EXP FD B'!AU33+'EXP FD C'!AU33</f>
        <v>1</v>
      </c>
      <c r="AV33">
        <f>'EXP FD A'!AV33+'EXP FD B'!AV33+'EXP FD C'!AV33</f>
        <v>1</v>
      </c>
      <c r="AW33">
        <f>'EXP FD A'!AW33+'EXP FD B'!AW33+'EXP FD C'!AW33</f>
        <v>1</v>
      </c>
      <c r="AX33">
        <f>'EXP FD A'!AX33+'EXP FD B'!AX33+'EXP FD C'!AX33</f>
        <v>1</v>
      </c>
      <c r="AY33">
        <f>'EXP FD A'!AY33+'EXP FD B'!AY33+'EXP FD C'!AY33</f>
        <v>1</v>
      </c>
      <c r="AZ33">
        <f>'EXP FD A'!AZ33+'EXP FD B'!AZ33+'EXP FD C'!AZ33</f>
        <v>1</v>
      </c>
      <c r="BA33" s="6"/>
    </row>
    <row r="34" spans="1:53" x14ac:dyDescent="0.2">
      <c r="A34">
        <f t="shared" si="1"/>
        <v>31</v>
      </c>
      <c r="B34" s="3">
        <f t="shared" si="0"/>
        <v>62</v>
      </c>
      <c r="C34">
        <f>'EXP FD A'!C34+'EXP FD B'!C34+'EXP FD C'!C34</f>
        <v>1</v>
      </c>
      <c r="D34">
        <f>'EXP FD A'!D34+'EXP FD B'!D34+'EXP FD C'!D34</f>
        <v>1</v>
      </c>
      <c r="E34">
        <f>'EXP FD A'!E34+'EXP FD B'!E34+'EXP FD C'!E34</f>
        <v>1</v>
      </c>
      <c r="F34">
        <f>'EXP FD A'!F34+'EXP FD B'!F34+'EXP FD C'!F34</f>
        <v>1</v>
      </c>
      <c r="G34">
        <f>'EXP FD A'!G34+'EXP FD B'!G34+'EXP FD C'!G34</f>
        <v>1</v>
      </c>
      <c r="H34">
        <f>'EXP FD A'!H34+'EXP FD B'!H34+'EXP FD C'!H34</f>
        <v>1</v>
      </c>
      <c r="I34">
        <f>'EXP FD A'!I34+'EXP FD B'!I34+'EXP FD C'!I34</f>
        <v>1</v>
      </c>
      <c r="J34">
        <f>'EXP FD A'!J34+'EXP FD B'!J34+'EXP FD C'!J34</f>
        <v>1</v>
      </c>
      <c r="K34">
        <f>'EXP FD A'!K34+'EXP FD B'!K34+'EXP FD C'!K34</f>
        <v>1</v>
      </c>
      <c r="L34">
        <f>'EXP FD A'!L34+'EXP FD B'!L34+'EXP FD C'!L34</f>
        <v>1</v>
      </c>
      <c r="M34">
        <f>'EXP FD A'!M34+'EXP FD B'!M34+'EXP FD C'!M34</f>
        <v>1</v>
      </c>
      <c r="N34">
        <f>'EXP FD A'!N34+'EXP FD B'!N34+'EXP FD C'!N34</f>
        <v>1</v>
      </c>
      <c r="O34">
        <f>'EXP FD A'!O34+'EXP FD B'!O34+'EXP FD C'!O34</f>
        <v>1</v>
      </c>
      <c r="P34">
        <f>'EXP FD A'!P34+'EXP FD B'!P34+'EXP FD C'!P34</f>
        <v>1</v>
      </c>
      <c r="Q34">
        <f>'EXP FD A'!Q34+'EXP FD B'!Q34+'EXP FD C'!Q34</f>
        <v>1</v>
      </c>
      <c r="R34">
        <f>'EXP FD A'!R34+'EXP FD B'!R34+'EXP FD C'!R34</f>
        <v>1</v>
      </c>
      <c r="S34">
        <f>'EXP FD A'!S34+'EXP FD B'!S34+'EXP FD C'!S34</f>
        <v>1</v>
      </c>
      <c r="T34">
        <f>'EXP FD A'!T34+'EXP FD B'!T34+'EXP FD C'!T34</f>
        <v>1</v>
      </c>
      <c r="U34">
        <f>'EXP FD A'!U34+'EXP FD B'!U34+'EXP FD C'!U34</f>
        <v>1</v>
      </c>
      <c r="V34">
        <f>'EXP FD A'!V34+'EXP FD B'!V34+'EXP FD C'!V34</f>
        <v>1</v>
      </c>
      <c r="W34">
        <f>'EXP FD A'!W34+'EXP FD B'!W34+'EXP FD C'!W34</f>
        <v>1</v>
      </c>
      <c r="X34">
        <f>'EXP FD A'!X34+'EXP FD B'!X34+'EXP FD C'!X34</f>
        <v>1</v>
      </c>
      <c r="Y34">
        <f>'EXP FD A'!Y34+'EXP FD B'!Y34+'EXP FD C'!Y34</f>
        <v>1</v>
      </c>
      <c r="Z34">
        <f>'EXP FD A'!Z34+'EXP FD B'!Z34+'EXP FD C'!Z34</f>
        <v>1</v>
      </c>
      <c r="AA34">
        <f>'EXP FD A'!AA34+'EXP FD B'!AA34+'EXP FD C'!AA34</f>
        <v>1</v>
      </c>
      <c r="AB34">
        <f>'EXP FD A'!AB34+'EXP FD B'!AB34+'EXP FD C'!AB34</f>
        <v>1</v>
      </c>
      <c r="AC34">
        <f>'EXP FD A'!AC34+'EXP FD B'!AC34+'EXP FD C'!AC34</f>
        <v>1</v>
      </c>
      <c r="AD34">
        <f>'EXP FD A'!AD34+'EXP FD B'!AD34+'EXP FD C'!AD34</f>
        <v>1</v>
      </c>
      <c r="AE34">
        <f>'EXP FD A'!AE34+'EXP FD B'!AE34+'EXP FD C'!AE34</f>
        <v>1</v>
      </c>
      <c r="AF34">
        <f>'EXP FD A'!AF34+'EXP FD B'!AF34+'EXP FD C'!AF34</f>
        <v>1</v>
      </c>
      <c r="AG34">
        <f>'EXP FD A'!AG34+'EXP FD B'!AG34+'EXP FD C'!AG34</f>
        <v>1</v>
      </c>
      <c r="AH34">
        <f>'EXP FD A'!AH34+'EXP FD B'!AH34+'EXP FD C'!AH34</f>
        <v>1</v>
      </c>
      <c r="AI34">
        <f>'EXP FD A'!AI34+'EXP FD B'!AI34+'EXP FD C'!AI34</f>
        <v>1</v>
      </c>
      <c r="AJ34">
        <f>'EXP FD A'!AJ34+'EXP FD B'!AJ34+'EXP FD C'!AJ34</f>
        <v>1</v>
      </c>
      <c r="AK34">
        <f>'EXP FD A'!AK34+'EXP FD B'!AK34+'EXP FD C'!AK34</f>
        <v>1</v>
      </c>
      <c r="AL34">
        <f>'EXP FD A'!AL34+'EXP FD B'!AL34+'EXP FD C'!AL34</f>
        <v>1</v>
      </c>
      <c r="AM34">
        <f>'EXP FD A'!AM34+'EXP FD B'!AM34+'EXP FD C'!AM34</f>
        <v>1</v>
      </c>
      <c r="AN34">
        <f>'EXP FD A'!AN34+'EXP FD B'!AN34+'EXP FD C'!AN34</f>
        <v>1</v>
      </c>
      <c r="AO34">
        <f>'EXP FD A'!AO34+'EXP FD B'!AO34+'EXP FD C'!AO34</f>
        <v>1</v>
      </c>
      <c r="AP34">
        <f>'EXP FD A'!AP34+'EXP FD B'!AP34+'EXP FD C'!AP34</f>
        <v>1</v>
      </c>
      <c r="AQ34">
        <f>'EXP FD A'!AQ34+'EXP FD B'!AQ34+'EXP FD C'!AQ34</f>
        <v>1</v>
      </c>
      <c r="AR34">
        <f>'EXP FD A'!AR34+'EXP FD B'!AR34+'EXP FD C'!AR34</f>
        <v>1</v>
      </c>
      <c r="AS34">
        <f>'EXP FD A'!AS34+'EXP FD B'!AS34+'EXP FD C'!AS34</f>
        <v>1</v>
      </c>
      <c r="AT34">
        <f>'EXP FD A'!AT34+'EXP FD B'!AT34+'EXP FD C'!AT34</f>
        <v>1</v>
      </c>
      <c r="AU34">
        <f>'EXP FD A'!AU34+'EXP FD B'!AU34+'EXP FD C'!AU34</f>
        <v>1</v>
      </c>
      <c r="AV34">
        <f>'EXP FD A'!AV34+'EXP FD B'!AV34+'EXP FD C'!AV34</f>
        <v>1</v>
      </c>
      <c r="AW34">
        <f>'EXP FD A'!AW34+'EXP FD B'!AW34+'EXP FD C'!AW34</f>
        <v>1</v>
      </c>
      <c r="AX34">
        <f>'EXP FD A'!AX34+'EXP FD B'!AX34+'EXP FD C'!AX34</f>
        <v>1</v>
      </c>
      <c r="AY34">
        <f>'EXP FD A'!AY34+'EXP FD B'!AY34+'EXP FD C'!AY34</f>
        <v>1</v>
      </c>
      <c r="AZ34">
        <f>'EXP FD A'!AZ34+'EXP FD B'!AZ34+'EXP FD C'!AZ34</f>
        <v>1</v>
      </c>
      <c r="BA34" s="6"/>
    </row>
    <row r="35" spans="1:53" x14ac:dyDescent="0.2">
      <c r="A35">
        <f t="shared" si="1"/>
        <v>30</v>
      </c>
      <c r="B35" s="3">
        <f t="shared" si="0"/>
        <v>60</v>
      </c>
      <c r="C35">
        <f>'EXP FD A'!C35+'EXP FD B'!C35+'EXP FD C'!C35</f>
        <v>0.99999999999999989</v>
      </c>
      <c r="D35">
        <f>'EXP FD A'!D35+'EXP FD B'!D35+'EXP FD C'!D35</f>
        <v>0.99999999999999989</v>
      </c>
      <c r="E35">
        <f>'EXP FD A'!E35+'EXP FD B'!E35+'EXP FD C'!E35</f>
        <v>0.99999999999999989</v>
      </c>
      <c r="F35">
        <f>'EXP FD A'!F35+'EXP FD B'!F35+'EXP FD C'!F35</f>
        <v>0.99999999999999989</v>
      </c>
      <c r="G35">
        <f>'EXP FD A'!G35+'EXP FD B'!G35+'EXP FD C'!G35</f>
        <v>0.99999999999999989</v>
      </c>
      <c r="H35">
        <f>'EXP FD A'!H35+'EXP FD B'!H35+'EXP FD C'!H35</f>
        <v>0.99999999999999989</v>
      </c>
      <c r="I35">
        <f>'EXP FD A'!I35+'EXP FD B'!I35+'EXP FD C'!I35</f>
        <v>0.99999999999999989</v>
      </c>
      <c r="J35">
        <f>'EXP FD A'!J35+'EXP FD B'!J35+'EXP FD C'!J35</f>
        <v>0.99999999999999989</v>
      </c>
      <c r="K35">
        <f>'EXP FD A'!K35+'EXP FD B'!K35+'EXP FD C'!K35</f>
        <v>0.99999999999999989</v>
      </c>
      <c r="L35">
        <f>'EXP FD A'!L35+'EXP FD B'!L35+'EXP FD C'!L35</f>
        <v>0.99999999999999989</v>
      </c>
      <c r="M35">
        <f>'EXP FD A'!M35+'EXP FD B'!M35+'EXP FD C'!M35</f>
        <v>0.99999999999999989</v>
      </c>
      <c r="N35">
        <f>'EXP FD A'!N35+'EXP FD B'!N35+'EXP FD C'!N35</f>
        <v>0.99999999999999989</v>
      </c>
      <c r="O35">
        <f>'EXP FD A'!O35+'EXP FD B'!O35+'EXP FD C'!O35</f>
        <v>0.99999999999999989</v>
      </c>
      <c r="P35">
        <f>'EXP FD A'!P35+'EXP FD B'!P35+'EXP FD C'!P35</f>
        <v>0.99999999999999989</v>
      </c>
      <c r="Q35">
        <f>'EXP FD A'!Q35+'EXP FD B'!Q35+'EXP FD C'!Q35</f>
        <v>0.99999999999999989</v>
      </c>
      <c r="R35">
        <f>'EXP FD A'!R35+'EXP FD B'!R35+'EXP FD C'!R35</f>
        <v>0.99999999999999989</v>
      </c>
      <c r="S35">
        <f>'EXP FD A'!S35+'EXP FD B'!S35+'EXP FD C'!S35</f>
        <v>0.99999999999999989</v>
      </c>
      <c r="T35">
        <f>'EXP FD A'!T35+'EXP FD B'!T35+'EXP FD C'!T35</f>
        <v>0.99999999999999989</v>
      </c>
      <c r="U35">
        <f>'EXP FD A'!U35+'EXP FD B'!U35+'EXP FD C'!U35</f>
        <v>0.99999999999999989</v>
      </c>
      <c r="V35">
        <f>'EXP FD A'!V35+'EXP FD B'!V35+'EXP FD C'!V35</f>
        <v>0.99999999999999989</v>
      </c>
      <c r="W35">
        <f>'EXP FD A'!W35+'EXP FD B'!W35+'EXP FD C'!W35</f>
        <v>0.99999999999999989</v>
      </c>
      <c r="X35">
        <f>'EXP FD A'!X35+'EXP FD B'!X35+'EXP FD C'!X35</f>
        <v>0.99999999999999989</v>
      </c>
      <c r="Y35">
        <f>'EXP FD A'!Y35+'EXP FD B'!Y35+'EXP FD C'!Y35</f>
        <v>0.99999999999999989</v>
      </c>
      <c r="Z35">
        <f>'EXP FD A'!Z35+'EXP FD B'!Z35+'EXP FD C'!Z35</f>
        <v>0.99999999999999989</v>
      </c>
      <c r="AA35">
        <f>'EXP FD A'!AA35+'EXP FD B'!AA35+'EXP FD C'!AA35</f>
        <v>0.99999999999999989</v>
      </c>
      <c r="AB35">
        <f>'EXP FD A'!AB35+'EXP FD B'!AB35+'EXP FD C'!AB35</f>
        <v>0.99999999999999989</v>
      </c>
      <c r="AC35">
        <f>'EXP FD A'!AC35+'EXP FD B'!AC35+'EXP FD C'!AC35</f>
        <v>0.99999999999999989</v>
      </c>
      <c r="AD35">
        <f>'EXP FD A'!AD35+'EXP FD B'!AD35+'EXP FD C'!AD35</f>
        <v>0.99999999999999989</v>
      </c>
      <c r="AE35">
        <f>'EXP FD A'!AE35+'EXP FD B'!AE35+'EXP FD C'!AE35</f>
        <v>0.99999999999999989</v>
      </c>
      <c r="AF35">
        <f>'EXP FD A'!AF35+'EXP FD B'!AF35+'EXP FD C'!AF35</f>
        <v>0.99999999999999989</v>
      </c>
      <c r="AG35">
        <f>'EXP FD A'!AG35+'EXP FD B'!AG35+'EXP FD C'!AG35</f>
        <v>0.99999999999999989</v>
      </c>
      <c r="AH35">
        <f>'EXP FD A'!AH35+'EXP FD B'!AH35+'EXP FD C'!AH35</f>
        <v>0.99999999999999989</v>
      </c>
      <c r="AI35">
        <f>'EXP FD A'!AI35+'EXP FD B'!AI35+'EXP FD C'!AI35</f>
        <v>0.99999999999999989</v>
      </c>
      <c r="AJ35">
        <f>'EXP FD A'!AJ35+'EXP FD B'!AJ35+'EXP FD C'!AJ35</f>
        <v>0.99999999999999989</v>
      </c>
      <c r="AK35">
        <f>'EXP FD A'!AK35+'EXP FD B'!AK35+'EXP FD C'!AK35</f>
        <v>0.99999999999999989</v>
      </c>
      <c r="AL35">
        <f>'EXP FD A'!AL35+'EXP FD B'!AL35+'EXP FD C'!AL35</f>
        <v>0.99999999999999989</v>
      </c>
      <c r="AM35">
        <f>'EXP FD A'!AM35+'EXP FD B'!AM35+'EXP FD C'!AM35</f>
        <v>0.99999999999999989</v>
      </c>
      <c r="AN35">
        <f>'EXP FD A'!AN35+'EXP FD B'!AN35+'EXP FD C'!AN35</f>
        <v>0.99999999999999989</v>
      </c>
      <c r="AO35">
        <f>'EXP FD A'!AO35+'EXP FD B'!AO35+'EXP FD C'!AO35</f>
        <v>0.99999999999999989</v>
      </c>
      <c r="AP35">
        <f>'EXP FD A'!AP35+'EXP FD B'!AP35+'EXP FD C'!AP35</f>
        <v>0.99999999999999989</v>
      </c>
      <c r="AQ35">
        <f>'EXP FD A'!AQ35+'EXP FD B'!AQ35+'EXP FD C'!AQ35</f>
        <v>0.99999999999999989</v>
      </c>
      <c r="AR35">
        <f>'EXP FD A'!AR35+'EXP FD B'!AR35+'EXP FD C'!AR35</f>
        <v>0.99999999999999989</v>
      </c>
      <c r="AS35">
        <f>'EXP FD A'!AS35+'EXP FD B'!AS35+'EXP FD C'!AS35</f>
        <v>0.99999999999999989</v>
      </c>
      <c r="AT35">
        <f>'EXP FD A'!AT35+'EXP FD B'!AT35+'EXP FD C'!AT35</f>
        <v>0.99999999999999989</v>
      </c>
      <c r="AU35">
        <f>'EXP FD A'!AU35+'EXP FD B'!AU35+'EXP FD C'!AU35</f>
        <v>0.99999999999999989</v>
      </c>
      <c r="AV35">
        <f>'EXP FD A'!AV35+'EXP FD B'!AV35+'EXP FD C'!AV35</f>
        <v>0.99999999999999989</v>
      </c>
      <c r="AW35">
        <f>'EXP FD A'!AW35+'EXP FD B'!AW35+'EXP FD C'!AW35</f>
        <v>0.99999999999999989</v>
      </c>
      <c r="AX35">
        <f>'EXP FD A'!AX35+'EXP FD B'!AX35+'EXP FD C'!AX35</f>
        <v>0.99999999999999989</v>
      </c>
      <c r="AY35">
        <f>'EXP FD A'!AY35+'EXP FD B'!AY35+'EXP FD C'!AY35</f>
        <v>0.99999999999999989</v>
      </c>
      <c r="AZ35">
        <f>'EXP FD A'!AZ35+'EXP FD B'!AZ35+'EXP FD C'!AZ35</f>
        <v>0.99999999999999989</v>
      </c>
      <c r="BA35" s="6"/>
    </row>
    <row r="36" spans="1:53" x14ac:dyDescent="0.2">
      <c r="A36">
        <f t="shared" si="1"/>
        <v>29</v>
      </c>
      <c r="B36" s="3">
        <f t="shared" si="0"/>
        <v>58</v>
      </c>
      <c r="C36">
        <f>'EXP FD A'!C36+'EXP FD B'!C36+'EXP FD C'!C36</f>
        <v>1</v>
      </c>
      <c r="D36">
        <f>'EXP FD A'!D36+'EXP FD B'!D36+'EXP FD C'!D36</f>
        <v>1</v>
      </c>
      <c r="E36">
        <f>'EXP FD A'!E36+'EXP FD B'!E36+'EXP FD C'!E36</f>
        <v>1</v>
      </c>
      <c r="F36">
        <f>'EXP FD A'!F36+'EXP FD B'!F36+'EXP FD C'!F36</f>
        <v>1</v>
      </c>
      <c r="G36">
        <f>'EXP FD A'!G36+'EXP FD B'!G36+'EXP FD C'!G36</f>
        <v>1</v>
      </c>
      <c r="H36">
        <f>'EXP FD A'!H36+'EXP FD B'!H36+'EXP FD C'!H36</f>
        <v>1</v>
      </c>
      <c r="I36">
        <f>'EXP FD A'!I36+'EXP FD B'!I36+'EXP FD C'!I36</f>
        <v>1</v>
      </c>
      <c r="J36">
        <f>'EXP FD A'!J36+'EXP FD B'!J36+'EXP FD C'!J36</f>
        <v>1</v>
      </c>
      <c r="K36">
        <f>'EXP FD A'!K36+'EXP FD B'!K36+'EXP FD C'!K36</f>
        <v>1</v>
      </c>
      <c r="L36">
        <f>'EXP FD A'!L36+'EXP FD B'!L36+'EXP FD C'!L36</f>
        <v>1</v>
      </c>
      <c r="M36">
        <f>'EXP FD A'!M36+'EXP FD B'!M36+'EXP FD C'!M36</f>
        <v>1</v>
      </c>
      <c r="N36">
        <f>'EXP FD A'!N36+'EXP FD B'!N36+'EXP FD C'!N36</f>
        <v>1</v>
      </c>
      <c r="O36">
        <f>'EXP FD A'!O36+'EXP FD B'!O36+'EXP FD C'!O36</f>
        <v>1</v>
      </c>
      <c r="P36">
        <f>'EXP FD A'!P36+'EXP FD B'!P36+'EXP FD C'!P36</f>
        <v>1</v>
      </c>
      <c r="Q36">
        <f>'EXP FD A'!Q36+'EXP FD B'!Q36+'EXP FD C'!Q36</f>
        <v>1</v>
      </c>
      <c r="R36">
        <f>'EXP FD A'!R36+'EXP FD B'!R36+'EXP FD C'!R36</f>
        <v>1</v>
      </c>
      <c r="S36">
        <f>'EXP FD A'!S36+'EXP FD B'!S36+'EXP FD C'!S36</f>
        <v>1</v>
      </c>
      <c r="T36">
        <f>'EXP FD A'!T36+'EXP FD B'!T36+'EXP FD C'!T36</f>
        <v>1</v>
      </c>
      <c r="U36">
        <f>'EXP FD A'!U36+'EXP FD B'!U36+'EXP FD C'!U36</f>
        <v>1</v>
      </c>
      <c r="V36">
        <f>'EXP FD A'!V36+'EXP FD B'!V36+'EXP FD C'!V36</f>
        <v>1</v>
      </c>
      <c r="W36">
        <f>'EXP FD A'!W36+'EXP FD B'!W36+'EXP FD C'!W36</f>
        <v>1</v>
      </c>
      <c r="X36">
        <f>'EXP FD A'!X36+'EXP FD B'!X36+'EXP FD C'!X36</f>
        <v>1</v>
      </c>
      <c r="Y36">
        <f>'EXP FD A'!Y36+'EXP FD B'!Y36+'EXP FD C'!Y36</f>
        <v>1</v>
      </c>
      <c r="Z36">
        <f>'EXP FD A'!Z36+'EXP FD B'!Z36+'EXP FD C'!Z36</f>
        <v>1</v>
      </c>
      <c r="AA36">
        <f>'EXP FD A'!AA36+'EXP FD B'!AA36+'EXP FD C'!AA36</f>
        <v>1</v>
      </c>
      <c r="AB36">
        <f>'EXP FD A'!AB36+'EXP FD B'!AB36+'EXP FD C'!AB36</f>
        <v>1</v>
      </c>
      <c r="AC36">
        <f>'EXP FD A'!AC36+'EXP FD B'!AC36+'EXP FD C'!AC36</f>
        <v>1</v>
      </c>
      <c r="AD36">
        <f>'EXP FD A'!AD36+'EXP FD B'!AD36+'EXP FD C'!AD36</f>
        <v>1</v>
      </c>
      <c r="AE36">
        <f>'EXP FD A'!AE36+'EXP FD B'!AE36+'EXP FD C'!AE36</f>
        <v>1</v>
      </c>
      <c r="AF36">
        <f>'EXP FD A'!AF36+'EXP FD B'!AF36+'EXP FD C'!AF36</f>
        <v>1</v>
      </c>
      <c r="AG36">
        <f>'EXP FD A'!AG36+'EXP FD B'!AG36+'EXP FD C'!AG36</f>
        <v>1</v>
      </c>
      <c r="AH36">
        <f>'EXP FD A'!AH36+'EXP FD B'!AH36+'EXP FD C'!AH36</f>
        <v>1</v>
      </c>
      <c r="AI36">
        <f>'EXP FD A'!AI36+'EXP FD B'!AI36+'EXP FD C'!AI36</f>
        <v>1</v>
      </c>
      <c r="AJ36">
        <f>'EXP FD A'!AJ36+'EXP FD B'!AJ36+'EXP FD C'!AJ36</f>
        <v>1</v>
      </c>
      <c r="AK36">
        <f>'EXP FD A'!AK36+'EXP FD B'!AK36+'EXP FD C'!AK36</f>
        <v>1</v>
      </c>
      <c r="AL36">
        <f>'EXP FD A'!AL36+'EXP FD B'!AL36+'EXP FD C'!AL36</f>
        <v>1</v>
      </c>
      <c r="AM36">
        <f>'EXP FD A'!AM36+'EXP FD B'!AM36+'EXP FD C'!AM36</f>
        <v>1</v>
      </c>
      <c r="AN36">
        <f>'EXP FD A'!AN36+'EXP FD B'!AN36+'EXP FD C'!AN36</f>
        <v>1</v>
      </c>
      <c r="AO36">
        <f>'EXP FD A'!AO36+'EXP FD B'!AO36+'EXP FD C'!AO36</f>
        <v>1</v>
      </c>
      <c r="AP36">
        <f>'EXP FD A'!AP36+'EXP FD B'!AP36+'EXP FD C'!AP36</f>
        <v>1</v>
      </c>
      <c r="AQ36">
        <f>'EXP FD A'!AQ36+'EXP FD B'!AQ36+'EXP FD C'!AQ36</f>
        <v>1</v>
      </c>
      <c r="AR36">
        <f>'EXP FD A'!AR36+'EXP FD B'!AR36+'EXP FD C'!AR36</f>
        <v>1</v>
      </c>
      <c r="AS36">
        <f>'EXP FD A'!AS36+'EXP FD B'!AS36+'EXP FD C'!AS36</f>
        <v>1</v>
      </c>
      <c r="AT36">
        <f>'EXP FD A'!AT36+'EXP FD B'!AT36+'EXP FD C'!AT36</f>
        <v>1</v>
      </c>
      <c r="AU36">
        <f>'EXP FD A'!AU36+'EXP FD B'!AU36+'EXP FD C'!AU36</f>
        <v>1</v>
      </c>
      <c r="AV36">
        <f>'EXP FD A'!AV36+'EXP FD B'!AV36+'EXP FD C'!AV36</f>
        <v>1</v>
      </c>
      <c r="AW36">
        <f>'EXP FD A'!AW36+'EXP FD B'!AW36+'EXP FD C'!AW36</f>
        <v>1</v>
      </c>
      <c r="AX36">
        <f>'EXP FD A'!AX36+'EXP FD B'!AX36+'EXP FD C'!AX36</f>
        <v>1</v>
      </c>
      <c r="AY36">
        <f>'EXP FD A'!AY36+'EXP FD B'!AY36+'EXP FD C'!AY36</f>
        <v>1</v>
      </c>
      <c r="AZ36">
        <f>'EXP FD A'!AZ36+'EXP FD B'!AZ36+'EXP FD C'!AZ36</f>
        <v>1</v>
      </c>
      <c r="BA36" s="6"/>
    </row>
    <row r="37" spans="1:53" x14ac:dyDescent="0.2">
      <c r="A37">
        <f t="shared" si="1"/>
        <v>28</v>
      </c>
      <c r="B37" s="3">
        <f t="shared" si="0"/>
        <v>56</v>
      </c>
      <c r="C37">
        <f>'EXP FD A'!C37+'EXP FD B'!C37+'EXP FD C'!C37</f>
        <v>0.99999999999999989</v>
      </c>
      <c r="D37">
        <f>'EXP FD A'!D37+'EXP FD B'!D37+'EXP FD C'!D37</f>
        <v>0.99999999999999989</v>
      </c>
      <c r="E37">
        <f>'EXP FD A'!E37+'EXP FD B'!E37+'EXP FD C'!E37</f>
        <v>0.99999999999999989</v>
      </c>
      <c r="F37">
        <f>'EXP FD A'!F37+'EXP FD B'!F37+'EXP FD C'!F37</f>
        <v>0.99999999999999989</v>
      </c>
      <c r="G37">
        <f>'EXP FD A'!G37+'EXP FD B'!G37+'EXP FD C'!G37</f>
        <v>0.99999999999999989</v>
      </c>
      <c r="H37">
        <f>'EXP FD A'!H37+'EXP FD B'!H37+'EXP FD C'!H37</f>
        <v>0.99999999999999989</v>
      </c>
      <c r="I37">
        <f>'EXP FD A'!I37+'EXP FD B'!I37+'EXP FD C'!I37</f>
        <v>0.99999999999999989</v>
      </c>
      <c r="J37">
        <f>'EXP FD A'!J37+'EXP FD B'!J37+'EXP FD C'!J37</f>
        <v>0.99999999999999989</v>
      </c>
      <c r="K37">
        <f>'EXP FD A'!K37+'EXP FD B'!K37+'EXP FD C'!K37</f>
        <v>0.99999999999999989</v>
      </c>
      <c r="L37">
        <f>'EXP FD A'!L37+'EXP FD B'!L37+'EXP FD C'!L37</f>
        <v>0.99999999999999989</v>
      </c>
      <c r="M37">
        <f>'EXP FD A'!M37+'EXP FD B'!M37+'EXP FD C'!M37</f>
        <v>0.99999999999999989</v>
      </c>
      <c r="N37">
        <f>'EXP FD A'!N37+'EXP FD B'!N37+'EXP FD C'!N37</f>
        <v>0.99999999999999989</v>
      </c>
      <c r="O37">
        <f>'EXP FD A'!O37+'EXP FD B'!O37+'EXP FD C'!O37</f>
        <v>0.99999999999999989</v>
      </c>
      <c r="P37">
        <f>'EXP FD A'!P37+'EXP FD B'!P37+'EXP FD C'!P37</f>
        <v>0.99999999999999989</v>
      </c>
      <c r="Q37">
        <f>'EXP FD A'!Q37+'EXP FD B'!Q37+'EXP FD C'!Q37</f>
        <v>0.99999999999999989</v>
      </c>
      <c r="R37">
        <f>'EXP FD A'!R37+'EXP FD B'!R37+'EXP FD C'!R37</f>
        <v>0.99999999999999989</v>
      </c>
      <c r="S37">
        <f>'EXP FD A'!S37+'EXP FD B'!S37+'EXP FD C'!S37</f>
        <v>0.99999999999999989</v>
      </c>
      <c r="T37">
        <f>'EXP FD A'!T37+'EXP FD B'!T37+'EXP FD C'!T37</f>
        <v>0.99999999999999989</v>
      </c>
      <c r="U37">
        <f>'EXP FD A'!U37+'EXP FD B'!U37+'EXP FD C'!U37</f>
        <v>0.99999999999999989</v>
      </c>
      <c r="V37">
        <f>'EXP FD A'!V37+'EXP FD B'!V37+'EXP FD C'!V37</f>
        <v>0.99999999999999989</v>
      </c>
      <c r="W37">
        <f>'EXP FD A'!W37+'EXP FD B'!W37+'EXP FD C'!W37</f>
        <v>0.99999999999999989</v>
      </c>
      <c r="X37">
        <f>'EXP FD A'!X37+'EXP FD B'!X37+'EXP FD C'!X37</f>
        <v>0.99999999999999989</v>
      </c>
      <c r="Y37">
        <f>'EXP FD A'!Y37+'EXP FD B'!Y37+'EXP FD C'!Y37</f>
        <v>0.99999999999999989</v>
      </c>
      <c r="Z37">
        <f>'EXP FD A'!Z37+'EXP FD B'!Z37+'EXP FD C'!Z37</f>
        <v>0.99999999999999989</v>
      </c>
      <c r="AA37">
        <f>'EXP FD A'!AA37+'EXP FD B'!AA37+'EXP FD C'!AA37</f>
        <v>0.99999999999999989</v>
      </c>
      <c r="AB37">
        <f>'EXP FD A'!AB37+'EXP FD B'!AB37+'EXP FD C'!AB37</f>
        <v>0.99999999999999989</v>
      </c>
      <c r="AC37">
        <f>'EXP FD A'!AC37+'EXP FD B'!AC37+'EXP FD C'!AC37</f>
        <v>0.99999999999999989</v>
      </c>
      <c r="AD37">
        <f>'EXP FD A'!AD37+'EXP FD B'!AD37+'EXP FD C'!AD37</f>
        <v>0.99999999999999989</v>
      </c>
      <c r="AE37">
        <f>'EXP FD A'!AE37+'EXP FD B'!AE37+'EXP FD C'!AE37</f>
        <v>0.99999999999999989</v>
      </c>
      <c r="AF37">
        <f>'EXP FD A'!AF37+'EXP FD B'!AF37+'EXP FD C'!AF37</f>
        <v>0.99999999999999989</v>
      </c>
      <c r="AG37">
        <f>'EXP FD A'!AG37+'EXP FD B'!AG37+'EXP FD C'!AG37</f>
        <v>0.99999999999999989</v>
      </c>
      <c r="AH37">
        <f>'EXP FD A'!AH37+'EXP FD B'!AH37+'EXP FD C'!AH37</f>
        <v>0.99999999999999989</v>
      </c>
      <c r="AI37">
        <f>'EXP FD A'!AI37+'EXP FD B'!AI37+'EXP FD C'!AI37</f>
        <v>0.99999999999999989</v>
      </c>
      <c r="AJ37">
        <f>'EXP FD A'!AJ37+'EXP FD B'!AJ37+'EXP FD C'!AJ37</f>
        <v>0.99999999999999989</v>
      </c>
      <c r="AK37">
        <f>'EXP FD A'!AK37+'EXP FD B'!AK37+'EXP FD C'!AK37</f>
        <v>0.99999999999999989</v>
      </c>
      <c r="AL37">
        <f>'EXP FD A'!AL37+'EXP FD B'!AL37+'EXP FD C'!AL37</f>
        <v>0.99999999999999989</v>
      </c>
      <c r="AM37">
        <f>'EXP FD A'!AM37+'EXP FD B'!AM37+'EXP FD C'!AM37</f>
        <v>0.99999999999999989</v>
      </c>
      <c r="AN37">
        <f>'EXP FD A'!AN37+'EXP FD B'!AN37+'EXP FD C'!AN37</f>
        <v>0.99999999999999989</v>
      </c>
      <c r="AO37">
        <f>'EXP FD A'!AO37+'EXP FD B'!AO37+'EXP FD C'!AO37</f>
        <v>0.99999999999999989</v>
      </c>
      <c r="AP37">
        <f>'EXP FD A'!AP37+'EXP FD B'!AP37+'EXP FD C'!AP37</f>
        <v>0.99999999999999989</v>
      </c>
      <c r="AQ37">
        <f>'EXP FD A'!AQ37+'EXP FD B'!AQ37+'EXP FD C'!AQ37</f>
        <v>0.99999999999999989</v>
      </c>
      <c r="AR37">
        <f>'EXP FD A'!AR37+'EXP FD B'!AR37+'EXP FD C'!AR37</f>
        <v>0.99999999999999989</v>
      </c>
      <c r="AS37">
        <f>'EXP FD A'!AS37+'EXP FD B'!AS37+'EXP FD C'!AS37</f>
        <v>0.99999999999999989</v>
      </c>
      <c r="AT37">
        <f>'EXP FD A'!AT37+'EXP FD B'!AT37+'EXP FD C'!AT37</f>
        <v>0.99999999999999989</v>
      </c>
      <c r="AU37">
        <f>'EXP FD A'!AU37+'EXP FD B'!AU37+'EXP FD C'!AU37</f>
        <v>0.99999999999999989</v>
      </c>
      <c r="AV37">
        <f>'EXP FD A'!AV37+'EXP FD B'!AV37+'EXP FD C'!AV37</f>
        <v>0.99999999999999989</v>
      </c>
      <c r="AW37">
        <f>'EXP FD A'!AW37+'EXP FD B'!AW37+'EXP FD C'!AW37</f>
        <v>0.99999999999999989</v>
      </c>
      <c r="AX37">
        <f>'EXP FD A'!AX37+'EXP FD B'!AX37+'EXP FD C'!AX37</f>
        <v>0.99999999999999989</v>
      </c>
      <c r="AY37">
        <f>'EXP FD A'!AY37+'EXP FD B'!AY37+'EXP FD C'!AY37</f>
        <v>0.99999999999999989</v>
      </c>
      <c r="AZ37">
        <f>'EXP FD A'!AZ37+'EXP FD B'!AZ37+'EXP FD C'!AZ37</f>
        <v>0.99999999999999989</v>
      </c>
      <c r="BA37" s="6"/>
    </row>
    <row r="38" spans="1:53" x14ac:dyDescent="0.2">
      <c r="A38">
        <f t="shared" si="1"/>
        <v>27</v>
      </c>
      <c r="B38" s="3">
        <f t="shared" si="0"/>
        <v>54</v>
      </c>
      <c r="C38">
        <f>'EXP FD A'!C38+'EXP FD B'!C38+'EXP FD C'!C38</f>
        <v>1</v>
      </c>
      <c r="D38">
        <f>'EXP FD A'!D38+'EXP FD B'!D38+'EXP FD C'!D38</f>
        <v>1</v>
      </c>
      <c r="E38">
        <f>'EXP FD A'!E38+'EXP FD B'!E38+'EXP FD C'!E38</f>
        <v>1</v>
      </c>
      <c r="F38">
        <f>'EXP FD A'!F38+'EXP FD B'!F38+'EXP FD C'!F38</f>
        <v>1</v>
      </c>
      <c r="G38">
        <f>'EXP FD A'!G38+'EXP FD B'!G38+'EXP FD C'!G38</f>
        <v>1</v>
      </c>
      <c r="H38">
        <f>'EXP FD A'!H38+'EXP FD B'!H38+'EXP FD C'!H38</f>
        <v>1</v>
      </c>
      <c r="I38">
        <f>'EXP FD A'!I38+'EXP FD B'!I38+'EXP FD C'!I38</f>
        <v>1</v>
      </c>
      <c r="J38">
        <f>'EXP FD A'!J38+'EXP FD B'!J38+'EXP FD C'!J38</f>
        <v>1</v>
      </c>
      <c r="K38">
        <f>'EXP FD A'!K38+'EXP FD B'!K38+'EXP FD C'!K38</f>
        <v>1</v>
      </c>
      <c r="L38">
        <f>'EXP FD A'!L38+'EXP FD B'!L38+'EXP FD C'!L38</f>
        <v>1</v>
      </c>
      <c r="M38">
        <f>'EXP FD A'!M38+'EXP FD B'!M38+'EXP FD C'!M38</f>
        <v>1</v>
      </c>
      <c r="N38">
        <f>'EXP FD A'!N38+'EXP FD B'!N38+'EXP FD C'!N38</f>
        <v>1</v>
      </c>
      <c r="O38">
        <f>'EXP FD A'!O38+'EXP FD B'!O38+'EXP FD C'!O38</f>
        <v>1</v>
      </c>
      <c r="P38">
        <f>'EXP FD A'!P38+'EXP FD B'!P38+'EXP FD C'!P38</f>
        <v>1</v>
      </c>
      <c r="Q38">
        <f>'EXP FD A'!Q38+'EXP FD B'!Q38+'EXP FD C'!Q38</f>
        <v>1</v>
      </c>
      <c r="R38">
        <f>'EXP FD A'!R38+'EXP FD B'!R38+'EXP FD C'!R38</f>
        <v>1</v>
      </c>
      <c r="S38">
        <f>'EXP FD A'!S38+'EXP FD B'!S38+'EXP FD C'!S38</f>
        <v>1</v>
      </c>
      <c r="T38">
        <f>'EXP FD A'!T38+'EXP FD B'!T38+'EXP FD C'!T38</f>
        <v>1</v>
      </c>
      <c r="U38">
        <f>'EXP FD A'!U38+'EXP FD B'!U38+'EXP FD C'!U38</f>
        <v>1</v>
      </c>
      <c r="V38">
        <f>'EXP FD A'!V38+'EXP FD B'!V38+'EXP FD C'!V38</f>
        <v>1</v>
      </c>
      <c r="W38">
        <f>'EXP FD A'!W38+'EXP FD B'!W38+'EXP FD C'!W38</f>
        <v>1</v>
      </c>
      <c r="X38">
        <f>'EXP FD A'!X38+'EXP FD B'!X38+'EXP FD C'!X38</f>
        <v>1</v>
      </c>
      <c r="Y38">
        <f>'EXP FD A'!Y38+'EXP FD B'!Y38+'EXP FD C'!Y38</f>
        <v>1</v>
      </c>
      <c r="Z38">
        <f>'EXP FD A'!Z38+'EXP FD B'!Z38+'EXP FD C'!Z38</f>
        <v>1</v>
      </c>
      <c r="AA38">
        <f>'EXP FD A'!AA38+'EXP FD B'!AA38+'EXP FD C'!AA38</f>
        <v>1</v>
      </c>
      <c r="AB38">
        <f>'EXP FD A'!AB38+'EXP FD B'!AB38+'EXP FD C'!AB38</f>
        <v>1</v>
      </c>
      <c r="AC38">
        <f>'EXP FD A'!AC38+'EXP FD B'!AC38+'EXP FD C'!AC38</f>
        <v>1</v>
      </c>
      <c r="AD38">
        <f>'EXP FD A'!AD38+'EXP FD B'!AD38+'EXP FD C'!AD38</f>
        <v>1</v>
      </c>
      <c r="AE38">
        <f>'EXP FD A'!AE38+'EXP FD B'!AE38+'EXP FD C'!AE38</f>
        <v>1</v>
      </c>
      <c r="AF38">
        <f>'EXP FD A'!AF38+'EXP FD B'!AF38+'EXP FD C'!AF38</f>
        <v>1</v>
      </c>
      <c r="AG38">
        <f>'EXP FD A'!AG38+'EXP FD B'!AG38+'EXP FD C'!AG38</f>
        <v>1</v>
      </c>
      <c r="AH38">
        <f>'EXP FD A'!AH38+'EXP FD B'!AH38+'EXP FD C'!AH38</f>
        <v>1</v>
      </c>
      <c r="AI38">
        <f>'EXP FD A'!AI38+'EXP FD B'!AI38+'EXP FD C'!AI38</f>
        <v>1</v>
      </c>
      <c r="AJ38">
        <f>'EXP FD A'!AJ38+'EXP FD B'!AJ38+'EXP FD C'!AJ38</f>
        <v>1</v>
      </c>
      <c r="AK38">
        <f>'EXP FD A'!AK38+'EXP FD B'!AK38+'EXP FD C'!AK38</f>
        <v>1</v>
      </c>
      <c r="AL38">
        <f>'EXP FD A'!AL38+'EXP FD B'!AL38+'EXP FD C'!AL38</f>
        <v>1</v>
      </c>
      <c r="AM38">
        <f>'EXP FD A'!AM38+'EXP FD B'!AM38+'EXP FD C'!AM38</f>
        <v>1</v>
      </c>
      <c r="AN38">
        <f>'EXP FD A'!AN38+'EXP FD B'!AN38+'EXP FD C'!AN38</f>
        <v>1</v>
      </c>
      <c r="AO38">
        <f>'EXP FD A'!AO38+'EXP FD B'!AO38+'EXP FD C'!AO38</f>
        <v>1</v>
      </c>
      <c r="AP38">
        <f>'EXP FD A'!AP38+'EXP FD B'!AP38+'EXP FD C'!AP38</f>
        <v>1</v>
      </c>
      <c r="AQ38">
        <f>'EXP FD A'!AQ38+'EXP FD B'!AQ38+'EXP FD C'!AQ38</f>
        <v>1</v>
      </c>
      <c r="AR38">
        <f>'EXP FD A'!AR38+'EXP FD B'!AR38+'EXP FD C'!AR38</f>
        <v>1</v>
      </c>
      <c r="AS38">
        <f>'EXP FD A'!AS38+'EXP FD B'!AS38+'EXP FD C'!AS38</f>
        <v>1</v>
      </c>
      <c r="AT38">
        <f>'EXP FD A'!AT38+'EXP FD B'!AT38+'EXP FD C'!AT38</f>
        <v>1</v>
      </c>
      <c r="AU38">
        <f>'EXP FD A'!AU38+'EXP FD B'!AU38+'EXP FD C'!AU38</f>
        <v>1</v>
      </c>
      <c r="AV38">
        <f>'EXP FD A'!AV38+'EXP FD B'!AV38+'EXP FD C'!AV38</f>
        <v>1</v>
      </c>
      <c r="AW38">
        <f>'EXP FD A'!AW38+'EXP FD B'!AW38+'EXP FD C'!AW38</f>
        <v>1</v>
      </c>
      <c r="AX38">
        <f>'EXP FD A'!AX38+'EXP FD B'!AX38+'EXP FD C'!AX38</f>
        <v>1</v>
      </c>
      <c r="AY38">
        <f>'EXP FD A'!AY38+'EXP FD B'!AY38+'EXP FD C'!AY38</f>
        <v>1</v>
      </c>
      <c r="AZ38">
        <f>'EXP FD A'!AZ38+'EXP FD B'!AZ38+'EXP FD C'!AZ38</f>
        <v>1</v>
      </c>
      <c r="BA38" s="6"/>
    </row>
    <row r="39" spans="1:53" x14ac:dyDescent="0.2">
      <c r="A39">
        <f t="shared" si="1"/>
        <v>26</v>
      </c>
      <c r="B39" s="3">
        <f t="shared" si="0"/>
        <v>52</v>
      </c>
      <c r="C39">
        <f>'EXP FD A'!C39+'EXP FD B'!C39+'EXP FD C'!C39</f>
        <v>1</v>
      </c>
      <c r="D39">
        <f>'EXP FD A'!D39+'EXP FD B'!D39+'EXP FD C'!D39</f>
        <v>1</v>
      </c>
      <c r="E39">
        <f>'EXP FD A'!E39+'EXP FD B'!E39+'EXP FD C'!E39</f>
        <v>1</v>
      </c>
      <c r="F39">
        <f>'EXP FD A'!F39+'EXP FD B'!F39+'EXP FD C'!F39</f>
        <v>1</v>
      </c>
      <c r="G39">
        <f>'EXP FD A'!G39+'EXP FD B'!G39+'EXP FD C'!G39</f>
        <v>1</v>
      </c>
      <c r="H39">
        <f>'EXP FD A'!H39+'EXP FD B'!H39+'EXP FD C'!H39</f>
        <v>1</v>
      </c>
      <c r="I39">
        <f>'EXP FD A'!I39+'EXP FD B'!I39+'EXP FD C'!I39</f>
        <v>1</v>
      </c>
      <c r="J39">
        <f>'EXP FD A'!J39+'EXP FD B'!J39+'EXP FD C'!J39</f>
        <v>1</v>
      </c>
      <c r="K39">
        <f>'EXP FD A'!K39+'EXP FD B'!K39+'EXP FD C'!K39</f>
        <v>1</v>
      </c>
      <c r="L39">
        <f>'EXP FD A'!L39+'EXP FD B'!L39+'EXP FD C'!L39</f>
        <v>1</v>
      </c>
      <c r="M39">
        <f>'EXP FD A'!M39+'EXP FD B'!M39+'EXP FD C'!M39</f>
        <v>1</v>
      </c>
      <c r="N39">
        <f>'EXP FD A'!N39+'EXP FD B'!N39+'EXP FD C'!N39</f>
        <v>1</v>
      </c>
      <c r="O39">
        <f>'EXP FD A'!O39+'EXP FD B'!O39+'EXP FD C'!O39</f>
        <v>1</v>
      </c>
      <c r="P39">
        <f>'EXP FD A'!P39+'EXP FD B'!P39+'EXP FD C'!P39</f>
        <v>1</v>
      </c>
      <c r="Q39">
        <f>'EXP FD A'!Q39+'EXP FD B'!Q39+'EXP FD C'!Q39</f>
        <v>1</v>
      </c>
      <c r="R39">
        <f>'EXP FD A'!R39+'EXP FD B'!R39+'EXP FD C'!R39</f>
        <v>1</v>
      </c>
      <c r="S39">
        <f>'EXP FD A'!S39+'EXP FD B'!S39+'EXP FD C'!S39</f>
        <v>1</v>
      </c>
      <c r="T39">
        <f>'EXP FD A'!T39+'EXP FD B'!T39+'EXP FD C'!T39</f>
        <v>1</v>
      </c>
      <c r="U39">
        <f>'EXP FD A'!U39+'EXP FD B'!U39+'EXP FD C'!U39</f>
        <v>1</v>
      </c>
      <c r="V39">
        <f>'EXP FD A'!V39+'EXP FD B'!V39+'EXP FD C'!V39</f>
        <v>1</v>
      </c>
      <c r="W39">
        <f>'EXP FD A'!W39+'EXP FD B'!W39+'EXP FD C'!W39</f>
        <v>1</v>
      </c>
      <c r="X39">
        <f>'EXP FD A'!X39+'EXP FD B'!X39+'EXP FD C'!X39</f>
        <v>1</v>
      </c>
      <c r="Y39">
        <f>'EXP FD A'!Y39+'EXP FD B'!Y39+'EXP FD C'!Y39</f>
        <v>1</v>
      </c>
      <c r="Z39">
        <f>'EXP FD A'!Z39+'EXP FD B'!Z39+'EXP FD C'!Z39</f>
        <v>1</v>
      </c>
      <c r="AA39">
        <f>'EXP FD A'!AA39+'EXP FD B'!AA39+'EXP FD C'!AA39</f>
        <v>1</v>
      </c>
      <c r="AB39">
        <f>'EXP FD A'!AB39+'EXP FD B'!AB39+'EXP FD C'!AB39</f>
        <v>1</v>
      </c>
      <c r="AC39">
        <f>'EXP FD A'!AC39+'EXP FD B'!AC39+'EXP FD C'!AC39</f>
        <v>1</v>
      </c>
      <c r="AD39">
        <f>'EXP FD A'!AD39+'EXP FD B'!AD39+'EXP FD C'!AD39</f>
        <v>1</v>
      </c>
      <c r="AE39">
        <f>'EXP FD A'!AE39+'EXP FD B'!AE39+'EXP FD C'!AE39</f>
        <v>1</v>
      </c>
      <c r="AF39">
        <f>'EXP FD A'!AF39+'EXP FD B'!AF39+'EXP FD C'!AF39</f>
        <v>1</v>
      </c>
      <c r="AG39">
        <f>'EXP FD A'!AG39+'EXP FD B'!AG39+'EXP FD C'!AG39</f>
        <v>1</v>
      </c>
      <c r="AH39">
        <f>'EXP FD A'!AH39+'EXP FD B'!AH39+'EXP FD C'!AH39</f>
        <v>1</v>
      </c>
      <c r="AI39">
        <f>'EXP FD A'!AI39+'EXP FD B'!AI39+'EXP FD C'!AI39</f>
        <v>1</v>
      </c>
      <c r="AJ39">
        <f>'EXP FD A'!AJ39+'EXP FD B'!AJ39+'EXP FD C'!AJ39</f>
        <v>1</v>
      </c>
      <c r="AK39">
        <f>'EXP FD A'!AK39+'EXP FD B'!AK39+'EXP FD C'!AK39</f>
        <v>1</v>
      </c>
      <c r="AL39">
        <f>'EXP FD A'!AL39+'EXP FD B'!AL39+'EXP FD C'!AL39</f>
        <v>1</v>
      </c>
      <c r="AM39">
        <f>'EXP FD A'!AM39+'EXP FD B'!AM39+'EXP FD C'!AM39</f>
        <v>1</v>
      </c>
      <c r="AN39">
        <f>'EXP FD A'!AN39+'EXP FD B'!AN39+'EXP FD C'!AN39</f>
        <v>1</v>
      </c>
      <c r="AO39">
        <f>'EXP FD A'!AO39+'EXP FD B'!AO39+'EXP FD C'!AO39</f>
        <v>1</v>
      </c>
      <c r="AP39">
        <f>'EXP FD A'!AP39+'EXP FD B'!AP39+'EXP FD C'!AP39</f>
        <v>1</v>
      </c>
      <c r="AQ39">
        <f>'EXP FD A'!AQ39+'EXP FD B'!AQ39+'EXP FD C'!AQ39</f>
        <v>1</v>
      </c>
      <c r="AR39">
        <f>'EXP FD A'!AR39+'EXP FD B'!AR39+'EXP FD C'!AR39</f>
        <v>1</v>
      </c>
      <c r="AS39">
        <f>'EXP FD A'!AS39+'EXP FD B'!AS39+'EXP FD C'!AS39</f>
        <v>1</v>
      </c>
      <c r="AT39">
        <f>'EXP FD A'!AT39+'EXP FD B'!AT39+'EXP FD C'!AT39</f>
        <v>1</v>
      </c>
      <c r="AU39">
        <f>'EXP FD A'!AU39+'EXP FD B'!AU39+'EXP FD C'!AU39</f>
        <v>1</v>
      </c>
      <c r="AV39">
        <f>'EXP FD A'!AV39+'EXP FD B'!AV39+'EXP FD C'!AV39</f>
        <v>1</v>
      </c>
      <c r="AW39">
        <f>'EXP FD A'!AW39+'EXP FD B'!AW39+'EXP FD C'!AW39</f>
        <v>1</v>
      </c>
      <c r="AX39">
        <f>'EXP FD A'!AX39+'EXP FD B'!AX39+'EXP FD C'!AX39</f>
        <v>1</v>
      </c>
      <c r="AY39">
        <f>'EXP FD A'!AY39+'EXP FD B'!AY39+'EXP FD C'!AY39</f>
        <v>1</v>
      </c>
      <c r="AZ39">
        <f>'EXP FD A'!AZ39+'EXP FD B'!AZ39+'EXP FD C'!AZ39</f>
        <v>1</v>
      </c>
      <c r="BA39" s="6"/>
    </row>
    <row r="40" spans="1:53" x14ac:dyDescent="0.2">
      <c r="A40">
        <f t="shared" si="1"/>
        <v>25</v>
      </c>
      <c r="B40" s="3">
        <f t="shared" si="0"/>
        <v>50</v>
      </c>
      <c r="C40">
        <f>'EXP FD A'!C40+'EXP FD B'!C40+'EXP FD C'!C40</f>
        <v>1</v>
      </c>
      <c r="D40">
        <f>'EXP FD A'!D40+'EXP FD B'!D40+'EXP FD C'!D40</f>
        <v>1</v>
      </c>
      <c r="E40">
        <f>'EXP FD A'!E40+'EXP FD B'!E40+'EXP FD C'!E40</f>
        <v>1</v>
      </c>
      <c r="F40">
        <f>'EXP FD A'!F40+'EXP FD B'!F40+'EXP FD C'!F40</f>
        <v>1</v>
      </c>
      <c r="G40">
        <f>'EXP FD A'!G40+'EXP FD B'!G40+'EXP FD C'!G40</f>
        <v>1</v>
      </c>
      <c r="H40">
        <f>'EXP FD A'!H40+'EXP FD B'!H40+'EXP FD C'!H40</f>
        <v>1</v>
      </c>
      <c r="I40">
        <f>'EXP FD A'!I40+'EXP FD B'!I40+'EXP FD C'!I40</f>
        <v>1</v>
      </c>
      <c r="J40">
        <f>'EXP FD A'!J40+'EXP FD B'!J40+'EXP FD C'!J40</f>
        <v>1</v>
      </c>
      <c r="K40">
        <f>'EXP FD A'!K40+'EXP FD B'!K40+'EXP FD C'!K40</f>
        <v>1</v>
      </c>
      <c r="L40">
        <f>'EXP FD A'!L40+'EXP FD B'!L40+'EXP FD C'!L40</f>
        <v>1</v>
      </c>
      <c r="M40">
        <f>'EXP FD A'!M40+'EXP FD B'!M40+'EXP FD C'!M40</f>
        <v>1</v>
      </c>
      <c r="N40">
        <f>'EXP FD A'!N40+'EXP FD B'!N40+'EXP FD C'!N40</f>
        <v>1</v>
      </c>
      <c r="O40">
        <f>'EXP FD A'!O40+'EXP FD B'!O40+'EXP FD C'!O40</f>
        <v>1</v>
      </c>
      <c r="P40">
        <f>'EXP FD A'!P40+'EXP FD B'!P40+'EXP FD C'!P40</f>
        <v>1</v>
      </c>
      <c r="Q40">
        <f>'EXP FD A'!Q40+'EXP FD B'!Q40+'EXP FD C'!Q40</f>
        <v>1</v>
      </c>
      <c r="R40">
        <f>'EXP FD A'!R40+'EXP FD B'!R40+'EXP FD C'!R40</f>
        <v>1</v>
      </c>
      <c r="S40">
        <f>'EXP FD A'!S40+'EXP FD B'!S40+'EXP FD C'!S40</f>
        <v>1</v>
      </c>
      <c r="T40">
        <f>'EXP FD A'!T40+'EXP FD B'!T40+'EXP FD C'!T40</f>
        <v>1</v>
      </c>
      <c r="U40">
        <f>'EXP FD A'!U40+'EXP FD B'!U40+'EXP FD C'!U40</f>
        <v>1</v>
      </c>
      <c r="V40">
        <f>'EXP FD A'!V40+'EXP FD B'!V40+'EXP FD C'!V40</f>
        <v>1</v>
      </c>
      <c r="W40">
        <f>'EXP FD A'!W40+'EXP FD B'!W40+'EXP FD C'!W40</f>
        <v>1</v>
      </c>
      <c r="X40">
        <f>'EXP FD A'!X40+'EXP FD B'!X40+'EXP FD C'!X40</f>
        <v>1</v>
      </c>
      <c r="Y40">
        <f>'EXP FD A'!Y40+'EXP FD B'!Y40+'EXP FD C'!Y40</f>
        <v>1</v>
      </c>
      <c r="Z40">
        <f>'EXP FD A'!Z40+'EXP FD B'!Z40+'EXP FD C'!Z40</f>
        <v>1</v>
      </c>
      <c r="AA40">
        <f>'EXP FD A'!AA40+'EXP FD B'!AA40+'EXP FD C'!AA40</f>
        <v>1</v>
      </c>
      <c r="AB40">
        <f>'EXP FD A'!AB40+'EXP FD B'!AB40+'EXP FD C'!AB40</f>
        <v>1</v>
      </c>
      <c r="AC40">
        <f>'EXP FD A'!AC40+'EXP FD B'!AC40+'EXP FD C'!AC40</f>
        <v>1</v>
      </c>
      <c r="AD40">
        <f>'EXP FD A'!AD40+'EXP FD B'!AD40+'EXP FD C'!AD40</f>
        <v>1</v>
      </c>
      <c r="AE40">
        <f>'EXP FD A'!AE40+'EXP FD B'!AE40+'EXP FD C'!AE40</f>
        <v>1</v>
      </c>
      <c r="AF40">
        <f>'EXP FD A'!AF40+'EXP FD B'!AF40+'EXP FD C'!AF40</f>
        <v>1</v>
      </c>
      <c r="AG40">
        <f>'EXP FD A'!AG40+'EXP FD B'!AG40+'EXP FD C'!AG40</f>
        <v>1</v>
      </c>
      <c r="AH40">
        <f>'EXP FD A'!AH40+'EXP FD B'!AH40+'EXP FD C'!AH40</f>
        <v>1</v>
      </c>
      <c r="AI40">
        <f>'EXP FD A'!AI40+'EXP FD B'!AI40+'EXP FD C'!AI40</f>
        <v>1</v>
      </c>
      <c r="AJ40">
        <f>'EXP FD A'!AJ40+'EXP FD B'!AJ40+'EXP FD C'!AJ40</f>
        <v>1</v>
      </c>
      <c r="AK40">
        <f>'EXP FD A'!AK40+'EXP FD B'!AK40+'EXP FD C'!AK40</f>
        <v>1</v>
      </c>
      <c r="AL40">
        <f>'EXP FD A'!AL40+'EXP FD B'!AL40+'EXP FD C'!AL40</f>
        <v>1</v>
      </c>
      <c r="AM40">
        <f>'EXP FD A'!AM40+'EXP FD B'!AM40+'EXP FD C'!AM40</f>
        <v>1</v>
      </c>
      <c r="AN40">
        <f>'EXP FD A'!AN40+'EXP FD B'!AN40+'EXP FD C'!AN40</f>
        <v>1</v>
      </c>
      <c r="AO40">
        <f>'EXP FD A'!AO40+'EXP FD B'!AO40+'EXP FD C'!AO40</f>
        <v>1</v>
      </c>
      <c r="AP40">
        <f>'EXP FD A'!AP40+'EXP FD B'!AP40+'EXP FD C'!AP40</f>
        <v>1</v>
      </c>
      <c r="AQ40">
        <f>'EXP FD A'!AQ40+'EXP FD B'!AQ40+'EXP FD C'!AQ40</f>
        <v>1</v>
      </c>
      <c r="AR40">
        <f>'EXP FD A'!AR40+'EXP FD B'!AR40+'EXP FD C'!AR40</f>
        <v>1</v>
      </c>
      <c r="AS40">
        <f>'EXP FD A'!AS40+'EXP FD B'!AS40+'EXP FD C'!AS40</f>
        <v>1</v>
      </c>
      <c r="AT40">
        <f>'EXP FD A'!AT40+'EXP FD B'!AT40+'EXP FD C'!AT40</f>
        <v>1</v>
      </c>
      <c r="AU40">
        <f>'EXP FD A'!AU40+'EXP FD B'!AU40+'EXP FD C'!AU40</f>
        <v>1</v>
      </c>
      <c r="AV40">
        <f>'EXP FD A'!AV40+'EXP FD B'!AV40+'EXP FD C'!AV40</f>
        <v>1</v>
      </c>
      <c r="AW40">
        <f>'EXP FD A'!AW40+'EXP FD B'!AW40+'EXP FD C'!AW40</f>
        <v>1</v>
      </c>
      <c r="AX40">
        <f>'EXP FD A'!AX40+'EXP FD B'!AX40+'EXP FD C'!AX40</f>
        <v>1</v>
      </c>
      <c r="AY40">
        <f>'EXP FD A'!AY40+'EXP FD B'!AY40+'EXP FD C'!AY40</f>
        <v>1</v>
      </c>
      <c r="AZ40">
        <f>'EXP FD A'!AZ40+'EXP FD B'!AZ40+'EXP FD C'!AZ40</f>
        <v>1</v>
      </c>
      <c r="BA40" s="6"/>
    </row>
    <row r="41" spans="1:53" x14ac:dyDescent="0.2">
      <c r="A41">
        <f t="shared" si="1"/>
        <v>24</v>
      </c>
      <c r="B41" s="3">
        <f t="shared" si="0"/>
        <v>48</v>
      </c>
      <c r="C41">
        <f>'EXP FD A'!C41+'EXP FD B'!C41+'EXP FD C'!C41</f>
        <v>1</v>
      </c>
      <c r="D41">
        <f>'EXP FD A'!D41+'EXP FD B'!D41+'EXP FD C'!D41</f>
        <v>1</v>
      </c>
      <c r="E41">
        <f>'EXP FD A'!E41+'EXP FD B'!E41+'EXP FD C'!E41</f>
        <v>1</v>
      </c>
      <c r="F41">
        <f>'EXP FD A'!F41+'EXP FD B'!F41+'EXP FD C'!F41</f>
        <v>1</v>
      </c>
      <c r="G41">
        <f>'EXP FD A'!G41+'EXP FD B'!G41+'EXP FD C'!G41</f>
        <v>1</v>
      </c>
      <c r="H41">
        <f>'EXP FD A'!H41+'EXP FD B'!H41+'EXP FD C'!H41</f>
        <v>1</v>
      </c>
      <c r="I41">
        <f>'EXP FD A'!I41+'EXP FD B'!I41+'EXP FD C'!I41</f>
        <v>1</v>
      </c>
      <c r="J41">
        <f>'EXP FD A'!J41+'EXP FD B'!J41+'EXP FD C'!J41</f>
        <v>1</v>
      </c>
      <c r="K41">
        <f>'EXP FD A'!K41+'EXP FD B'!K41+'EXP FD C'!K41</f>
        <v>1</v>
      </c>
      <c r="L41">
        <f>'EXP FD A'!L41+'EXP FD B'!L41+'EXP FD C'!L41</f>
        <v>1</v>
      </c>
      <c r="M41">
        <f>'EXP FD A'!M41+'EXP FD B'!M41+'EXP FD C'!M41</f>
        <v>1</v>
      </c>
      <c r="N41">
        <f>'EXP FD A'!N41+'EXP FD B'!N41+'EXP FD C'!N41</f>
        <v>1</v>
      </c>
      <c r="O41">
        <f>'EXP FD A'!O41+'EXP FD B'!O41+'EXP FD C'!O41</f>
        <v>1</v>
      </c>
      <c r="P41">
        <f>'EXP FD A'!P41+'EXP FD B'!P41+'EXP FD C'!P41</f>
        <v>1</v>
      </c>
      <c r="Q41">
        <f>'EXP FD A'!Q41+'EXP FD B'!Q41+'EXP FD C'!Q41</f>
        <v>1</v>
      </c>
      <c r="R41">
        <f>'EXP FD A'!R41+'EXP FD B'!R41+'EXP FD C'!R41</f>
        <v>1</v>
      </c>
      <c r="S41">
        <f>'EXP FD A'!S41+'EXP FD B'!S41+'EXP FD C'!S41</f>
        <v>1</v>
      </c>
      <c r="T41">
        <f>'EXP FD A'!T41+'EXP FD B'!T41+'EXP FD C'!T41</f>
        <v>1</v>
      </c>
      <c r="U41">
        <f>'EXP FD A'!U41+'EXP FD B'!U41+'EXP FD C'!U41</f>
        <v>1</v>
      </c>
      <c r="V41">
        <f>'EXP FD A'!V41+'EXP FD B'!V41+'EXP FD C'!V41</f>
        <v>1</v>
      </c>
      <c r="W41">
        <f>'EXP FD A'!W41+'EXP FD B'!W41+'EXP FD C'!W41</f>
        <v>1</v>
      </c>
      <c r="X41">
        <f>'EXP FD A'!X41+'EXP FD B'!X41+'EXP FD C'!X41</f>
        <v>1</v>
      </c>
      <c r="Y41">
        <f>'EXP FD A'!Y41+'EXP FD B'!Y41+'EXP FD C'!Y41</f>
        <v>1</v>
      </c>
      <c r="Z41">
        <f>'EXP FD A'!Z41+'EXP FD B'!Z41+'EXP FD C'!Z41</f>
        <v>1</v>
      </c>
      <c r="AA41">
        <f>'EXP FD A'!AA41+'EXP FD B'!AA41+'EXP FD C'!AA41</f>
        <v>1</v>
      </c>
      <c r="AB41">
        <f>'EXP FD A'!AB41+'EXP FD B'!AB41+'EXP FD C'!AB41</f>
        <v>1</v>
      </c>
      <c r="AC41">
        <f>'EXP FD A'!AC41+'EXP FD B'!AC41+'EXP FD C'!AC41</f>
        <v>1</v>
      </c>
      <c r="AD41">
        <f>'EXP FD A'!AD41+'EXP FD B'!AD41+'EXP FD C'!AD41</f>
        <v>1</v>
      </c>
      <c r="AE41">
        <f>'EXP FD A'!AE41+'EXP FD B'!AE41+'EXP FD C'!AE41</f>
        <v>1</v>
      </c>
      <c r="AF41">
        <f>'EXP FD A'!AF41+'EXP FD B'!AF41+'EXP FD C'!AF41</f>
        <v>1</v>
      </c>
      <c r="AG41">
        <f>'EXP FD A'!AG41+'EXP FD B'!AG41+'EXP FD C'!AG41</f>
        <v>1</v>
      </c>
      <c r="AH41">
        <f>'EXP FD A'!AH41+'EXP FD B'!AH41+'EXP FD C'!AH41</f>
        <v>1</v>
      </c>
      <c r="AI41">
        <f>'EXP FD A'!AI41+'EXP FD B'!AI41+'EXP FD C'!AI41</f>
        <v>1</v>
      </c>
      <c r="AJ41">
        <f>'EXP FD A'!AJ41+'EXP FD B'!AJ41+'EXP FD C'!AJ41</f>
        <v>1</v>
      </c>
      <c r="AK41">
        <f>'EXP FD A'!AK41+'EXP FD B'!AK41+'EXP FD C'!AK41</f>
        <v>1</v>
      </c>
      <c r="AL41">
        <f>'EXP FD A'!AL41+'EXP FD B'!AL41+'EXP FD C'!AL41</f>
        <v>1</v>
      </c>
      <c r="AM41">
        <f>'EXP FD A'!AM41+'EXP FD B'!AM41+'EXP FD C'!AM41</f>
        <v>1</v>
      </c>
      <c r="AN41">
        <f>'EXP FD A'!AN41+'EXP FD B'!AN41+'EXP FD C'!AN41</f>
        <v>1</v>
      </c>
      <c r="AO41">
        <f>'EXP FD A'!AO41+'EXP FD B'!AO41+'EXP FD C'!AO41</f>
        <v>1</v>
      </c>
      <c r="AP41">
        <f>'EXP FD A'!AP41+'EXP FD B'!AP41+'EXP FD C'!AP41</f>
        <v>1</v>
      </c>
      <c r="AQ41">
        <f>'EXP FD A'!AQ41+'EXP FD B'!AQ41+'EXP FD C'!AQ41</f>
        <v>1</v>
      </c>
      <c r="AR41">
        <f>'EXP FD A'!AR41+'EXP FD B'!AR41+'EXP FD C'!AR41</f>
        <v>1</v>
      </c>
      <c r="AS41">
        <f>'EXP FD A'!AS41+'EXP FD B'!AS41+'EXP FD C'!AS41</f>
        <v>1</v>
      </c>
      <c r="AT41">
        <f>'EXP FD A'!AT41+'EXP FD B'!AT41+'EXP FD C'!AT41</f>
        <v>1</v>
      </c>
      <c r="AU41">
        <f>'EXP FD A'!AU41+'EXP FD B'!AU41+'EXP FD C'!AU41</f>
        <v>1</v>
      </c>
      <c r="AV41">
        <f>'EXP FD A'!AV41+'EXP FD B'!AV41+'EXP FD C'!AV41</f>
        <v>1</v>
      </c>
      <c r="AW41">
        <f>'EXP FD A'!AW41+'EXP FD B'!AW41+'EXP FD C'!AW41</f>
        <v>1</v>
      </c>
      <c r="AX41">
        <f>'EXP FD A'!AX41+'EXP FD B'!AX41+'EXP FD C'!AX41</f>
        <v>1</v>
      </c>
      <c r="AY41">
        <f>'EXP FD A'!AY41+'EXP FD B'!AY41+'EXP FD C'!AY41</f>
        <v>1</v>
      </c>
      <c r="AZ41">
        <f>'EXP FD A'!AZ41+'EXP FD B'!AZ41+'EXP FD C'!AZ41</f>
        <v>1</v>
      </c>
      <c r="BA41" s="6"/>
    </row>
    <row r="42" spans="1:53" x14ac:dyDescent="0.2">
      <c r="A42">
        <f t="shared" si="1"/>
        <v>23</v>
      </c>
      <c r="B42" s="3">
        <f t="shared" si="0"/>
        <v>46</v>
      </c>
      <c r="C42">
        <f>'EXP FD A'!C42+'EXP FD B'!C42+'EXP FD C'!C42</f>
        <v>1</v>
      </c>
      <c r="D42">
        <f>'EXP FD A'!D42+'EXP FD B'!D42+'EXP FD C'!D42</f>
        <v>1</v>
      </c>
      <c r="E42">
        <f>'EXP FD A'!E42+'EXP FD B'!E42+'EXP FD C'!E42</f>
        <v>1</v>
      </c>
      <c r="F42">
        <f>'EXP FD A'!F42+'EXP FD B'!F42+'EXP FD C'!F42</f>
        <v>1</v>
      </c>
      <c r="G42">
        <f>'EXP FD A'!G42+'EXP FD B'!G42+'EXP FD C'!G42</f>
        <v>1</v>
      </c>
      <c r="H42">
        <f>'EXP FD A'!H42+'EXP FD B'!H42+'EXP FD C'!H42</f>
        <v>1</v>
      </c>
      <c r="I42">
        <f>'EXP FD A'!I42+'EXP FD B'!I42+'EXP FD C'!I42</f>
        <v>1</v>
      </c>
      <c r="J42">
        <f>'EXP FD A'!J42+'EXP FD B'!J42+'EXP FD C'!J42</f>
        <v>1</v>
      </c>
      <c r="K42">
        <f>'EXP FD A'!K42+'EXP FD B'!K42+'EXP FD C'!K42</f>
        <v>1</v>
      </c>
      <c r="L42">
        <f>'EXP FD A'!L42+'EXP FD B'!L42+'EXP FD C'!L42</f>
        <v>1</v>
      </c>
      <c r="M42">
        <f>'EXP FD A'!M42+'EXP FD B'!M42+'EXP FD C'!M42</f>
        <v>1</v>
      </c>
      <c r="N42">
        <f>'EXP FD A'!N42+'EXP FD B'!N42+'EXP FD C'!N42</f>
        <v>1</v>
      </c>
      <c r="O42">
        <f>'EXP FD A'!O42+'EXP FD B'!O42+'EXP FD C'!O42</f>
        <v>1</v>
      </c>
      <c r="P42">
        <f>'EXP FD A'!P42+'EXP FD B'!P42+'EXP FD C'!P42</f>
        <v>1</v>
      </c>
      <c r="Q42">
        <f>'EXP FD A'!Q42+'EXP FD B'!Q42+'EXP FD C'!Q42</f>
        <v>1</v>
      </c>
      <c r="R42">
        <f>'EXP FD A'!R42+'EXP FD B'!R42+'EXP FD C'!R42</f>
        <v>1</v>
      </c>
      <c r="S42">
        <f>'EXP FD A'!S42+'EXP FD B'!S42+'EXP FD C'!S42</f>
        <v>1</v>
      </c>
      <c r="T42">
        <f>'EXP FD A'!T42+'EXP FD B'!T42+'EXP FD C'!T42</f>
        <v>1</v>
      </c>
      <c r="U42">
        <f>'EXP FD A'!U42+'EXP FD B'!U42+'EXP FD C'!U42</f>
        <v>1</v>
      </c>
      <c r="V42">
        <f>'EXP FD A'!V42+'EXP FD B'!V42+'EXP FD C'!V42</f>
        <v>1</v>
      </c>
      <c r="W42">
        <f>'EXP FD A'!W42+'EXP FD B'!W42+'EXP FD C'!W42</f>
        <v>1</v>
      </c>
      <c r="X42">
        <f>'EXP FD A'!X42+'EXP FD B'!X42+'EXP FD C'!X42</f>
        <v>1</v>
      </c>
      <c r="Y42">
        <f>'EXP FD A'!Y42+'EXP FD B'!Y42+'EXP FD C'!Y42</f>
        <v>1</v>
      </c>
      <c r="Z42">
        <f>'EXP FD A'!Z42+'EXP FD B'!Z42+'EXP FD C'!Z42</f>
        <v>1</v>
      </c>
      <c r="AA42">
        <f>'EXP FD A'!AA42+'EXP FD B'!AA42+'EXP FD C'!AA42</f>
        <v>1</v>
      </c>
      <c r="AB42">
        <f>'EXP FD A'!AB42+'EXP FD B'!AB42+'EXP FD C'!AB42</f>
        <v>1</v>
      </c>
      <c r="AC42">
        <f>'EXP FD A'!AC42+'EXP FD B'!AC42+'EXP FD C'!AC42</f>
        <v>1</v>
      </c>
      <c r="AD42">
        <f>'EXP FD A'!AD42+'EXP FD B'!AD42+'EXP FD C'!AD42</f>
        <v>1</v>
      </c>
      <c r="AE42">
        <f>'EXP FD A'!AE42+'EXP FD B'!AE42+'EXP FD C'!AE42</f>
        <v>1</v>
      </c>
      <c r="AF42">
        <f>'EXP FD A'!AF42+'EXP FD B'!AF42+'EXP FD C'!AF42</f>
        <v>1</v>
      </c>
      <c r="AG42">
        <f>'EXP FD A'!AG42+'EXP FD B'!AG42+'EXP FD C'!AG42</f>
        <v>1</v>
      </c>
      <c r="AH42">
        <f>'EXP FD A'!AH42+'EXP FD B'!AH42+'EXP FD C'!AH42</f>
        <v>1</v>
      </c>
      <c r="AI42">
        <f>'EXP FD A'!AI42+'EXP FD B'!AI42+'EXP FD C'!AI42</f>
        <v>1</v>
      </c>
      <c r="AJ42">
        <f>'EXP FD A'!AJ42+'EXP FD B'!AJ42+'EXP FD C'!AJ42</f>
        <v>1</v>
      </c>
      <c r="AK42">
        <f>'EXP FD A'!AK42+'EXP FD B'!AK42+'EXP FD C'!AK42</f>
        <v>1</v>
      </c>
      <c r="AL42">
        <f>'EXP FD A'!AL42+'EXP FD B'!AL42+'EXP FD C'!AL42</f>
        <v>1</v>
      </c>
      <c r="AM42">
        <f>'EXP FD A'!AM42+'EXP FD B'!AM42+'EXP FD C'!AM42</f>
        <v>1</v>
      </c>
      <c r="AN42">
        <f>'EXP FD A'!AN42+'EXP FD B'!AN42+'EXP FD C'!AN42</f>
        <v>1</v>
      </c>
      <c r="AO42">
        <f>'EXP FD A'!AO42+'EXP FD B'!AO42+'EXP FD C'!AO42</f>
        <v>1</v>
      </c>
      <c r="AP42">
        <f>'EXP FD A'!AP42+'EXP FD B'!AP42+'EXP FD C'!AP42</f>
        <v>1</v>
      </c>
      <c r="AQ42">
        <f>'EXP FD A'!AQ42+'EXP FD B'!AQ42+'EXP FD C'!AQ42</f>
        <v>1</v>
      </c>
      <c r="AR42">
        <f>'EXP FD A'!AR42+'EXP FD B'!AR42+'EXP FD C'!AR42</f>
        <v>1</v>
      </c>
      <c r="AS42">
        <f>'EXP FD A'!AS42+'EXP FD B'!AS42+'EXP FD C'!AS42</f>
        <v>1</v>
      </c>
      <c r="AT42">
        <f>'EXP FD A'!AT42+'EXP FD B'!AT42+'EXP FD C'!AT42</f>
        <v>1</v>
      </c>
      <c r="AU42">
        <f>'EXP FD A'!AU42+'EXP FD B'!AU42+'EXP FD C'!AU42</f>
        <v>1</v>
      </c>
      <c r="AV42">
        <f>'EXP FD A'!AV42+'EXP FD B'!AV42+'EXP FD C'!AV42</f>
        <v>1</v>
      </c>
      <c r="AW42">
        <f>'EXP FD A'!AW42+'EXP FD B'!AW42+'EXP FD C'!AW42</f>
        <v>1</v>
      </c>
      <c r="AX42">
        <f>'EXP FD A'!AX42+'EXP FD B'!AX42+'EXP FD C'!AX42</f>
        <v>1</v>
      </c>
      <c r="AY42">
        <f>'EXP FD A'!AY42+'EXP FD B'!AY42+'EXP FD C'!AY42</f>
        <v>1</v>
      </c>
      <c r="AZ42">
        <f>'EXP FD A'!AZ42+'EXP FD B'!AZ42+'EXP FD C'!AZ42</f>
        <v>1</v>
      </c>
      <c r="BA42" s="6"/>
    </row>
    <row r="43" spans="1:53" x14ac:dyDescent="0.2">
      <c r="A43">
        <f t="shared" si="1"/>
        <v>22</v>
      </c>
      <c r="B43" s="3">
        <f t="shared" si="0"/>
        <v>44</v>
      </c>
      <c r="C43">
        <f>'EXP FD A'!C43+'EXP FD B'!C43+'EXP FD C'!C43</f>
        <v>1</v>
      </c>
      <c r="D43">
        <f>'EXP FD A'!D43+'EXP FD B'!D43+'EXP FD C'!D43</f>
        <v>1</v>
      </c>
      <c r="E43">
        <f>'EXP FD A'!E43+'EXP FD B'!E43+'EXP FD C'!E43</f>
        <v>1</v>
      </c>
      <c r="F43">
        <f>'EXP FD A'!F43+'EXP FD B'!F43+'EXP FD C'!F43</f>
        <v>1</v>
      </c>
      <c r="G43">
        <f>'EXP FD A'!G43+'EXP FD B'!G43+'EXP FD C'!G43</f>
        <v>1</v>
      </c>
      <c r="H43">
        <f>'EXP FD A'!H43+'EXP FD B'!H43+'EXP FD C'!H43</f>
        <v>1</v>
      </c>
      <c r="I43">
        <f>'EXP FD A'!I43+'EXP FD B'!I43+'EXP FD C'!I43</f>
        <v>1</v>
      </c>
      <c r="J43">
        <f>'EXP FD A'!J43+'EXP FD B'!J43+'EXP FD C'!J43</f>
        <v>1</v>
      </c>
      <c r="K43">
        <f>'EXP FD A'!K43+'EXP FD B'!K43+'EXP FD C'!K43</f>
        <v>1</v>
      </c>
      <c r="L43">
        <f>'EXP FD A'!L43+'EXP FD B'!L43+'EXP FD C'!L43</f>
        <v>1</v>
      </c>
      <c r="M43">
        <f>'EXP FD A'!M43+'EXP FD B'!M43+'EXP FD C'!M43</f>
        <v>1</v>
      </c>
      <c r="N43">
        <f>'EXP FD A'!N43+'EXP FD B'!N43+'EXP FD C'!N43</f>
        <v>1</v>
      </c>
      <c r="O43">
        <f>'EXP FD A'!O43+'EXP FD B'!O43+'EXP FD C'!O43</f>
        <v>1</v>
      </c>
      <c r="P43">
        <f>'EXP FD A'!P43+'EXP FD B'!P43+'EXP FD C'!P43</f>
        <v>1</v>
      </c>
      <c r="Q43">
        <f>'EXP FD A'!Q43+'EXP FD B'!Q43+'EXP FD C'!Q43</f>
        <v>1</v>
      </c>
      <c r="R43">
        <f>'EXP FD A'!R43+'EXP FD B'!R43+'EXP FD C'!R43</f>
        <v>1</v>
      </c>
      <c r="S43">
        <f>'EXP FD A'!S43+'EXP FD B'!S43+'EXP FD C'!S43</f>
        <v>1</v>
      </c>
      <c r="T43">
        <f>'EXP FD A'!T43+'EXP FD B'!T43+'EXP FD C'!T43</f>
        <v>1</v>
      </c>
      <c r="U43">
        <f>'EXP FD A'!U43+'EXP FD B'!U43+'EXP FD C'!U43</f>
        <v>1</v>
      </c>
      <c r="V43">
        <f>'EXP FD A'!V43+'EXP FD B'!V43+'EXP FD C'!V43</f>
        <v>1</v>
      </c>
      <c r="W43">
        <f>'EXP FD A'!W43+'EXP FD B'!W43+'EXP FD C'!W43</f>
        <v>1</v>
      </c>
      <c r="X43">
        <f>'EXP FD A'!X43+'EXP FD B'!X43+'EXP FD C'!X43</f>
        <v>1</v>
      </c>
      <c r="Y43">
        <f>'EXP FD A'!Y43+'EXP FD B'!Y43+'EXP FD C'!Y43</f>
        <v>1</v>
      </c>
      <c r="Z43">
        <f>'EXP FD A'!Z43+'EXP FD B'!Z43+'EXP FD C'!Z43</f>
        <v>1</v>
      </c>
      <c r="AA43">
        <f>'EXP FD A'!AA43+'EXP FD B'!AA43+'EXP FD C'!AA43</f>
        <v>1</v>
      </c>
      <c r="AB43">
        <f>'EXP FD A'!AB43+'EXP FD B'!AB43+'EXP FD C'!AB43</f>
        <v>1</v>
      </c>
      <c r="AC43">
        <f>'EXP FD A'!AC43+'EXP FD B'!AC43+'EXP FD C'!AC43</f>
        <v>1</v>
      </c>
      <c r="AD43">
        <f>'EXP FD A'!AD43+'EXP FD B'!AD43+'EXP FD C'!AD43</f>
        <v>1</v>
      </c>
      <c r="AE43">
        <f>'EXP FD A'!AE43+'EXP FD B'!AE43+'EXP FD C'!AE43</f>
        <v>1</v>
      </c>
      <c r="AF43">
        <f>'EXP FD A'!AF43+'EXP FD B'!AF43+'EXP FD C'!AF43</f>
        <v>1</v>
      </c>
      <c r="AG43">
        <f>'EXP FD A'!AG43+'EXP FD B'!AG43+'EXP FD C'!AG43</f>
        <v>1</v>
      </c>
      <c r="AH43">
        <f>'EXP FD A'!AH43+'EXP FD B'!AH43+'EXP FD C'!AH43</f>
        <v>1</v>
      </c>
      <c r="AI43">
        <f>'EXP FD A'!AI43+'EXP FD B'!AI43+'EXP FD C'!AI43</f>
        <v>1</v>
      </c>
      <c r="AJ43">
        <f>'EXP FD A'!AJ43+'EXP FD B'!AJ43+'EXP FD C'!AJ43</f>
        <v>1</v>
      </c>
      <c r="AK43">
        <f>'EXP FD A'!AK43+'EXP FD B'!AK43+'EXP FD C'!AK43</f>
        <v>1</v>
      </c>
      <c r="AL43">
        <f>'EXP FD A'!AL43+'EXP FD B'!AL43+'EXP FD C'!AL43</f>
        <v>1</v>
      </c>
      <c r="AM43">
        <f>'EXP FD A'!AM43+'EXP FD B'!AM43+'EXP FD C'!AM43</f>
        <v>1</v>
      </c>
      <c r="AN43">
        <f>'EXP FD A'!AN43+'EXP FD B'!AN43+'EXP FD C'!AN43</f>
        <v>1</v>
      </c>
      <c r="AO43">
        <f>'EXP FD A'!AO43+'EXP FD B'!AO43+'EXP FD C'!AO43</f>
        <v>1</v>
      </c>
      <c r="AP43">
        <f>'EXP FD A'!AP43+'EXP FD B'!AP43+'EXP FD C'!AP43</f>
        <v>1</v>
      </c>
      <c r="AQ43">
        <f>'EXP FD A'!AQ43+'EXP FD B'!AQ43+'EXP FD C'!AQ43</f>
        <v>1</v>
      </c>
      <c r="AR43">
        <f>'EXP FD A'!AR43+'EXP FD B'!AR43+'EXP FD C'!AR43</f>
        <v>1</v>
      </c>
      <c r="AS43">
        <f>'EXP FD A'!AS43+'EXP FD B'!AS43+'EXP FD C'!AS43</f>
        <v>1</v>
      </c>
      <c r="AT43">
        <f>'EXP FD A'!AT43+'EXP FD B'!AT43+'EXP FD C'!AT43</f>
        <v>1</v>
      </c>
      <c r="AU43">
        <f>'EXP FD A'!AU43+'EXP FD B'!AU43+'EXP FD C'!AU43</f>
        <v>1</v>
      </c>
      <c r="AV43">
        <f>'EXP FD A'!AV43+'EXP FD B'!AV43+'EXP FD C'!AV43</f>
        <v>1</v>
      </c>
      <c r="AW43">
        <f>'EXP FD A'!AW43+'EXP FD B'!AW43+'EXP FD C'!AW43</f>
        <v>1</v>
      </c>
      <c r="AX43">
        <f>'EXP FD A'!AX43+'EXP FD B'!AX43+'EXP FD C'!AX43</f>
        <v>1</v>
      </c>
      <c r="AY43">
        <f>'EXP FD A'!AY43+'EXP FD B'!AY43+'EXP FD C'!AY43</f>
        <v>1</v>
      </c>
      <c r="AZ43">
        <f>'EXP FD A'!AZ43+'EXP FD B'!AZ43+'EXP FD C'!AZ43</f>
        <v>1</v>
      </c>
      <c r="BA43" s="6"/>
    </row>
    <row r="44" spans="1:53" x14ac:dyDescent="0.2">
      <c r="A44">
        <f t="shared" si="1"/>
        <v>21</v>
      </c>
      <c r="B44" s="3">
        <f t="shared" si="0"/>
        <v>42</v>
      </c>
      <c r="C44">
        <f>'EXP FD A'!C44+'EXP FD B'!C44+'EXP FD C'!C44</f>
        <v>1</v>
      </c>
      <c r="D44">
        <f>'EXP FD A'!D44+'EXP FD B'!D44+'EXP FD C'!D44</f>
        <v>1</v>
      </c>
      <c r="E44">
        <f>'EXP FD A'!E44+'EXP FD B'!E44+'EXP FD C'!E44</f>
        <v>1</v>
      </c>
      <c r="F44">
        <f>'EXP FD A'!F44+'EXP FD B'!F44+'EXP FD C'!F44</f>
        <v>1</v>
      </c>
      <c r="G44">
        <f>'EXP FD A'!G44+'EXP FD B'!G44+'EXP FD C'!G44</f>
        <v>1</v>
      </c>
      <c r="H44">
        <f>'EXP FD A'!H44+'EXP FD B'!H44+'EXP FD C'!H44</f>
        <v>1</v>
      </c>
      <c r="I44">
        <f>'EXP FD A'!I44+'EXP FD B'!I44+'EXP FD C'!I44</f>
        <v>1</v>
      </c>
      <c r="J44">
        <f>'EXP FD A'!J44+'EXP FD B'!J44+'EXP FD C'!J44</f>
        <v>1</v>
      </c>
      <c r="K44">
        <f>'EXP FD A'!K44+'EXP FD B'!K44+'EXP FD C'!K44</f>
        <v>1</v>
      </c>
      <c r="L44">
        <f>'EXP FD A'!L44+'EXP FD B'!L44+'EXP FD C'!L44</f>
        <v>1</v>
      </c>
      <c r="M44">
        <f>'EXP FD A'!M44+'EXP FD B'!M44+'EXP FD C'!M44</f>
        <v>1</v>
      </c>
      <c r="N44">
        <f>'EXP FD A'!N44+'EXP FD B'!N44+'EXP FD C'!N44</f>
        <v>1</v>
      </c>
      <c r="O44">
        <f>'EXP FD A'!O44+'EXP FD B'!O44+'EXP FD C'!O44</f>
        <v>1</v>
      </c>
      <c r="P44">
        <f>'EXP FD A'!P44+'EXP FD B'!P44+'EXP FD C'!P44</f>
        <v>1</v>
      </c>
      <c r="Q44">
        <f>'EXP FD A'!Q44+'EXP FD B'!Q44+'EXP FD C'!Q44</f>
        <v>1</v>
      </c>
      <c r="R44">
        <f>'EXP FD A'!R44+'EXP FD B'!R44+'EXP FD C'!R44</f>
        <v>1</v>
      </c>
      <c r="S44">
        <f>'EXP FD A'!S44+'EXP FD B'!S44+'EXP FD C'!S44</f>
        <v>1</v>
      </c>
      <c r="T44">
        <f>'EXP FD A'!T44+'EXP FD B'!T44+'EXP FD C'!T44</f>
        <v>1</v>
      </c>
      <c r="U44">
        <f>'EXP FD A'!U44+'EXP FD B'!U44+'EXP FD C'!U44</f>
        <v>1</v>
      </c>
      <c r="V44">
        <f>'EXP FD A'!V44+'EXP FD B'!V44+'EXP FD C'!V44</f>
        <v>1</v>
      </c>
      <c r="W44">
        <f>'EXP FD A'!W44+'EXP FD B'!W44+'EXP FD C'!W44</f>
        <v>1</v>
      </c>
      <c r="X44">
        <f>'EXP FD A'!X44+'EXP FD B'!X44+'EXP FD C'!X44</f>
        <v>1</v>
      </c>
      <c r="Y44">
        <f>'EXP FD A'!Y44+'EXP FD B'!Y44+'EXP FD C'!Y44</f>
        <v>1</v>
      </c>
      <c r="Z44">
        <f>'EXP FD A'!Z44+'EXP FD B'!Z44+'EXP FD C'!Z44</f>
        <v>1</v>
      </c>
      <c r="AA44">
        <f>'EXP FD A'!AA44+'EXP FD B'!AA44+'EXP FD C'!AA44</f>
        <v>1</v>
      </c>
      <c r="AB44">
        <f>'EXP FD A'!AB44+'EXP FD B'!AB44+'EXP FD C'!AB44</f>
        <v>1</v>
      </c>
      <c r="AC44">
        <f>'EXP FD A'!AC44+'EXP FD B'!AC44+'EXP FD C'!AC44</f>
        <v>1</v>
      </c>
      <c r="AD44">
        <f>'EXP FD A'!AD44+'EXP FD B'!AD44+'EXP FD C'!AD44</f>
        <v>1</v>
      </c>
      <c r="AE44">
        <f>'EXP FD A'!AE44+'EXP FD B'!AE44+'EXP FD C'!AE44</f>
        <v>1</v>
      </c>
      <c r="AF44">
        <f>'EXP FD A'!AF44+'EXP FD B'!AF44+'EXP FD C'!AF44</f>
        <v>1</v>
      </c>
      <c r="AG44">
        <f>'EXP FD A'!AG44+'EXP FD B'!AG44+'EXP FD C'!AG44</f>
        <v>1</v>
      </c>
      <c r="AH44">
        <f>'EXP FD A'!AH44+'EXP FD B'!AH44+'EXP FD C'!AH44</f>
        <v>1</v>
      </c>
      <c r="AI44">
        <f>'EXP FD A'!AI44+'EXP FD B'!AI44+'EXP FD C'!AI44</f>
        <v>1</v>
      </c>
      <c r="AJ44">
        <f>'EXP FD A'!AJ44+'EXP FD B'!AJ44+'EXP FD C'!AJ44</f>
        <v>1</v>
      </c>
      <c r="AK44">
        <f>'EXP FD A'!AK44+'EXP FD B'!AK44+'EXP FD C'!AK44</f>
        <v>1</v>
      </c>
      <c r="AL44">
        <f>'EXP FD A'!AL44+'EXP FD B'!AL44+'EXP FD C'!AL44</f>
        <v>1</v>
      </c>
      <c r="AM44">
        <f>'EXP FD A'!AM44+'EXP FD B'!AM44+'EXP FD C'!AM44</f>
        <v>1</v>
      </c>
      <c r="AN44">
        <f>'EXP FD A'!AN44+'EXP FD B'!AN44+'EXP FD C'!AN44</f>
        <v>1</v>
      </c>
      <c r="AO44">
        <f>'EXP FD A'!AO44+'EXP FD B'!AO44+'EXP FD C'!AO44</f>
        <v>1</v>
      </c>
      <c r="AP44">
        <f>'EXP FD A'!AP44+'EXP FD B'!AP44+'EXP FD C'!AP44</f>
        <v>1</v>
      </c>
      <c r="AQ44">
        <f>'EXP FD A'!AQ44+'EXP FD B'!AQ44+'EXP FD C'!AQ44</f>
        <v>1</v>
      </c>
      <c r="AR44">
        <f>'EXP FD A'!AR44+'EXP FD B'!AR44+'EXP FD C'!AR44</f>
        <v>1</v>
      </c>
      <c r="AS44">
        <f>'EXP FD A'!AS44+'EXP FD B'!AS44+'EXP FD C'!AS44</f>
        <v>1</v>
      </c>
      <c r="AT44">
        <f>'EXP FD A'!AT44+'EXP FD B'!AT44+'EXP FD C'!AT44</f>
        <v>1</v>
      </c>
      <c r="AU44">
        <f>'EXP FD A'!AU44+'EXP FD B'!AU44+'EXP FD C'!AU44</f>
        <v>1</v>
      </c>
      <c r="AV44">
        <f>'EXP FD A'!AV44+'EXP FD B'!AV44+'EXP FD C'!AV44</f>
        <v>1</v>
      </c>
      <c r="AW44">
        <f>'EXP FD A'!AW44+'EXP FD B'!AW44+'EXP FD C'!AW44</f>
        <v>1</v>
      </c>
      <c r="AX44">
        <f>'EXP FD A'!AX44+'EXP FD B'!AX44+'EXP FD C'!AX44</f>
        <v>1</v>
      </c>
      <c r="AY44">
        <f>'EXP FD A'!AY44+'EXP FD B'!AY44+'EXP FD C'!AY44</f>
        <v>1</v>
      </c>
      <c r="AZ44">
        <f>'EXP FD A'!AZ44+'EXP FD B'!AZ44+'EXP FD C'!AZ44</f>
        <v>1</v>
      </c>
      <c r="BA44" s="6"/>
    </row>
    <row r="45" spans="1:53" x14ac:dyDescent="0.2">
      <c r="A45">
        <f t="shared" si="1"/>
        <v>20</v>
      </c>
      <c r="B45" s="3">
        <f t="shared" si="0"/>
        <v>40</v>
      </c>
      <c r="C45">
        <f>'EXP FD A'!C45+'EXP FD B'!C45+'EXP FD C'!C45</f>
        <v>1</v>
      </c>
      <c r="D45">
        <f>'EXP FD A'!D45+'EXP FD B'!D45+'EXP FD C'!D45</f>
        <v>1</v>
      </c>
      <c r="E45">
        <f>'EXP FD A'!E45+'EXP FD B'!E45+'EXP FD C'!E45</f>
        <v>1</v>
      </c>
      <c r="F45">
        <f>'EXP FD A'!F45+'EXP FD B'!F45+'EXP FD C'!F45</f>
        <v>1</v>
      </c>
      <c r="G45">
        <f>'EXP FD A'!G45+'EXP FD B'!G45+'EXP FD C'!G45</f>
        <v>1</v>
      </c>
      <c r="H45">
        <f>'EXP FD A'!H45+'EXP FD B'!H45+'EXP FD C'!H45</f>
        <v>1</v>
      </c>
      <c r="I45">
        <f>'EXP FD A'!I45+'EXP FD B'!I45+'EXP FD C'!I45</f>
        <v>1</v>
      </c>
      <c r="J45">
        <f>'EXP FD A'!J45+'EXP FD B'!J45+'EXP FD C'!J45</f>
        <v>1</v>
      </c>
      <c r="K45">
        <f>'EXP FD A'!K45+'EXP FD B'!K45+'EXP FD C'!K45</f>
        <v>1</v>
      </c>
      <c r="L45">
        <f>'EXP FD A'!L45+'EXP FD B'!L45+'EXP FD C'!L45</f>
        <v>1</v>
      </c>
      <c r="M45">
        <f>'EXP FD A'!M45+'EXP FD B'!M45+'EXP FD C'!M45</f>
        <v>1</v>
      </c>
      <c r="N45">
        <f>'EXP FD A'!N45+'EXP FD B'!N45+'EXP FD C'!N45</f>
        <v>1</v>
      </c>
      <c r="O45">
        <f>'EXP FD A'!O45+'EXP FD B'!O45+'EXP FD C'!O45</f>
        <v>1</v>
      </c>
      <c r="P45">
        <f>'EXP FD A'!P45+'EXP FD B'!P45+'EXP FD C'!P45</f>
        <v>1</v>
      </c>
      <c r="Q45">
        <f>'EXP FD A'!Q45+'EXP FD B'!Q45+'EXP FD C'!Q45</f>
        <v>1</v>
      </c>
      <c r="R45">
        <f>'EXP FD A'!R45+'EXP FD B'!R45+'EXP FD C'!R45</f>
        <v>1</v>
      </c>
      <c r="S45">
        <f>'EXP FD A'!S45+'EXP FD B'!S45+'EXP FD C'!S45</f>
        <v>1</v>
      </c>
      <c r="T45">
        <f>'EXP FD A'!T45+'EXP FD B'!T45+'EXP FD C'!T45</f>
        <v>1</v>
      </c>
      <c r="U45">
        <f>'EXP FD A'!U45+'EXP FD B'!U45+'EXP FD C'!U45</f>
        <v>1</v>
      </c>
      <c r="V45">
        <f>'EXP FD A'!V45+'EXP FD B'!V45+'EXP FD C'!V45</f>
        <v>1</v>
      </c>
      <c r="W45">
        <f>'EXP FD A'!W45+'EXP FD B'!W45+'EXP FD C'!W45</f>
        <v>1</v>
      </c>
      <c r="X45">
        <f>'EXP FD A'!X45+'EXP FD B'!X45+'EXP FD C'!X45</f>
        <v>1</v>
      </c>
      <c r="Y45">
        <f>'EXP FD A'!Y45+'EXP FD B'!Y45+'EXP FD C'!Y45</f>
        <v>1</v>
      </c>
      <c r="Z45">
        <f>'EXP FD A'!Z45+'EXP FD B'!Z45+'EXP FD C'!Z45</f>
        <v>1</v>
      </c>
      <c r="AA45">
        <f>'EXP FD A'!AA45+'EXP FD B'!AA45+'EXP FD C'!AA45</f>
        <v>1</v>
      </c>
      <c r="AB45">
        <f>'EXP FD A'!AB45+'EXP FD B'!AB45+'EXP FD C'!AB45</f>
        <v>1</v>
      </c>
      <c r="AC45">
        <f>'EXP FD A'!AC45+'EXP FD B'!AC45+'EXP FD C'!AC45</f>
        <v>1</v>
      </c>
      <c r="AD45">
        <f>'EXP FD A'!AD45+'EXP FD B'!AD45+'EXP FD C'!AD45</f>
        <v>1</v>
      </c>
      <c r="AE45">
        <f>'EXP FD A'!AE45+'EXP FD B'!AE45+'EXP FD C'!AE45</f>
        <v>1</v>
      </c>
      <c r="AF45">
        <f>'EXP FD A'!AF45+'EXP FD B'!AF45+'EXP FD C'!AF45</f>
        <v>1</v>
      </c>
      <c r="AG45">
        <f>'EXP FD A'!AG45+'EXP FD B'!AG45+'EXP FD C'!AG45</f>
        <v>1</v>
      </c>
      <c r="AH45">
        <f>'EXP FD A'!AH45+'EXP FD B'!AH45+'EXP FD C'!AH45</f>
        <v>1</v>
      </c>
      <c r="AI45">
        <f>'EXP FD A'!AI45+'EXP FD B'!AI45+'EXP FD C'!AI45</f>
        <v>1</v>
      </c>
      <c r="AJ45">
        <f>'EXP FD A'!AJ45+'EXP FD B'!AJ45+'EXP FD C'!AJ45</f>
        <v>1</v>
      </c>
      <c r="AK45">
        <f>'EXP FD A'!AK45+'EXP FD B'!AK45+'EXP FD C'!AK45</f>
        <v>1</v>
      </c>
      <c r="AL45">
        <f>'EXP FD A'!AL45+'EXP FD B'!AL45+'EXP FD C'!AL45</f>
        <v>1</v>
      </c>
      <c r="AM45">
        <f>'EXP FD A'!AM45+'EXP FD B'!AM45+'EXP FD C'!AM45</f>
        <v>1</v>
      </c>
      <c r="AN45">
        <f>'EXP FD A'!AN45+'EXP FD B'!AN45+'EXP FD C'!AN45</f>
        <v>1</v>
      </c>
      <c r="AO45">
        <f>'EXP FD A'!AO45+'EXP FD B'!AO45+'EXP FD C'!AO45</f>
        <v>1</v>
      </c>
      <c r="AP45">
        <f>'EXP FD A'!AP45+'EXP FD B'!AP45+'EXP FD C'!AP45</f>
        <v>1</v>
      </c>
      <c r="AQ45">
        <f>'EXP FD A'!AQ45+'EXP FD B'!AQ45+'EXP FD C'!AQ45</f>
        <v>1</v>
      </c>
      <c r="AR45">
        <f>'EXP FD A'!AR45+'EXP FD B'!AR45+'EXP FD C'!AR45</f>
        <v>1</v>
      </c>
      <c r="AS45">
        <f>'EXP FD A'!AS45+'EXP FD B'!AS45+'EXP FD C'!AS45</f>
        <v>1</v>
      </c>
      <c r="AT45">
        <f>'EXP FD A'!AT45+'EXP FD B'!AT45+'EXP FD C'!AT45</f>
        <v>1</v>
      </c>
      <c r="AU45">
        <f>'EXP FD A'!AU45+'EXP FD B'!AU45+'EXP FD C'!AU45</f>
        <v>1</v>
      </c>
      <c r="AV45">
        <f>'EXP FD A'!AV45+'EXP FD B'!AV45+'EXP FD C'!AV45</f>
        <v>1</v>
      </c>
      <c r="AW45">
        <f>'EXP FD A'!AW45+'EXP FD B'!AW45+'EXP FD C'!AW45</f>
        <v>1</v>
      </c>
      <c r="AX45">
        <f>'EXP FD A'!AX45+'EXP FD B'!AX45+'EXP FD C'!AX45</f>
        <v>1</v>
      </c>
      <c r="AY45">
        <f>'EXP FD A'!AY45+'EXP FD B'!AY45+'EXP FD C'!AY45</f>
        <v>1</v>
      </c>
      <c r="AZ45">
        <f>'EXP FD A'!AZ45+'EXP FD B'!AZ45+'EXP FD C'!AZ45</f>
        <v>1</v>
      </c>
      <c r="BA45" s="6"/>
    </row>
    <row r="46" spans="1:53" x14ac:dyDescent="0.2">
      <c r="A46">
        <f t="shared" si="1"/>
        <v>19</v>
      </c>
      <c r="B46" s="3">
        <f t="shared" si="0"/>
        <v>38</v>
      </c>
      <c r="C46">
        <f>'EXP FD A'!C46+'EXP FD B'!C46+'EXP FD C'!C46</f>
        <v>1</v>
      </c>
      <c r="D46">
        <f>'EXP FD A'!D46+'EXP FD B'!D46+'EXP FD C'!D46</f>
        <v>1</v>
      </c>
      <c r="E46">
        <f>'EXP FD A'!E46+'EXP FD B'!E46+'EXP FD C'!E46</f>
        <v>1</v>
      </c>
      <c r="F46">
        <f>'EXP FD A'!F46+'EXP FD B'!F46+'EXP FD C'!F46</f>
        <v>1</v>
      </c>
      <c r="G46">
        <f>'EXP FD A'!G46+'EXP FD B'!G46+'EXP FD C'!G46</f>
        <v>1</v>
      </c>
      <c r="H46">
        <f>'EXP FD A'!H46+'EXP FD B'!H46+'EXP FD C'!H46</f>
        <v>1</v>
      </c>
      <c r="I46">
        <f>'EXP FD A'!I46+'EXP FD B'!I46+'EXP FD C'!I46</f>
        <v>1</v>
      </c>
      <c r="J46">
        <f>'EXP FD A'!J46+'EXP FD B'!J46+'EXP FD C'!J46</f>
        <v>1</v>
      </c>
      <c r="K46">
        <f>'EXP FD A'!K46+'EXP FD B'!K46+'EXP FD C'!K46</f>
        <v>1</v>
      </c>
      <c r="L46">
        <f>'EXP FD A'!L46+'EXP FD B'!L46+'EXP FD C'!L46</f>
        <v>1</v>
      </c>
      <c r="M46">
        <f>'EXP FD A'!M46+'EXP FD B'!M46+'EXP FD C'!M46</f>
        <v>1</v>
      </c>
      <c r="N46">
        <f>'EXP FD A'!N46+'EXP FD B'!N46+'EXP FD C'!N46</f>
        <v>1</v>
      </c>
      <c r="O46">
        <f>'EXP FD A'!O46+'EXP FD B'!O46+'EXP FD C'!O46</f>
        <v>1</v>
      </c>
      <c r="P46">
        <f>'EXP FD A'!P46+'EXP FD B'!P46+'EXP FD C'!P46</f>
        <v>1</v>
      </c>
      <c r="Q46">
        <f>'EXP FD A'!Q46+'EXP FD B'!Q46+'EXP FD C'!Q46</f>
        <v>1</v>
      </c>
      <c r="R46">
        <f>'EXP FD A'!R46+'EXP FD B'!R46+'EXP FD C'!R46</f>
        <v>1</v>
      </c>
      <c r="S46">
        <f>'EXP FD A'!S46+'EXP FD B'!S46+'EXP FD C'!S46</f>
        <v>1</v>
      </c>
      <c r="T46">
        <f>'EXP FD A'!T46+'EXP FD B'!T46+'EXP FD C'!T46</f>
        <v>1</v>
      </c>
      <c r="U46">
        <f>'EXP FD A'!U46+'EXP FD B'!U46+'EXP FD C'!U46</f>
        <v>1</v>
      </c>
      <c r="V46">
        <f>'EXP FD A'!V46+'EXP FD B'!V46+'EXP FD C'!V46</f>
        <v>1</v>
      </c>
      <c r="W46">
        <f>'EXP FD A'!W46+'EXP FD B'!W46+'EXP FD C'!W46</f>
        <v>1</v>
      </c>
      <c r="X46">
        <f>'EXP FD A'!X46+'EXP FD B'!X46+'EXP FD C'!X46</f>
        <v>1</v>
      </c>
      <c r="Y46">
        <f>'EXP FD A'!Y46+'EXP FD B'!Y46+'EXP FD C'!Y46</f>
        <v>1</v>
      </c>
      <c r="Z46">
        <f>'EXP FD A'!Z46+'EXP FD B'!Z46+'EXP FD C'!Z46</f>
        <v>1</v>
      </c>
      <c r="AA46">
        <f>'EXP FD A'!AA46+'EXP FD B'!AA46+'EXP FD C'!AA46</f>
        <v>1</v>
      </c>
      <c r="AB46">
        <f>'EXP FD A'!AB46+'EXP FD B'!AB46+'EXP FD C'!AB46</f>
        <v>1</v>
      </c>
      <c r="AC46">
        <f>'EXP FD A'!AC46+'EXP FD B'!AC46+'EXP FD C'!AC46</f>
        <v>1</v>
      </c>
      <c r="AD46">
        <f>'EXP FD A'!AD46+'EXP FD B'!AD46+'EXP FD C'!AD46</f>
        <v>1</v>
      </c>
      <c r="AE46">
        <f>'EXP FD A'!AE46+'EXP FD B'!AE46+'EXP FD C'!AE46</f>
        <v>1</v>
      </c>
      <c r="AF46">
        <f>'EXP FD A'!AF46+'EXP FD B'!AF46+'EXP FD C'!AF46</f>
        <v>1</v>
      </c>
      <c r="AG46">
        <f>'EXP FD A'!AG46+'EXP FD B'!AG46+'EXP FD C'!AG46</f>
        <v>1</v>
      </c>
      <c r="AH46">
        <f>'EXP FD A'!AH46+'EXP FD B'!AH46+'EXP FD C'!AH46</f>
        <v>1</v>
      </c>
      <c r="AI46">
        <f>'EXP FD A'!AI46+'EXP FD B'!AI46+'EXP FD C'!AI46</f>
        <v>1</v>
      </c>
      <c r="AJ46">
        <f>'EXP FD A'!AJ46+'EXP FD B'!AJ46+'EXP FD C'!AJ46</f>
        <v>1</v>
      </c>
      <c r="AK46">
        <f>'EXP FD A'!AK46+'EXP FD B'!AK46+'EXP FD C'!AK46</f>
        <v>1</v>
      </c>
      <c r="AL46">
        <f>'EXP FD A'!AL46+'EXP FD B'!AL46+'EXP FD C'!AL46</f>
        <v>1</v>
      </c>
      <c r="AM46">
        <f>'EXP FD A'!AM46+'EXP FD B'!AM46+'EXP FD C'!AM46</f>
        <v>1</v>
      </c>
      <c r="AN46">
        <f>'EXP FD A'!AN46+'EXP FD B'!AN46+'EXP FD C'!AN46</f>
        <v>1</v>
      </c>
      <c r="AO46">
        <f>'EXP FD A'!AO46+'EXP FD B'!AO46+'EXP FD C'!AO46</f>
        <v>1</v>
      </c>
      <c r="AP46">
        <f>'EXP FD A'!AP46+'EXP FD B'!AP46+'EXP FD C'!AP46</f>
        <v>1</v>
      </c>
      <c r="AQ46">
        <f>'EXP FD A'!AQ46+'EXP FD B'!AQ46+'EXP FD C'!AQ46</f>
        <v>1</v>
      </c>
      <c r="AR46">
        <f>'EXP FD A'!AR46+'EXP FD B'!AR46+'EXP FD C'!AR46</f>
        <v>1</v>
      </c>
      <c r="AS46">
        <f>'EXP FD A'!AS46+'EXP FD B'!AS46+'EXP FD C'!AS46</f>
        <v>1</v>
      </c>
      <c r="AT46">
        <f>'EXP FD A'!AT46+'EXP FD B'!AT46+'EXP FD C'!AT46</f>
        <v>1</v>
      </c>
      <c r="AU46">
        <f>'EXP FD A'!AU46+'EXP FD B'!AU46+'EXP FD C'!AU46</f>
        <v>1</v>
      </c>
      <c r="AV46">
        <f>'EXP FD A'!AV46+'EXP FD B'!AV46+'EXP FD C'!AV46</f>
        <v>1</v>
      </c>
      <c r="AW46">
        <f>'EXP FD A'!AW46+'EXP FD B'!AW46+'EXP FD C'!AW46</f>
        <v>1</v>
      </c>
      <c r="AX46">
        <f>'EXP FD A'!AX46+'EXP FD B'!AX46+'EXP FD C'!AX46</f>
        <v>1</v>
      </c>
      <c r="AY46">
        <f>'EXP FD A'!AY46+'EXP FD B'!AY46+'EXP FD C'!AY46</f>
        <v>1</v>
      </c>
      <c r="AZ46">
        <f>'EXP FD A'!AZ46+'EXP FD B'!AZ46+'EXP FD C'!AZ46</f>
        <v>1</v>
      </c>
      <c r="BA46" s="6"/>
    </row>
    <row r="47" spans="1:53" x14ac:dyDescent="0.2">
      <c r="A47">
        <f t="shared" si="1"/>
        <v>18</v>
      </c>
      <c r="B47" s="3">
        <f t="shared" ref="B47:B65" si="2">Smin+dS*A47</f>
        <v>36</v>
      </c>
      <c r="C47">
        <f>'EXP FD A'!C47+'EXP FD B'!C47+'EXP FD C'!C47</f>
        <v>1</v>
      </c>
      <c r="D47">
        <f>'EXP FD A'!D47+'EXP FD B'!D47+'EXP FD C'!D47</f>
        <v>1</v>
      </c>
      <c r="E47">
        <f>'EXP FD A'!E47+'EXP FD B'!E47+'EXP FD C'!E47</f>
        <v>1</v>
      </c>
      <c r="F47">
        <f>'EXP FD A'!F47+'EXP FD B'!F47+'EXP FD C'!F47</f>
        <v>1</v>
      </c>
      <c r="G47">
        <f>'EXP FD A'!G47+'EXP FD B'!G47+'EXP FD C'!G47</f>
        <v>1</v>
      </c>
      <c r="H47">
        <f>'EXP FD A'!H47+'EXP FD B'!H47+'EXP FD C'!H47</f>
        <v>1</v>
      </c>
      <c r="I47">
        <f>'EXP FD A'!I47+'EXP FD B'!I47+'EXP FD C'!I47</f>
        <v>1</v>
      </c>
      <c r="J47">
        <f>'EXP FD A'!J47+'EXP FD B'!J47+'EXP FD C'!J47</f>
        <v>1</v>
      </c>
      <c r="K47">
        <f>'EXP FD A'!K47+'EXP FD B'!K47+'EXP FD C'!K47</f>
        <v>1</v>
      </c>
      <c r="L47">
        <f>'EXP FD A'!L47+'EXP FD B'!L47+'EXP FD C'!L47</f>
        <v>1</v>
      </c>
      <c r="M47">
        <f>'EXP FD A'!M47+'EXP FD B'!M47+'EXP FD C'!M47</f>
        <v>1</v>
      </c>
      <c r="N47">
        <f>'EXP FD A'!N47+'EXP FD B'!N47+'EXP FD C'!N47</f>
        <v>1</v>
      </c>
      <c r="O47">
        <f>'EXP FD A'!O47+'EXP FD B'!O47+'EXP FD C'!O47</f>
        <v>1</v>
      </c>
      <c r="P47">
        <f>'EXP FD A'!P47+'EXP FD B'!P47+'EXP FD C'!P47</f>
        <v>1</v>
      </c>
      <c r="Q47">
        <f>'EXP FD A'!Q47+'EXP FD B'!Q47+'EXP FD C'!Q47</f>
        <v>1</v>
      </c>
      <c r="R47">
        <f>'EXP FD A'!R47+'EXP FD B'!R47+'EXP FD C'!R47</f>
        <v>1</v>
      </c>
      <c r="S47">
        <f>'EXP FD A'!S47+'EXP FD B'!S47+'EXP FD C'!S47</f>
        <v>1</v>
      </c>
      <c r="T47">
        <f>'EXP FD A'!T47+'EXP FD B'!T47+'EXP FD C'!T47</f>
        <v>1</v>
      </c>
      <c r="U47">
        <f>'EXP FD A'!U47+'EXP FD B'!U47+'EXP FD C'!U47</f>
        <v>1</v>
      </c>
      <c r="V47">
        <f>'EXP FD A'!V47+'EXP FD B'!V47+'EXP FD C'!V47</f>
        <v>1</v>
      </c>
      <c r="W47">
        <f>'EXP FD A'!W47+'EXP FD B'!W47+'EXP FD C'!W47</f>
        <v>1</v>
      </c>
      <c r="X47">
        <f>'EXP FD A'!X47+'EXP FD B'!X47+'EXP FD C'!X47</f>
        <v>1</v>
      </c>
      <c r="Y47">
        <f>'EXP FD A'!Y47+'EXP FD B'!Y47+'EXP FD C'!Y47</f>
        <v>1</v>
      </c>
      <c r="Z47">
        <f>'EXP FD A'!Z47+'EXP FD B'!Z47+'EXP FD C'!Z47</f>
        <v>1</v>
      </c>
      <c r="AA47">
        <f>'EXP FD A'!AA47+'EXP FD B'!AA47+'EXP FD C'!AA47</f>
        <v>1</v>
      </c>
      <c r="AB47">
        <f>'EXP FD A'!AB47+'EXP FD B'!AB47+'EXP FD C'!AB47</f>
        <v>1</v>
      </c>
      <c r="AC47">
        <f>'EXP FD A'!AC47+'EXP FD B'!AC47+'EXP FD C'!AC47</f>
        <v>1</v>
      </c>
      <c r="AD47">
        <f>'EXP FD A'!AD47+'EXP FD B'!AD47+'EXP FD C'!AD47</f>
        <v>1</v>
      </c>
      <c r="AE47">
        <f>'EXP FD A'!AE47+'EXP FD B'!AE47+'EXP FD C'!AE47</f>
        <v>1</v>
      </c>
      <c r="AF47">
        <f>'EXP FD A'!AF47+'EXP FD B'!AF47+'EXP FD C'!AF47</f>
        <v>1</v>
      </c>
      <c r="AG47">
        <f>'EXP FD A'!AG47+'EXP FD B'!AG47+'EXP FD C'!AG47</f>
        <v>1</v>
      </c>
      <c r="AH47">
        <f>'EXP FD A'!AH47+'EXP FD B'!AH47+'EXP FD C'!AH47</f>
        <v>1</v>
      </c>
      <c r="AI47">
        <f>'EXP FD A'!AI47+'EXP FD B'!AI47+'EXP FD C'!AI47</f>
        <v>1</v>
      </c>
      <c r="AJ47">
        <f>'EXP FD A'!AJ47+'EXP FD B'!AJ47+'EXP FD C'!AJ47</f>
        <v>1</v>
      </c>
      <c r="AK47">
        <f>'EXP FD A'!AK47+'EXP FD B'!AK47+'EXP FD C'!AK47</f>
        <v>1</v>
      </c>
      <c r="AL47">
        <f>'EXP FD A'!AL47+'EXP FD B'!AL47+'EXP FD C'!AL47</f>
        <v>1</v>
      </c>
      <c r="AM47">
        <f>'EXP FD A'!AM47+'EXP FD B'!AM47+'EXP FD C'!AM47</f>
        <v>1</v>
      </c>
      <c r="AN47">
        <f>'EXP FD A'!AN47+'EXP FD B'!AN47+'EXP FD C'!AN47</f>
        <v>1</v>
      </c>
      <c r="AO47">
        <f>'EXP FD A'!AO47+'EXP FD B'!AO47+'EXP FD C'!AO47</f>
        <v>1</v>
      </c>
      <c r="AP47">
        <f>'EXP FD A'!AP47+'EXP FD B'!AP47+'EXP FD C'!AP47</f>
        <v>1</v>
      </c>
      <c r="AQ47">
        <f>'EXP FD A'!AQ47+'EXP FD B'!AQ47+'EXP FD C'!AQ47</f>
        <v>1</v>
      </c>
      <c r="AR47">
        <f>'EXP FD A'!AR47+'EXP FD B'!AR47+'EXP FD C'!AR47</f>
        <v>1</v>
      </c>
      <c r="AS47">
        <f>'EXP FD A'!AS47+'EXP FD B'!AS47+'EXP FD C'!AS47</f>
        <v>1</v>
      </c>
      <c r="AT47">
        <f>'EXP FD A'!AT47+'EXP FD B'!AT47+'EXP FD C'!AT47</f>
        <v>1</v>
      </c>
      <c r="AU47">
        <f>'EXP FD A'!AU47+'EXP FD B'!AU47+'EXP FD C'!AU47</f>
        <v>1</v>
      </c>
      <c r="AV47">
        <f>'EXP FD A'!AV47+'EXP FD B'!AV47+'EXP FD C'!AV47</f>
        <v>1</v>
      </c>
      <c r="AW47">
        <f>'EXP FD A'!AW47+'EXP FD B'!AW47+'EXP FD C'!AW47</f>
        <v>1</v>
      </c>
      <c r="AX47">
        <f>'EXP FD A'!AX47+'EXP FD B'!AX47+'EXP FD C'!AX47</f>
        <v>1</v>
      </c>
      <c r="AY47">
        <f>'EXP FD A'!AY47+'EXP FD B'!AY47+'EXP FD C'!AY47</f>
        <v>1</v>
      </c>
      <c r="AZ47">
        <f>'EXP FD A'!AZ47+'EXP FD B'!AZ47+'EXP FD C'!AZ47</f>
        <v>1</v>
      </c>
      <c r="BA47" s="6"/>
    </row>
    <row r="48" spans="1:53" x14ac:dyDescent="0.2">
      <c r="A48">
        <f t="shared" si="1"/>
        <v>17</v>
      </c>
      <c r="B48" s="3">
        <f t="shared" si="2"/>
        <v>34</v>
      </c>
      <c r="C48">
        <f>'EXP FD A'!C48+'EXP FD B'!C48+'EXP FD C'!C48</f>
        <v>1</v>
      </c>
      <c r="D48">
        <f>'EXP FD A'!D48+'EXP FD B'!D48+'EXP FD C'!D48</f>
        <v>1</v>
      </c>
      <c r="E48">
        <f>'EXP FD A'!E48+'EXP FD B'!E48+'EXP FD C'!E48</f>
        <v>1</v>
      </c>
      <c r="F48">
        <f>'EXP FD A'!F48+'EXP FD B'!F48+'EXP FD C'!F48</f>
        <v>1</v>
      </c>
      <c r="G48">
        <f>'EXP FD A'!G48+'EXP FD B'!G48+'EXP FD C'!G48</f>
        <v>1</v>
      </c>
      <c r="H48">
        <f>'EXP FD A'!H48+'EXP FD B'!H48+'EXP FD C'!H48</f>
        <v>1</v>
      </c>
      <c r="I48">
        <f>'EXP FD A'!I48+'EXP FD B'!I48+'EXP FD C'!I48</f>
        <v>1</v>
      </c>
      <c r="J48">
        <f>'EXP FD A'!J48+'EXP FD B'!J48+'EXP FD C'!J48</f>
        <v>1</v>
      </c>
      <c r="K48">
        <f>'EXP FD A'!K48+'EXP FD B'!K48+'EXP FD C'!K48</f>
        <v>1</v>
      </c>
      <c r="L48">
        <f>'EXP FD A'!L48+'EXP FD B'!L48+'EXP FD C'!L48</f>
        <v>1</v>
      </c>
      <c r="M48">
        <f>'EXP FD A'!M48+'EXP FD B'!M48+'EXP FD C'!M48</f>
        <v>1</v>
      </c>
      <c r="N48">
        <f>'EXP FD A'!N48+'EXP FD B'!N48+'EXP FD C'!N48</f>
        <v>1</v>
      </c>
      <c r="O48">
        <f>'EXP FD A'!O48+'EXP FD B'!O48+'EXP FD C'!O48</f>
        <v>1</v>
      </c>
      <c r="P48">
        <f>'EXP FD A'!P48+'EXP FD B'!P48+'EXP FD C'!P48</f>
        <v>1</v>
      </c>
      <c r="Q48">
        <f>'EXP FD A'!Q48+'EXP FD B'!Q48+'EXP FD C'!Q48</f>
        <v>1</v>
      </c>
      <c r="R48">
        <f>'EXP FD A'!R48+'EXP FD B'!R48+'EXP FD C'!R48</f>
        <v>1</v>
      </c>
      <c r="S48">
        <f>'EXP FD A'!S48+'EXP FD B'!S48+'EXP FD C'!S48</f>
        <v>1</v>
      </c>
      <c r="T48">
        <f>'EXP FD A'!T48+'EXP FD B'!T48+'EXP FD C'!T48</f>
        <v>1</v>
      </c>
      <c r="U48">
        <f>'EXP FD A'!U48+'EXP FD B'!U48+'EXP FD C'!U48</f>
        <v>1</v>
      </c>
      <c r="V48">
        <f>'EXP FD A'!V48+'EXP FD B'!V48+'EXP FD C'!V48</f>
        <v>1</v>
      </c>
      <c r="W48">
        <f>'EXP FD A'!W48+'EXP FD B'!W48+'EXP FD C'!W48</f>
        <v>1</v>
      </c>
      <c r="X48">
        <f>'EXP FD A'!X48+'EXP FD B'!X48+'EXP FD C'!X48</f>
        <v>1</v>
      </c>
      <c r="Y48">
        <f>'EXP FD A'!Y48+'EXP FD B'!Y48+'EXP FD C'!Y48</f>
        <v>1</v>
      </c>
      <c r="Z48">
        <f>'EXP FD A'!Z48+'EXP FD B'!Z48+'EXP FD C'!Z48</f>
        <v>1</v>
      </c>
      <c r="AA48">
        <f>'EXP FD A'!AA48+'EXP FD B'!AA48+'EXP FD C'!AA48</f>
        <v>1</v>
      </c>
      <c r="AB48">
        <f>'EXP FD A'!AB48+'EXP FD B'!AB48+'EXP FD C'!AB48</f>
        <v>1</v>
      </c>
      <c r="AC48">
        <f>'EXP FD A'!AC48+'EXP FD B'!AC48+'EXP FD C'!AC48</f>
        <v>1</v>
      </c>
      <c r="AD48">
        <f>'EXP FD A'!AD48+'EXP FD B'!AD48+'EXP FD C'!AD48</f>
        <v>1</v>
      </c>
      <c r="AE48">
        <f>'EXP FD A'!AE48+'EXP FD B'!AE48+'EXP FD C'!AE48</f>
        <v>1</v>
      </c>
      <c r="AF48">
        <f>'EXP FD A'!AF48+'EXP FD B'!AF48+'EXP FD C'!AF48</f>
        <v>1</v>
      </c>
      <c r="AG48">
        <f>'EXP FD A'!AG48+'EXP FD B'!AG48+'EXP FD C'!AG48</f>
        <v>1</v>
      </c>
      <c r="AH48">
        <f>'EXP FD A'!AH48+'EXP FD B'!AH48+'EXP FD C'!AH48</f>
        <v>1</v>
      </c>
      <c r="AI48">
        <f>'EXP FD A'!AI48+'EXP FD B'!AI48+'EXP FD C'!AI48</f>
        <v>1</v>
      </c>
      <c r="AJ48">
        <f>'EXP FD A'!AJ48+'EXP FD B'!AJ48+'EXP FD C'!AJ48</f>
        <v>1</v>
      </c>
      <c r="AK48">
        <f>'EXP FD A'!AK48+'EXP FD B'!AK48+'EXP FD C'!AK48</f>
        <v>1</v>
      </c>
      <c r="AL48">
        <f>'EXP FD A'!AL48+'EXP FD B'!AL48+'EXP FD C'!AL48</f>
        <v>1</v>
      </c>
      <c r="AM48">
        <f>'EXP FD A'!AM48+'EXP FD B'!AM48+'EXP FD C'!AM48</f>
        <v>1</v>
      </c>
      <c r="AN48">
        <f>'EXP FD A'!AN48+'EXP FD B'!AN48+'EXP FD C'!AN48</f>
        <v>1</v>
      </c>
      <c r="AO48">
        <f>'EXP FD A'!AO48+'EXP FD B'!AO48+'EXP FD C'!AO48</f>
        <v>1</v>
      </c>
      <c r="AP48">
        <f>'EXP FD A'!AP48+'EXP FD B'!AP48+'EXP FD C'!AP48</f>
        <v>1</v>
      </c>
      <c r="AQ48">
        <f>'EXP FD A'!AQ48+'EXP FD B'!AQ48+'EXP FD C'!AQ48</f>
        <v>1</v>
      </c>
      <c r="AR48">
        <f>'EXP FD A'!AR48+'EXP FD B'!AR48+'EXP FD C'!AR48</f>
        <v>1</v>
      </c>
      <c r="AS48">
        <f>'EXP FD A'!AS48+'EXP FD B'!AS48+'EXP FD C'!AS48</f>
        <v>1</v>
      </c>
      <c r="AT48">
        <f>'EXP FD A'!AT48+'EXP FD B'!AT48+'EXP FD C'!AT48</f>
        <v>1</v>
      </c>
      <c r="AU48">
        <f>'EXP FD A'!AU48+'EXP FD B'!AU48+'EXP FD C'!AU48</f>
        <v>1</v>
      </c>
      <c r="AV48">
        <f>'EXP FD A'!AV48+'EXP FD B'!AV48+'EXP FD C'!AV48</f>
        <v>1</v>
      </c>
      <c r="AW48">
        <f>'EXP FD A'!AW48+'EXP FD B'!AW48+'EXP FD C'!AW48</f>
        <v>1</v>
      </c>
      <c r="AX48">
        <f>'EXP FD A'!AX48+'EXP FD B'!AX48+'EXP FD C'!AX48</f>
        <v>1</v>
      </c>
      <c r="AY48">
        <f>'EXP FD A'!AY48+'EXP FD B'!AY48+'EXP FD C'!AY48</f>
        <v>1</v>
      </c>
      <c r="AZ48">
        <f>'EXP FD A'!AZ48+'EXP FD B'!AZ48+'EXP FD C'!AZ48</f>
        <v>1</v>
      </c>
      <c r="BA48" s="6"/>
    </row>
    <row r="49" spans="1:53" x14ac:dyDescent="0.2">
      <c r="A49">
        <f t="shared" si="1"/>
        <v>16</v>
      </c>
      <c r="B49" s="3">
        <f t="shared" si="2"/>
        <v>32</v>
      </c>
      <c r="C49">
        <f>'EXP FD A'!C49+'EXP FD B'!C49+'EXP FD C'!C49</f>
        <v>1</v>
      </c>
      <c r="D49">
        <f>'EXP FD A'!D49+'EXP FD B'!D49+'EXP FD C'!D49</f>
        <v>1</v>
      </c>
      <c r="E49">
        <f>'EXP FD A'!E49+'EXP FD B'!E49+'EXP FD C'!E49</f>
        <v>1</v>
      </c>
      <c r="F49">
        <f>'EXP FD A'!F49+'EXP FD B'!F49+'EXP FD C'!F49</f>
        <v>1</v>
      </c>
      <c r="G49">
        <f>'EXP FD A'!G49+'EXP FD B'!G49+'EXP FD C'!G49</f>
        <v>1</v>
      </c>
      <c r="H49">
        <f>'EXP FD A'!H49+'EXP FD B'!H49+'EXP FD C'!H49</f>
        <v>1</v>
      </c>
      <c r="I49">
        <f>'EXP FD A'!I49+'EXP FD B'!I49+'EXP FD C'!I49</f>
        <v>1</v>
      </c>
      <c r="J49">
        <f>'EXP FD A'!J49+'EXP FD B'!J49+'EXP FD C'!J49</f>
        <v>1</v>
      </c>
      <c r="K49">
        <f>'EXP FD A'!K49+'EXP FD B'!K49+'EXP FD C'!K49</f>
        <v>1</v>
      </c>
      <c r="L49">
        <f>'EXP FD A'!L49+'EXP FD B'!L49+'EXP FD C'!L49</f>
        <v>1</v>
      </c>
      <c r="M49">
        <f>'EXP FD A'!M49+'EXP FD B'!M49+'EXP FD C'!M49</f>
        <v>1</v>
      </c>
      <c r="N49">
        <f>'EXP FD A'!N49+'EXP FD B'!N49+'EXP FD C'!N49</f>
        <v>1</v>
      </c>
      <c r="O49">
        <f>'EXP FD A'!O49+'EXP FD B'!O49+'EXP FD C'!O49</f>
        <v>1</v>
      </c>
      <c r="P49">
        <f>'EXP FD A'!P49+'EXP FD B'!P49+'EXP FD C'!P49</f>
        <v>1</v>
      </c>
      <c r="Q49">
        <f>'EXP FD A'!Q49+'EXP FD B'!Q49+'EXP FD C'!Q49</f>
        <v>1</v>
      </c>
      <c r="R49">
        <f>'EXP FD A'!R49+'EXP FD B'!R49+'EXP FD C'!R49</f>
        <v>1</v>
      </c>
      <c r="S49">
        <f>'EXP FD A'!S49+'EXP FD B'!S49+'EXP FD C'!S49</f>
        <v>1</v>
      </c>
      <c r="T49">
        <f>'EXP FD A'!T49+'EXP FD B'!T49+'EXP FD C'!T49</f>
        <v>1</v>
      </c>
      <c r="U49">
        <f>'EXP FD A'!U49+'EXP FD B'!U49+'EXP FD C'!U49</f>
        <v>1</v>
      </c>
      <c r="V49">
        <f>'EXP FD A'!V49+'EXP FD B'!V49+'EXP FD C'!V49</f>
        <v>1</v>
      </c>
      <c r="W49">
        <f>'EXP FD A'!W49+'EXP FD B'!W49+'EXP FD C'!W49</f>
        <v>1</v>
      </c>
      <c r="X49">
        <f>'EXP FD A'!X49+'EXP FD B'!X49+'EXP FD C'!X49</f>
        <v>1</v>
      </c>
      <c r="Y49">
        <f>'EXP FD A'!Y49+'EXP FD B'!Y49+'EXP FD C'!Y49</f>
        <v>1</v>
      </c>
      <c r="Z49">
        <f>'EXP FD A'!Z49+'EXP FD B'!Z49+'EXP FD C'!Z49</f>
        <v>1</v>
      </c>
      <c r="AA49">
        <f>'EXP FD A'!AA49+'EXP FD B'!AA49+'EXP FD C'!AA49</f>
        <v>1</v>
      </c>
      <c r="AB49">
        <f>'EXP FD A'!AB49+'EXP FD B'!AB49+'EXP FD C'!AB49</f>
        <v>1</v>
      </c>
      <c r="AC49">
        <f>'EXP FD A'!AC49+'EXP FD B'!AC49+'EXP FD C'!AC49</f>
        <v>1</v>
      </c>
      <c r="AD49">
        <f>'EXP FD A'!AD49+'EXP FD B'!AD49+'EXP FD C'!AD49</f>
        <v>1</v>
      </c>
      <c r="AE49">
        <f>'EXP FD A'!AE49+'EXP FD B'!AE49+'EXP FD C'!AE49</f>
        <v>1</v>
      </c>
      <c r="AF49">
        <f>'EXP FD A'!AF49+'EXP FD B'!AF49+'EXP FD C'!AF49</f>
        <v>1</v>
      </c>
      <c r="AG49">
        <f>'EXP FD A'!AG49+'EXP FD B'!AG49+'EXP FD C'!AG49</f>
        <v>1</v>
      </c>
      <c r="AH49">
        <f>'EXP FD A'!AH49+'EXP FD B'!AH49+'EXP FD C'!AH49</f>
        <v>1</v>
      </c>
      <c r="AI49">
        <f>'EXP FD A'!AI49+'EXP FD B'!AI49+'EXP FD C'!AI49</f>
        <v>1</v>
      </c>
      <c r="AJ49">
        <f>'EXP FD A'!AJ49+'EXP FD B'!AJ49+'EXP FD C'!AJ49</f>
        <v>1</v>
      </c>
      <c r="AK49">
        <f>'EXP FD A'!AK49+'EXP FD B'!AK49+'EXP FD C'!AK49</f>
        <v>1</v>
      </c>
      <c r="AL49">
        <f>'EXP FD A'!AL49+'EXP FD B'!AL49+'EXP FD C'!AL49</f>
        <v>1</v>
      </c>
      <c r="AM49">
        <f>'EXP FD A'!AM49+'EXP FD B'!AM49+'EXP FD C'!AM49</f>
        <v>1</v>
      </c>
      <c r="AN49">
        <f>'EXP FD A'!AN49+'EXP FD B'!AN49+'EXP FD C'!AN49</f>
        <v>1</v>
      </c>
      <c r="AO49">
        <f>'EXP FD A'!AO49+'EXP FD B'!AO49+'EXP FD C'!AO49</f>
        <v>1</v>
      </c>
      <c r="AP49">
        <f>'EXP FD A'!AP49+'EXP FD B'!AP49+'EXP FD C'!AP49</f>
        <v>1</v>
      </c>
      <c r="AQ49">
        <f>'EXP FD A'!AQ49+'EXP FD B'!AQ49+'EXP FD C'!AQ49</f>
        <v>1</v>
      </c>
      <c r="AR49">
        <f>'EXP FD A'!AR49+'EXP FD B'!AR49+'EXP FD C'!AR49</f>
        <v>1</v>
      </c>
      <c r="AS49">
        <f>'EXP FD A'!AS49+'EXP FD B'!AS49+'EXP FD C'!AS49</f>
        <v>1</v>
      </c>
      <c r="AT49">
        <f>'EXP FD A'!AT49+'EXP FD B'!AT49+'EXP FD C'!AT49</f>
        <v>1</v>
      </c>
      <c r="AU49">
        <f>'EXP FD A'!AU49+'EXP FD B'!AU49+'EXP FD C'!AU49</f>
        <v>1</v>
      </c>
      <c r="AV49">
        <f>'EXP FD A'!AV49+'EXP FD B'!AV49+'EXP FD C'!AV49</f>
        <v>1</v>
      </c>
      <c r="AW49">
        <f>'EXP FD A'!AW49+'EXP FD B'!AW49+'EXP FD C'!AW49</f>
        <v>1</v>
      </c>
      <c r="AX49">
        <f>'EXP FD A'!AX49+'EXP FD B'!AX49+'EXP FD C'!AX49</f>
        <v>1</v>
      </c>
      <c r="AY49">
        <f>'EXP FD A'!AY49+'EXP FD B'!AY49+'EXP FD C'!AY49</f>
        <v>1</v>
      </c>
      <c r="AZ49">
        <f>'EXP FD A'!AZ49+'EXP FD B'!AZ49+'EXP FD C'!AZ49</f>
        <v>1</v>
      </c>
      <c r="BA49" s="6"/>
    </row>
    <row r="50" spans="1:53" x14ac:dyDescent="0.2">
      <c r="A50">
        <f t="shared" si="1"/>
        <v>15</v>
      </c>
      <c r="B50" s="3">
        <f t="shared" si="2"/>
        <v>30</v>
      </c>
      <c r="C50">
        <f>'EXP FD A'!C50+'EXP FD B'!C50+'EXP FD C'!C50</f>
        <v>1</v>
      </c>
      <c r="D50">
        <f>'EXP FD A'!D50+'EXP FD B'!D50+'EXP FD C'!D50</f>
        <v>1</v>
      </c>
      <c r="E50">
        <f>'EXP FD A'!E50+'EXP FD B'!E50+'EXP FD C'!E50</f>
        <v>1</v>
      </c>
      <c r="F50">
        <f>'EXP FD A'!F50+'EXP FD B'!F50+'EXP FD C'!F50</f>
        <v>1</v>
      </c>
      <c r="G50">
        <f>'EXP FD A'!G50+'EXP FD B'!G50+'EXP FD C'!G50</f>
        <v>1</v>
      </c>
      <c r="H50">
        <f>'EXP FD A'!H50+'EXP FD B'!H50+'EXP FD C'!H50</f>
        <v>1</v>
      </c>
      <c r="I50">
        <f>'EXP FD A'!I50+'EXP FD B'!I50+'EXP FD C'!I50</f>
        <v>1</v>
      </c>
      <c r="J50">
        <f>'EXP FD A'!J50+'EXP FD B'!J50+'EXP FD C'!J50</f>
        <v>1</v>
      </c>
      <c r="K50">
        <f>'EXP FD A'!K50+'EXP FD B'!K50+'EXP FD C'!K50</f>
        <v>1</v>
      </c>
      <c r="L50">
        <f>'EXP FD A'!L50+'EXP FD B'!L50+'EXP FD C'!L50</f>
        <v>1</v>
      </c>
      <c r="M50">
        <f>'EXP FD A'!M50+'EXP FD B'!M50+'EXP FD C'!M50</f>
        <v>1</v>
      </c>
      <c r="N50">
        <f>'EXP FD A'!N50+'EXP FD B'!N50+'EXP FD C'!N50</f>
        <v>1</v>
      </c>
      <c r="O50">
        <f>'EXP FD A'!O50+'EXP FD B'!O50+'EXP FD C'!O50</f>
        <v>1</v>
      </c>
      <c r="P50">
        <f>'EXP FD A'!P50+'EXP FD B'!P50+'EXP FD C'!P50</f>
        <v>1</v>
      </c>
      <c r="Q50">
        <f>'EXP FD A'!Q50+'EXP FD B'!Q50+'EXP FD C'!Q50</f>
        <v>1</v>
      </c>
      <c r="R50">
        <f>'EXP FD A'!R50+'EXP FD B'!R50+'EXP FD C'!R50</f>
        <v>1</v>
      </c>
      <c r="S50">
        <f>'EXP FD A'!S50+'EXP FD B'!S50+'EXP FD C'!S50</f>
        <v>1</v>
      </c>
      <c r="T50">
        <f>'EXP FD A'!T50+'EXP FD B'!T50+'EXP FD C'!T50</f>
        <v>1</v>
      </c>
      <c r="U50">
        <f>'EXP FD A'!U50+'EXP FD B'!U50+'EXP FD C'!U50</f>
        <v>1</v>
      </c>
      <c r="V50">
        <f>'EXP FD A'!V50+'EXP FD B'!V50+'EXP FD C'!V50</f>
        <v>1</v>
      </c>
      <c r="W50">
        <f>'EXP FD A'!W50+'EXP FD B'!W50+'EXP FD C'!W50</f>
        <v>1</v>
      </c>
      <c r="X50">
        <f>'EXP FD A'!X50+'EXP FD B'!X50+'EXP FD C'!X50</f>
        <v>1</v>
      </c>
      <c r="Y50">
        <f>'EXP FD A'!Y50+'EXP FD B'!Y50+'EXP FD C'!Y50</f>
        <v>1</v>
      </c>
      <c r="Z50">
        <f>'EXP FD A'!Z50+'EXP FD B'!Z50+'EXP FD C'!Z50</f>
        <v>1</v>
      </c>
      <c r="AA50">
        <f>'EXP FD A'!AA50+'EXP FD B'!AA50+'EXP FD C'!AA50</f>
        <v>1</v>
      </c>
      <c r="AB50">
        <f>'EXP FD A'!AB50+'EXP FD B'!AB50+'EXP FD C'!AB50</f>
        <v>1</v>
      </c>
      <c r="AC50">
        <f>'EXP FD A'!AC50+'EXP FD B'!AC50+'EXP FD C'!AC50</f>
        <v>1</v>
      </c>
      <c r="AD50">
        <f>'EXP FD A'!AD50+'EXP FD B'!AD50+'EXP FD C'!AD50</f>
        <v>1</v>
      </c>
      <c r="AE50">
        <f>'EXP FD A'!AE50+'EXP FD B'!AE50+'EXP FD C'!AE50</f>
        <v>1</v>
      </c>
      <c r="AF50">
        <f>'EXP FD A'!AF50+'EXP FD B'!AF50+'EXP FD C'!AF50</f>
        <v>1</v>
      </c>
      <c r="AG50">
        <f>'EXP FD A'!AG50+'EXP FD B'!AG50+'EXP FD C'!AG50</f>
        <v>1</v>
      </c>
      <c r="AH50">
        <f>'EXP FD A'!AH50+'EXP FD B'!AH50+'EXP FD C'!AH50</f>
        <v>1</v>
      </c>
      <c r="AI50">
        <f>'EXP FD A'!AI50+'EXP FD B'!AI50+'EXP FD C'!AI50</f>
        <v>1</v>
      </c>
      <c r="AJ50">
        <f>'EXP FD A'!AJ50+'EXP FD B'!AJ50+'EXP FD C'!AJ50</f>
        <v>1</v>
      </c>
      <c r="AK50">
        <f>'EXP FD A'!AK50+'EXP FD B'!AK50+'EXP FD C'!AK50</f>
        <v>1</v>
      </c>
      <c r="AL50">
        <f>'EXP FD A'!AL50+'EXP FD B'!AL50+'EXP FD C'!AL50</f>
        <v>1</v>
      </c>
      <c r="AM50">
        <f>'EXP FD A'!AM50+'EXP FD B'!AM50+'EXP FD C'!AM50</f>
        <v>1</v>
      </c>
      <c r="AN50">
        <f>'EXP FD A'!AN50+'EXP FD B'!AN50+'EXP FD C'!AN50</f>
        <v>1</v>
      </c>
      <c r="AO50">
        <f>'EXP FD A'!AO50+'EXP FD B'!AO50+'EXP FD C'!AO50</f>
        <v>1</v>
      </c>
      <c r="AP50">
        <f>'EXP FD A'!AP50+'EXP FD B'!AP50+'EXP FD C'!AP50</f>
        <v>1</v>
      </c>
      <c r="AQ50">
        <f>'EXP FD A'!AQ50+'EXP FD B'!AQ50+'EXP FD C'!AQ50</f>
        <v>1</v>
      </c>
      <c r="AR50">
        <f>'EXP FD A'!AR50+'EXP FD B'!AR50+'EXP FD C'!AR50</f>
        <v>1</v>
      </c>
      <c r="AS50">
        <f>'EXP FD A'!AS50+'EXP FD B'!AS50+'EXP FD C'!AS50</f>
        <v>1</v>
      </c>
      <c r="AT50">
        <f>'EXP FD A'!AT50+'EXP FD B'!AT50+'EXP FD C'!AT50</f>
        <v>1</v>
      </c>
      <c r="AU50">
        <f>'EXP FD A'!AU50+'EXP FD B'!AU50+'EXP FD C'!AU50</f>
        <v>1</v>
      </c>
      <c r="AV50">
        <f>'EXP FD A'!AV50+'EXP FD B'!AV50+'EXP FD C'!AV50</f>
        <v>1</v>
      </c>
      <c r="AW50">
        <f>'EXP FD A'!AW50+'EXP FD B'!AW50+'EXP FD C'!AW50</f>
        <v>1</v>
      </c>
      <c r="AX50">
        <f>'EXP FD A'!AX50+'EXP FD B'!AX50+'EXP FD C'!AX50</f>
        <v>1</v>
      </c>
      <c r="AY50">
        <f>'EXP FD A'!AY50+'EXP FD B'!AY50+'EXP FD C'!AY50</f>
        <v>1</v>
      </c>
      <c r="AZ50">
        <f>'EXP FD A'!AZ50+'EXP FD B'!AZ50+'EXP FD C'!AZ50</f>
        <v>1</v>
      </c>
      <c r="BA50" s="6"/>
    </row>
    <row r="51" spans="1:53" x14ac:dyDescent="0.2">
      <c r="A51">
        <f t="shared" si="1"/>
        <v>14</v>
      </c>
      <c r="B51" s="3">
        <f t="shared" si="2"/>
        <v>28</v>
      </c>
      <c r="C51">
        <f>'EXP FD A'!C51+'EXP FD B'!C51+'EXP FD C'!C51</f>
        <v>1</v>
      </c>
      <c r="D51">
        <f>'EXP FD A'!D51+'EXP FD B'!D51+'EXP FD C'!D51</f>
        <v>1</v>
      </c>
      <c r="E51">
        <f>'EXP FD A'!E51+'EXP FD B'!E51+'EXP FD C'!E51</f>
        <v>1</v>
      </c>
      <c r="F51">
        <f>'EXP FD A'!F51+'EXP FD B'!F51+'EXP FD C'!F51</f>
        <v>1</v>
      </c>
      <c r="G51">
        <f>'EXP FD A'!G51+'EXP FD B'!G51+'EXP FD C'!G51</f>
        <v>1</v>
      </c>
      <c r="H51">
        <f>'EXP FD A'!H51+'EXP FD B'!H51+'EXP FD C'!H51</f>
        <v>1</v>
      </c>
      <c r="I51">
        <f>'EXP FD A'!I51+'EXP FD B'!I51+'EXP FD C'!I51</f>
        <v>1</v>
      </c>
      <c r="J51">
        <f>'EXP FD A'!J51+'EXP FD B'!J51+'EXP FD C'!J51</f>
        <v>1</v>
      </c>
      <c r="K51">
        <f>'EXP FD A'!K51+'EXP FD B'!K51+'EXP FD C'!K51</f>
        <v>1</v>
      </c>
      <c r="L51">
        <f>'EXP FD A'!L51+'EXP FD B'!L51+'EXP FD C'!L51</f>
        <v>1</v>
      </c>
      <c r="M51">
        <f>'EXP FD A'!M51+'EXP FD B'!M51+'EXP FD C'!M51</f>
        <v>1</v>
      </c>
      <c r="N51">
        <f>'EXP FD A'!N51+'EXP FD B'!N51+'EXP FD C'!N51</f>
        <v>1</v>
      </c>
      <c r="O51">
        <f>'EXP FD A'!O51+'EXP FD B'!O51+'EXP FD C'!O51</f>
        <v>1</v>
      </c>
      <c r="P51">
        <f>'EXP FD A'!P51+'EXP FD B'!P51+'EXP FD C'!P51</f>
        <v>1</v>
      </c>
      <c r="Q51">
        <f>'EXP FD A'!Q51+'EXP FD B'!Q51+'EXP FD C'!Q51</f>
        <v>1</v>
      </c>
      <c r="R51">
        <f>'EXP FD A'!R51+'EXP FD B'!R51+'EXP FD C'!R51</f>
        <v>1</v>
      </c>
      <c r="S51">
        <f>'EXP FD A'!S51+'EXP FD B'!S51+'EXP FD C'!S51</f>
        <v>1</v>
      </c>
      <c r="T51">
        <f>'EXP FD A'!T51+'EXP FD B'!T51+'EXP FD C'!T51</f>
        <v>1</v>
      </c>
      <c r="U51">
        <f>'EXP FD A'!U51+'EXP FD B'!U51+'EXP FD C'!U51</f>
        <v>1</v>
      </c>
      <c r="V51">
        <f>'EXP FD A'!V51+'EXP FD B'!V51+'EXP FD C'!V51</f>
        <v>1</v>
      </c>
      <c r="W51">
        <f>'EXP FD A'!W51+'EXP FD B'!W51+'EXP FD C'!W51</f>
        <v>1</v>
      </c>
      <c r="X51">
        <f>'EXP FD A'!X51+'EXP FD B'!X51+'EXP FD C'!X51</f>
        <v>1</v>
      </c>
      <c r="Y51">
        <f>'EXP FD A'!Y51+'EXP FD B'!Y51+'EXP FD C'!Y51</f>
        <v>1</v>
      </c>
      <c r="Z51">
        <f>'EXP FD A'!Z51+'EXP FD B'!Z51+'EXP FD C'!Z51</f>
        <v>1</v>
      </c>
      <c r="AA51">
        <f>'EXP FD A'!AA51+'EXP FD B'!AA51+'EXP FD C'!AA51</f>
        <v>1</v>
      </c>
      <c r="AB51">
        <f>'EXP FD A'!AB51+'EXP FD B'!AB51+'EXP FD C'!AB51</f>
        <v>1</v>
      </c>
      <c r="AC51">
        <f>'EXP FD A'!AC51+'EXP FD B'!AC51+'EXP FD C'!AC51</f>
        <v>1</v>
      </c>
      <c r="AD51">
        <f>'EXP FD A'!AD51+'EXP FD B'!AD51+'EXP FD C'!AD51</f>
        <v>1</v>
      </c>
      <c r="AE51">
        <f>'EXP FD A'!AE51+'EXP FD B'!AE51+'EXP FD C'!AE51</f>
        <v>1</v>
      </c>
      <c r="AF51">
        <f>'EXP FD A'!AF51+'EXP FD B'!AF51+'EXP FD C'!AF51</f>
        <v>1</v>
      </c>
      <c r="AG51">
        <f>'EXP FD A'!AG51+'EXP FD B'!AG51+'EXP FD C'!AG51</f>
        <v>1</v>
      </c>
      <c r="AH51">
        <f>'EXP FD A'!AH51+'EXP FD B'!AH51+'EXP FD C'!AH51</f>
        <v>1</v>
      </c>
      <c r="AI51">
        <f>'EXP FD A'!AI51+'EXP FD B'!AI51+'EXP FD C'!AI51</f>
        <v>1</v>
      </c>
      <c r="AJ51">
        <f>'EXP FD A'!AJ51+'EXP FD B'!AJ51+'EXP FD C'!AJ51</f>
        <v>1</v>
      </c>
      <c r="AK51">
        <f>'EXP FD A'!AK51+'EXP FD B'!AK51+'EXP FD C'!AK51</f>
        <v>1</v>
      </c>
      <c r="AL51">
        <f>'EXP FD A'!AL51+'EXP FD B'!AL51+'EXP FD C'!AL51</f>
        <v>1</v>
      </c>
      <c r="AM51">
        <f>'EXP FD A'!AM51+'EXP FD B'!AM51+'EXP FD C'!AM51</f>
        <v>1</v>
      </c>
      <c r="AN51">
        <f>'EXP FD A'!AN51+'EXP FD B'!AN51+'EXP FD C'!AN51</f>
        <v>1</v>
      </c>
      <c r="AO51">
        <f>'EXP FD A'!AO51+'EXP FD B'!AO51+'EXP FD C'!AO51</f>
        <v>1</v>
      </c>
      <c r="AP51">
        <f>'EXP FD A'!AP51+'EXP FD B'!AP51+'EXP FD C'!AP51</f>
        <v>1</v>
      </c>
      <c r="AQ51">
        <f>'EXP FD A'!AQ51+'EXP FD B'!AQ51+'EXP FD C'!AQ51</f>
        <v>1</v>
      </c>
      <c r="AR51">
        <f>'EXP FD A'!AR51+'EXP FD B'!AR51+'EXP FD C'!AR51</f>
        <v>1</v>
      </c>
      <c r="AS51">
        <f>'EXP FD A'!AS51+'EXP FD B'!AS51+'EXP FD C'!AS51</f>
        <v>1</v>
      </c>
      <c r="AT51">
        <f>'EXP FD A'!AT51+'EXP FD B'!AT51+'EXP FD C'!AT51</f>
        <v>1</v>
      </c>
      <c r="AU51">
        <f>'EXP FD A'!AU51+'EXP FD B'!AU51+'EXP FD C'!AU51</f>
        <v>1</v>
      </c>
      <c r="AV51">
        <f>'EXP FD A'!AV51+'EXP FD B'!AV51+'EXP FD C'!AV51</f>
        <v>1</v>
      </c>
      <c r="AW51">
        <f>'EXP FD A'!AW51+'EXP FD B'!AW51+'EXP FD C'!AW51</f>
        <v>1</v>
      </c>
      <c r="AX51">
        <f>'EXP FD A'!AX51+'EXP FD B'!AX51+'EXP FD C'!AX51</f>
        <v>1</v>
      </c>
      <c r="AY51">
        <f>'EXP FD A'!AY51+'EXP FD B'!AY51+'EXP FD C'!AY51</f>
        <v>1</v>
      </c>
      <c r="AZ51">
        <f>'EXP FD A'!AZ51+'EXP FD B'!AZ51+'EXP FD C'!AZ51</f>
        <v>1</v>
      </c>
      <c r="BA51" s="6"/>
    </row>
    <row r="52" spans="1:53" x14ac:dyDescent="0.2">
      <c r="A52">
        <f t="shared" si="1"/>
        <v>13</v>
      </c>
      <c r="B52" s="3">
        <f t="shared" si="2"/>
        <v>26</v>
      </c>
      <c r="C52">
        <f>'EXP FD A'!C52+'EXP FD B'!C52+'EXP FD C'!C52</f>
        <v>1</v>
      </c>
      <c r="D52">
        <f>'EXP FD A'!D52+'EXP FD B'!D52+'EXP FD C'!D52</f>
        <v>1</v>
      </c>
      <c r="E52">
        <f>'EXP FD A'!E52+'EXP FD B'!E52+'EXP FD C'!E52</f>
        <v>1</v>
      </c>
      <c r="F52">
        <f>'EXP FD A'!F52+'EXP FD B'!F52+'EXP FD C'!F52</f>
        <v>1</v>
      </c>
      <c r="G52">
        <f>'EXP FD A'!G52+'EXP FD B'!G52+'EXP FD C'!G52</f>
        <v>1</v>
      </c>
      <c r="H52">
        <f>'EXP FD A'!H52+'EXP FD B'!H52+'EXP FD C'!H52</f>
        <v>1</v>
      </c>
      <c r="I52">
        <f>'EXP FD A'!I52+'EXP FD B'!I52+'EXP FD C'!I52</f>
        <v>1</v>
      </c>
      <c r="J52">
        <f>'EXP FD A'!J52+'EXP FD B'!J52+'EXP FD C'!J52</f>
        <v>1</v>
      </c>
      <c r="K52">
        <f>'EXP FD A'!K52+'EXP FD B'!K52+'EXP FD C'!K52</f>
        <v>1</v>
      </c>
      <c r="L52">
        <f>'EXP FD A'!L52+'EXP FD B'!L52+'EXP FD C'!L52</f>
        <v>1</v>
      </c>
      <c r="M52">
        <f>'EXP FD A'!M52+'EXP FD B'!M52+'EXP FD C'!M52</f>
        <v>1</v>
      </c>
      <c r="N52">
        <f>'EXP FD A'!N52+'EXP FD B'!N52+'EXP FD C'!N52</f>
        <v>1</v>
      </c>
      <c r="O52">
        <f>'EXP FD A'!O52+'EXP FD B'!O52+'EXP FD C'!O52</f>
        <v>1</v>
      </c>
      <c r="P52">
        <f>'EXP FD A'!P52+'EXP FD B'!P52+'EXP FD C'!P52</f>
        <v>1</v>
      </c>
      <c r="Q52">
        <f>'EXP FD A'!Q52+'EXP FD B'!Q52+'EXP FD C'!Q52</f>
        <v>1</v>
      </c>
      <c r="R52">
        <f>'EXP FD A'!R52+'EXP FD B'!R52+'EXP FD C'!R52</f>
        <v>1</v>
      </c>
      <c r="S52">
        <f>'EXP FD A'!S52+'EXP FD B'!S52+'EXP FD C'!S52</f>
        <v>1</v>
      </c>
      <c r="T52">
        <f>'EXP FD A'!T52+'EXP FD B'!T52+'EXP FD C'!T52</f>
        <v>1</v>
      </c>
      <c r="U52">
        <f>'EXP FD A'!U52+'EXP FD B'!U52+'EXP FD C'!U52</f>
        <v>1</v>
      </c>
      <c r="V52">
        <f>'EXP FD A'!V52+'EXP FD B'!V52+'EXP FD C'!V52</f>
        <v>1</v>
      </c>
      <c r="W52">
        <f>'EXP FD A'!W52+'EXP FD B'!W52+'EXP FD C'!W52</f>
        <v>1</v>
      </c>
      <c r="X52">
        <f>'EXP FD A'!X52+'EXP FD B'!X52+'EXP FD C'!X52</f>
        <v>1</v>
      </c>
      <c r="Y52">
        <f>'EXP FD A'!Y52+'EXP FD B'!Y52+'EXP FD C'!Y52</f>
        <v>1</v>
      </c>
      <c r="Z52">
        <f>'EXP FD A'!Z52+'EXP FD B'!Z52+'EXP FD C'!Z52</f>
        <v>1</v>
      </c>
      <c r="AA52">
        <f>'EXP FD A'!AA52+'EXP FD B'!AA52+'EXP FD C'!AA52</f>
        <v>1</v>
      </c>
      <c r="AB52">
        <f>'EXP FD A'!AB52+'EXP FD B'!AB52+'EXP FD C'!AB52</f>
        <v>1</v>
      </c>
      <c r="AC52">
        <f>'EXP FD A'!AC52+'EXP FD B'!AC52+'EXP FD C'!AC52</f>
        <v>1</v>
      </c>
      <c r="AD52">
        <f>'EXP FD A'!AD52+'EXP FD B'!AD52+'EXP FD C'!AD52</f>
        <v>1</v>
      </c>
      <c r="AE52">
        <f>'EXP FD A'!AE52+'EXP FD B'!AE52+'EXP FD C'!AE52</f>
        <v>1</v>
      </c>
      <c r="AF52">
        <f>'EXP FD A'!AF52+'EXP FD B'!AF52+'EXP FD C'!AF52</f>
        <v>1</v>
      </c>
      <c r="AG52">
        <f>'EXP FD A'!AG52+'EXP FD B'!AG52+'EXP FD C'!AG52</f>
        <v>1</v>
      </c>
      <c r="AH52">
        <f>'EXP FD A'!AH52+'EXP FD B'!AH52+'EXP FD C'!AH52</f>
        <v>1</v>
      </c>
      <c r="AI52">
        <f>'EXP FD A'!AI52+'EXP FD B'!AI52+'EXP FD C'!AI52</f>
        <v>1</v>
      </c>
      <c r="AJ52">
        <f>'EXP FD A'!AJ52+'EXP FD B'!AJ52+'EXP FD C'!AJ52</f>
        <v>1</v>
      </c>
      <c r="AK52">
        <f>'EXP FD A'!AK52+'EXP FD B'!AK52+'EXP FD C'!AK52</f>
        <v>1</v>
      </c>
      <c r="AL52">
        <f>'EXP FD A'!AL52+'EXP FD B'!AL52+'EXP FD C'!AL52</f>
        <v>1</v>
      </c>
      <c r="AM52">
        <f>'EXP FD A'!AM52+'EXP FD B'!AM52+'EXP FD C'!AM52</f>
        <v>1</v>
      </c>
      <c r="AN52">
        <f>'EXP FD A'!AN52+'EXP FD B'!AN52+'EXP FD C'!AN52</f>
        <v>1</v>
      </c>
      <c r="AO52">
        <f>'EXP FD A'!AO52+'EXP FD B'!AO52+'EXP FD C'!AO52</f>
        <v>1</v>
      </c>
      <c r="AP52">
        <f>'EXP FD A'!AP52+'EXP FD B'!AP52+'EXP FD C'!AP52</f>
        <v>1</v>
      </c>
      <c r="AQ52">
        <f>'EXP FD A'!AQ52+'EXP FD B'!AQ52+'EXP FD C'!AQ52</f>
        <v>1</v>
      </c>
      <c r="AR52">
        <f>'EXP FD A'!AR52+'EXP FD B'!AR52+'EXP FD C'!AR52</f>
        <v>1</v>
      </c>
      <c r="AS52">
        <f>'EXP FD A'!AS52+'EXP FD B'!AS52+'EXP FD C'!AS52</f>
        <v>1</v>
      </c>
      <c r="AT52">
        <f>'EXP FD A'!AT52+'EXP FD B'!AT52+'EXP FD C'!AT52</f>
        <v>1</v>
      </c>
      <c r="AU52">
        <f>'EXP FD A'!AU52+'EXP FD B'!AU52+'EXP FD C'!AU52</f>
        <v>1</v>
      </c>
      <c r="AV52">
        <f>'EXP FD A'!AV52+'EXP FD B'!AV52+'EXP FD C'!AV52</f>
        <v>1</v>
      </c>
      <c r="AW52">
        <f>'EXP FD A'!AW52+'EXP FD B'!AW52+'EXP FD C'!AW52</f>
        <v>1</v>
      </c>
      <c r="AX52">
        <f>'EXP FD A'!AX52+'EXP FD B'!AX52+'EXP FD C'!AX52</f>
        <v>1</v>
      </c>
      <c r="AY52">
        <f>'EXP FD A'!AY52+'EXP FD B'!AY52+'EXP FD C'!AY52</f>
        <v>1</v>
      </c>
      <c r="AZ52">
        <f>'EXP FD A'!AZ52+'EXP FD B'!AZ52+'EXP FD C'!AZ52</f>
        <v>1</v>
      </c>
      <c r="BA52" s="6"/>
    </row>
    <row r="53" spans="1:53" x14ac:dyDescent="0.2">
      <c r="A53">
        <f t="shared" si="1"/>
        <v>12</v>
      </c>
      <c r="B53" s="3">
        <f t="shared" si="2"/>
        <v>24</v>
      </c>
      <c r="C53">
        <f>'EXP FD A'!C53+'EXP FD B'!C53+'EXP FD C'!C53</f>
        <v>1</v>
      </c>
      <c r="D53">
        <f>'EXP FD A'!D53+'EXP FD B'!D53+'EXP FD C'!D53</f>
        <v>1</v>
      </c>
      <c r="E53">
        <f>'EXP FD A'!E53+'EXP FD B'!E53+'EXP FD C'!E53</f>
        <v>1</v>
      </c>
      <c r="F53">
        <f>'EXP FD A'!F53+'EXP FD B'!F53+'EXP FD C'!F53</f>
        <v>1</v>
      </c>
      <c r="G53">
        <f>'EXP FD A'!G53+'EXP FD B'!G53+'EXP FD C'!G53</f>
        <v>1</v>
      </c>
      <c r="H53">
        <f>'EXP FD A'!H53+'EXP FD B'!H53+'EXP FD C'!H53</f>
        <v>1</v>
      </c>
      <c r="I53">
        <f>'EXP FD A'!I53+'EXP FD B'!I53+'EXP FD C'!I53</f>
        <v>1</v>
      </c>
      <c r="J53">
        <f>'EXP FD A'!J53+'EXP FD B'!J53+'EXP FD C'!J53</f>
        <v>1</v>
      </c>
      <c r="K53">
        <f>'EXP FD A'!K53+'EXP FD B'!K53+'EXP FD C'!K53</f>
        <v>1</v>
      </c>
      <c r="L53">
        <f>'EXP FD A'!L53+'EXP FD B'!L53+'EXP FD C'!L53</f>
        <v>1</v>
      </c>
      <c r="M53">
        <f>'EXP FD A'!M53+'EXP FD B'!M53+'EXP FD C'!M53</f>
        <v>1</v>
      </c>
      <c r="N53">
        <f>'EXP FD A'!N53+'EXP FD B'!N53+'EXP FD C'!N53</f>
        <v>1</v>
      </c>
      <c r="O53">
        <f>'EXP FD A'!O53+'EXP FD B'!O53+'EXP FD C'!O53</f>
        <v>1</v>
      </c>
      <c r="P53">
        <f>'EXP FD A'!P53+'EXP FD B'!P53+'EXP FD C'!P53</f>
        <v>1</v>
      </c>
      <c r="Q53">
        <f>'EXP FD A'!Q53+'EXP FD B'!Q53+'EXP FD C'!Q53</f>
        <v>1</v>
      </c>
      <c r="R53">
        <f>'EXP FD A'!R53+'EXP FD B'!R53+'EXP FD C'!R53</f>
        <v>1</v>
      </c>
      <c r="S53">
        <f>'EXP FD A'!S53+'EXP FD B'!S53+'EXP FD C'!S53</f>
        <v>1</v>
      </c>
      <c r="T53">
        <f>'EXP FD A'!T53+'EXP FD B'!T53+'EXP FD C'!T53</f>
        <v>1</v>
      </c>
      <c r="U53">
        <f>'EXP FD A'!U53+'EXP FD B'!U53+'EXP FD C'!U53</f>
        <v>1</v>
      </c>
      <c r="V53">
        <f>'EXP FD A'!V53+'EXP FD B'!V53+'EXP FD C'!V53</f>
        <v>1</v>
      </c>
      <c r="W53">
        <f>'EXP FD A'!W53+'EXP FD B'!W53+'EXP FD C'!W53</f>
        <v>1</v>
      </c>
      <c r="X53">
        <f>'EXP FD A'!X53+'EXP FD B'!X53+'EXP FD C'!X53</f>
        <v>1</v>
      </c>
      <c r="Y53">
        <f>'EXP FD A'!Y53+'EXP FD B'!Y53+'EXP FD C'!Y53</f>
        <v>1</v>
      </c>
      <c r="Z53">
        <f>'EXP FD A'!Z53+'EXP FD B'!Z53+'EXP FD C'!Z53</f>
        <v>1</v>
      </c>
      <c r="AA53">
        <f>'EXP FD A'!AA53+'EXP FD B'!AA53+'EXP FD C'!AA53</f>
        <v>1</v>
      </c>
      <c r="AB53">
        <f>'EXP FD A'!AB53+'EXP FD B'!AB53+'EXP FD C'!AB53</f>
        <v>1</v>
      </c>
      <c r="AC53">
        <f>'EXP FD A'!AC53+'EXP FD B'!AC53+'EXP FD C'!AC53</f>
        <v>1</v>
      </c>
      <c r="AD53">
        <f>'EXP FD A'!AD53+'EXP FD B'!AD53+'EXP FD C'!AD53</f>
        <v>1</v>
      </c>
      <c r="AE53">
        <f>'EXP FD A'!AE53+'EXP FD B'!AE53+'EXP FD C'!AE53</f>
        <v>1</v>
      </c>
      <c r="AF53">
        <f>'EXP FD A'!AF53+'EXP FD B'!AF53+'EXP FD C'!AF53</f>
        <v>1</v>
      </c>
      <c r="AG53">
        <f>'EXP FD A'!AG53+'EXP FD B'!AG53+'EXP FD C'!AG53</f>
        <v>1</v>
      </c>
      <c r="AH53">
        <f>'EXP FD A'!AH53+'EXP FD B'!AH53+'EXP FD C'!AH53</f>
        <v>1</v>
      </c>
      <c r="AI53">
        <f>'EXP FD A'!AI53+'EXP FD B'!AI53+'EXP FD C'!AI53</f>
        <v>1</v>
      </c>
      <c r="AJ53">
        <f>'EXP FD A'!AJ53+'EXP FD B'!AJ53+'EXP FD C'!AJ53</f>
        <v>1</v>
      </c>
      <c r="AK53">
        <f>'EXP FD A'!AK53+'EXP FD B'!AK53+'EXP FD C'!AK53</f>
        <v>1</v>
      </c>
      <c r="AL53">
        <f>'EXP FD A'!AL53+'EXP FD B'!AL53+'EXP FD C'!AL53</f>
        <v>1</v>
      </c>
      <c r="AM53">
        <f>'EXP FD A'!AM53+'EXP FD B'!AM53+'EXP FD C'!AM53</f>
        <v>1</v>
      </c>
      <c r="AN53">
        <f>'EXP FD A'!AN53+'EXP FD B'!AN53+'EXP FD C'!AN53</f>
        <v>1</v>
      </c>
      <c r="AO53">
        <f>'EXP FD A'!AO53+'EXP FD B'!AO53+'EXP FD C'!AO53</f>
        <v>1</v>
      </c>
      <c r="AP53">
        <f>'EXP FD A'!AP53+'EXP FD B'!AP53+'EXP FD C'!AP53</f>
        <v>1</v>
      </c>
      <c r="AQ53">
        <f>'EXP FD A'!AQ53+'EXP FD B'!AQ53+'EXP FD C'!AQ53</f>
        <v>1</v>
      </c>
      <c r="AR53">
        <f>'EXP FD A'!AR53+'EXP FD B'!AR53+'EXP FD C'!AR53</f>
        <v>1</v>
      </c>
      <c r="AS53">
        <f>'EXP FD A'!AS53+'EXP FD B'!AS53+'EXP FD C'!AS53</f>
        <v>1</v>
      </c>
      <c r="AT53">
        <f>'EXP FD A'!AT53+'EXP FD B'!AT53+'EXP FD C'!AT53</f>
        <v>1</v>
      </c>
      <c r="AU53">
        <f>'EXP FD A'!AU53+'EXP FD B'!AU53+'EXP FD C'!AU53</f>
        <v>1</v>
      </c>
      <c r="AV53">
        <f>'EXP FD A'!AV53+'EXP FD B'!AV53+'EXP FD C'!AV53</f>
        <v>1</v>
      </c>
      <c r="AW53">
        <f>'EXP FD A'!AW53+'EXP FD B'!AW53+'EXP FD C'!AW53</f>
        <v>1</v>
      </c>
      <c r="AX53">
        <f>'EXP FD A'!AX53+'EXP FD B'!AX53+'EXP FD C'!AX53</f>
        <v>1</v>
      </c>
      <c r="AY53">
        <f>'EXP FD A'!AY53+'EXP FD B'!AY53+'EXP FD C'!AY53</f>
        <v>1</v>
      </c>
      <c r="AZ53">
        <f>'EXP FD A'!AZ53+'EXP FD B'!AZ53+'EXP FD C'!AZ53</f>
        <v>1</v>
      </c>
      <c r="BA53" s="6"/>
    </row>
    <row r="54" spans="1:53" x14ac:dyDescent="0.2">
      <c r="A54">
        <f t="shared" si="1"/>
        <v>11</v>
      </c>
      <c r="B54" s="3">
        <f t="shared" si="2"/>
        <v>22</v>
      </c>
      <c r="C54">
        <f>'EXP FD A'!C54+'EXP FD B'!C54+'EXP FD C'!C54</f>
        <v>1</v>
      </c>
      <c r="D54">
        <f>'EXP FD A'!D54+'EXP FD B'!D54+'EXP FD C'!D54</f>
        <v>1</v>
      </c>
      <c r="E54">
        <f>'EXP FD A'!E54+'EXP FD B'!E54+'EXP FD C'!E54</f>
        <v>1</v>
      </c>
      <c r="F54">
        <f>'EXP FD A'!F54+'EXP FD B'!F54+'EXP FD C'!F54</f>
        <v>1</v>
      </c>
      <c r="G54">
        <f>'EXP FD A'!G54+'EXP FD B'!G54+'EXP FD C'!G54</f>
        <v>1</v>
      </c>
      <c r="H54">
        <f>'EXP FD A'!H54+'EXP FD B'!H54+'EXP FD C'!H54</f>
        <v>1</v>
      </c>
      <c r="I54">
        <f>'EXP FD A'!I54+'EXP FD B'!I54+'EXP FD C'!I54</f>
        <v>1</v>
      </c>
      <c r="J54">
        <f>'EXP FD A'!J54+'EXP FD B'!J54+'EXP FD C'!J54</f>
        <v>1</v>
      </c>
      <c r="K54">
        <f>'EXP FD A'!K54+'EXP FD B'!K54+'EXP FD C'!K54</f>
        <v>1</v>
      </c>
      <c r="L54">
        <f>'EXP FD A'!L54+'EXP FD B'!L54+'EXP FD C'!L54</f>
        <v>1</v>
      </c>
      <c r="M54">
        <f>'EXP FD A'!M54+'EXP FD B'!M54+'EXP FD C'!M54</f>
        <v>1</v>
      </c>
      <c r="N54">
        <f>'EXP FD A'!N54+'EXP FD B'!N54+'EXP FD C'!N54</f>
        <v>1</v>
      </c>
      <c r="O54">
        <f>'EXP FD A'!O54+'EXP FD B'!O54+'EXP FD C'!O54</f>
        <v>1</v>
      </c>
      <c r="P54">
        <f>'EXP FD A'!P54+'EXP FD B'!P54+'EXP FD C'!P54</f>
        <v>1</v>
      </c>
      <c r="Q54">
        <f>'EXP FD A'!Q54+'EXP FD B'!Q54+'EXP FD C'!Q54</f>
        <v>1</v>
      </c>
      <c r="R54">
        <f>'EXP FD A'!R54+'EXP FD B'!R54+'EXP FD C'!R54</f>
        <v>1</v>
      </c>
      <c r="S54">
        <f>'EXP FD A'!S54+'EXP FD B'!S54+'EXP FD C'!S54</f>
        <v>1</v>
      </c>
      <c r="T54">
        <f>'EXP FD A'!T54+'EXP FD B'!T54+'EXP FD C'!T54</f>
        <v>1</v>
      </c>
      <c r="U54">
        <f>'EXP FD A'!U54+'EXP FD B'!U54+'EXP FD C'!U54</f>
        <v>1</v>
      </c>
      <c r="V54">
        <f>'EXP FD A'!V54+'EXP FD B'!V54+'EXP FD C'!V54</f>
        <v>1</v>
      </c>
      <c r="W54">
        <f>'EXP FD A'!W54+'EXP FD B'!W54+'EXP FD C'!W54</f>
        <v>1</v>
      </c>
      <c r="X54">
        <f>'EXP FD A'!X54+'EXP FD B'!X54+'EXP FD C'!X54</f>
        <v>1</v>
      </c>
      <c r="Y54">
        <f>'EXP FD A'!Y54+'EXP FD B'!Y54+'EXP FD C'!Y54</f>
        <v>1</v>
      </c>
      <c r="Z54">
        <f>'EXP FD A'!Z54+'EXP FD B'!Z54+'EXP FD C'!Z54</f>
        <v>1</v>
      </c>
      <c r="AA54">
        <f>'EXP FD A'!AA54+'EXP FD B'!AA54+'EXP FD C'!AA54</f>
        <v>1</v>
      </c>
      <c r="AB54">
        <f>'EXP FD A'!AB54+'EXP FD B'!AB54+'EXP FD C'!AB54</f>
        <v>1</v>
      </c>
      <c r="AC54">
        <f>'EXP FD A'!AC54+'EXP FD B'!AC54+'EXP FD C'!AC54</f>
        <v>1</v>
      </c>
      <c r="AD54">
        <f>'EXP FD A'!AD54+'EXP FD B'!AD54+'EXP FD C'!AD54</f>
        <v>1</v>
      </c>
      <c r="AE54">
        <f>'EXP FD A'!AE54+'EXP FD B'!AE54+'EXP FD C'!AE54</f>
        <v>1</v>
      </c>
      <c r="AF54">
        <f>'EXP FD A'!AF54+'EXP FD B'!AF54+'EXP FD C'!AF54</f>
        <v>1</v>
      </c>
      <c r="AG54">
        <f>'EXP FD A'!AG54+'EXP FD B'!AG54+'EXP FD C'!AG54</f>
        <v>1</v>
      </c>
      <c r="AH54">
        <f>'EXP FD A'!AH54+'EXP FD B'!AH54+'EXP FD C'!AH54</f>
        <v>1</v>
      </c>
      <c r="AI54">
        <f>'EXP FD A'!AI54+'EXP FD B'!AI54+'EXP FD C'!AI54</f>
        <v>1</v>
      </c>
      <c r="AJ54">
        <f>'EXP FD A'!AJ54+'EXP FD B'!AJ54+'EXP FD C'!AJ54</f>
        <v>1</v>
      </c>
      <c r="AK54">
        <f>'EXP FD A'!AK54+'EXP FD B'!AK54+'EXP FD C'!AK54</f>
        <v>1</v>
      </c>
      <c r="AL54">
        <f>'EXP FD A'!AL54+'EXP FD B'!AL54+'EXP FD C'!AL54</f>
        <v>1</v>
      </c>
      <c r="AM54">
        <f>'EXP FD A'!AM54+'EXP FD B'!AM54+'EXP FD C'!AM54</f>
        <v>1</v>
      </c>
      <c r="AN54">
        <f>'EXP FD A'!AN54+'EXP FD B'!AN54+'EXP FD C'!AN54</f>
        <v>1</v>
      </c>
      <c r="AO54">
        <f>'EXP FD A'!AO54+'EXP FD B'!AO54+'EXP FD C'!AO54</f>
        <v>1</v>
      </c>
      <c r="AP54">
        <f>'EXP FD A'!AP54+'EXP FD B'!AP54+'EXP FD C'!AP54</f>
        <v>1</v>
      </c>
      <c r="AQ54">
        <f>'EXP FD A'!AQ54+'EXP FD B'!AQ54+'EXP FD C'!AQ54</f>
        <v>1</v>
      </c>
      <c r="AR54">
        <f>'EXP FD A'!AR54+'EXP FD B'!AR54+'EXP FD C'!AR54</f>
        <v>1</v>
      </c>
      <c r="AS54">
        <f>'EXP FD A'!AS54+'EXP FD B'!AS54+'EXP FD C'!AS54</f>
        <v>1</v>
      </c>
      <c r="AT54">
        <f>'EXP FD A'!AT54+'EXP FD B'!AT54+'EXP FD C'!AT54</f>
        <v>1</v>
      </c>
      <c r="AU54">
        <f>'EXP FD A'!AU54+'EXP FD B'!AU54+'EXP FD C'!AU54</f>
        <v>1</v>
      </c>
      <c r="AV54">
        <f>'EXP FD A'!AV54+'EXP FD B'!AV54+'EXP FD C'!AV54</f>
        <v>1</v>
      </c>
      <c r="AW54">
        <f>'EXP FD A'!AW54+'EXP FD B'!AW54+'EXP FD C'!AW54</f>
        <v>1</v>
      </c>
      <c r="AX54">
        <f>'EXP FD A'!AX54+'EXP FD B'!AX54+'EXP FD C'!AX54</f>
        <v>1</v>
      </c>
      <c r="AY54">
        <f>'EXP FD A'!AY54+'EXP FD B'!AY54+'EXP FD C'!AY54</f>
        <v>1</v>
      </c>
      <c r="AZ54">
        <f>'EXP FD A'!AZ54+'EXP FD B'!AZ54+'EXP FD C'!AZ54</f>
        <v>1</v>
      </c>
      <c r="BA54" s="6"/>
    </row>
    <row r="55" spans="1:53" x14ac:dyDescent="0.2">
      <c r="A55">
        <f t="shared" si="1"/>
        <v>10</v>
      </c>
      <c r="B55" s="3">
        <f t="shared" si="2"/>
        <v>20</v>
      </c>
      <c r="C55">
        <f>'EXP FD A'!C55+'EXP FD B'!C55+'EXP FD C'!C55</f>
        <v>1</v>
      </c>
      <c r="D55">
        <f>'EXP FD A'!D55+'EXP FD B'!D55+'EXP FD C'!D55</f>
        <v>1</v>
      </c>
      <c r="E55">
        <f>'EXP FD A'!E55+'EXP FD B'!E55+'EXP FD C'!E55</f>
        <v>1</v>
      </c>
      <c r="F55">
        <f>'EXP FD A'!F55+'EXP FD B'!F55+'EXP FD C'!F55</f>
        <v>1</v>
      </c>
      <c r="G55">
        <f>'EXP FD A'!G55+'EXP FD B'!G55+'EXP FD C'!G55</f>
        <v>1</v>
      </c>
      <c r="H55">
        <f>'EXP FD A'!H55+'EXP FD B'!H55+'EXP FD C'!H55</f>
        <v>1</v>
      </c>
      <c r="I55">
        <f>'EXP FD A'!I55+'EXP FD B'!I55+'EXP FD C'!I55</f>
        <v>1</v>
      </c>
      <c r="J55">
        <f>'EXP FD A'!J55+'EXP FD B'!J55+'EXP FD C'!J55</f>
        <v>1</v>
      </c>
      <c r="K55">
        <f>'EXP FD A'!K55+'EXP FD B'!K55+'EXP FD C'!K55</f>
        <v>1</v>
      </c>
      <c r="L55">
        <f>'EXP FD A'!L55+'EXP FD B'!L55+'EXP FD C'!L55</f>
        <v>1</v>
      </c>
      <c r="M55">
        <f>'EXP FD A'!M55+'EXP FD B'!M55+'EXP FD C'!M55</f>
        <v>1</v>
      </c>
      <c r="N55">
        <f>'EXP FD A'!N55+'EXP FD B'!N55+'EXP FD C'!N55</f>
        <v>1</v>
      </c>
      <c r="O55">
        <f>'EXP FD A'!O55+'EXP FD B'!O55+'EXP FD C'!O55</f>
        <v>1</v>
      </c>
      <c r="P55">
        <f>'EXP FD A'!P55+'EXP FD B'!P55+'EXP FD C'!P55</f>
        <v>1</v>
      </c>
      <c r="Q55">
        <f>'EXP FD A'!Q55+'EXP FD B'!Q55+'EXP FD C'!Q55</f>
        <v>1</v>
      </c>
      <c r="R55">
        <f>'EXP FD A'!R55+'EXP FD B'!R55+'EXP FD C'!R55</f>
        <v>1</v>
      </c>
      <c r="S55">
        <f>'EXP FD A'!S55+'EXP FD B'!S55+'EXP FD C'!S55</f>
        <v>1</v>
      </c>
      <c r="T55">
        <f>'EXP FD A'!T55+'EXP FD B'!T55+'EXP FD C'!T55</f>
        <v>1</v>
      </c>
      <c r="U55">
        <f>'EXP FD A'!U55+'EXP FD B'!U55+'EXP FD C'!U55</f>
        <v>1</v>
      </c>
      <c r="V55">
        <f>'EXP FD A'!V55+'EXP FD B'!V55+'EXP FD C'!V55</f>
        <v>1</v>
      </c>
      <c r="W55">
        <f>'EXP FD A'!W55+'EXP FD B'!W55+'EXP FD C'!W55</f>
        <v>1</v>
      </c>
      <c r="X55">
        <f>'EXP FD A'!X55+'EXP FD B'!X55+'EXP FD C'!X55</f>
        <v>1</v>
      </c>
      <c r="Y55">
        <f>'EXP FD A'!Y55+'EXP FD B'!Y55+'EXP FD C'!Y55</f>
        <v>1</v>
      </c>
      <c r="Z55">
        <f>'EXP FD A'!Z55+'EXP FD B'!Z55+'EXP FD C'!Z55</f>
        <v>1</v>
      </c>
      <c r="AA55">
        <f>'EXP FD A'!AA55+'EXP FD B'!AA55+'EXP FD C'!AA55</f>
        <v>1</v>
      </c>
      <c r="AB55">
        <f>'EXP FD A'!AB55+'EXP FD B'!AB55+'EXP FD C'!AB55</f>
        <v>1</v>
      </c>
      <c r="AC55">
        <f>'EXP FD A'!AC55+'EXP FD B'!AC55+'EXP FD C'!AC55</f>
        <v>1</v>
      </c>
      <c r="AD55">
        <f>'EXP FD A'!AD55+'EXP FD B'!AD55+'EXP FD C'!AD55</f>
        <v>1</v>
      </c>
      <c r="AE55">
        <f>'EXP FD A'!AE55+'EXP FD B'!AE55+'EXP FD C'!AE55</f>
        <v>1</v>
      </c>
      <c r="AF55">
        <f>'EXP FD A'!AF55+'EXP FD B'!AF55+'EXP FD C'!AF55</f>
        <v>1</v>
      </c>
      <c r="AG55">
        <f>'EXP FD A'!AG55+'EXP FD B'!AG55+'EXP FD C'!AG55</f>
        <v>1</v>
      </c>
      <c r="AH55">
        <f>'EXP FD A'!AH55+'EXP FD B'!AH55+'EXP FD C'!AH55</f>
        <v>1</v>
      </c>
      <c r="AI55">
        <f>'EXP FD A'!AI55+'EXP FD B'!AI55+'EXP FD C'!AI55</f>
        <v>1</v>
      </c>
      <c r="AJ55">
        <f>'EXP FD A'!AJ55+'EXP FD B'!AJ55+'EXP FD C'!AJ55</f>
        <v>1</v>
      </c>
      <c r="AK55">
        <f>'EXP FD A'!AK55+'EXP FD B'!AK55+'EXP FD C'!AK55</f>
        <v>1</v>
      </c>
      <c r="AL55">
        <f>'EXP FD A'!AL55+'EXP FD B'!AL55+'EXP FD C'!AL55</f>
        <v>1</v>
      </c>
      <c r="AM55">
        <f>'EXP FD A'!AM55+'EXP FD B'!AM55+'EXP FD C'!AM55</f>
        <v>1</v>
      </c>
      <c r="AN55">
        <f>'EXP FD A'!AN55+'EXP FD B'!AN55+'EXP FD C'!AN55</f>
        <v>1</v>
      </c>
      <c r="AO55">
        <f>'EXP FD A'!AO55+'EXP FD B'!AO55+'EXP FD C'!AO55</f>
        <v>1</v>
      </c>
      <c r="AP55">
        <f>'EXP FD A'!AP55+'EXP FD B'!AP55+'EXP FD C'!AP55</f>
        <v>1</v>
      </c>
      <c r="AQ55">
        <f>'EXP FD A'!AQ55+'EXP FD B'!AQ55+'EXP FD C'!AQ55</f>
        <v>1</v>
      </c>
      <c r="AR55">
        <f>'EXP FD A'!AR55+'EXP FD B'!AR55+'EXP FD C'!AR55</f>
        <v>1</v>
      </c>
      <c r="AS55">
        <f>'EXP FD A'!AS55+'EXP FD B'!AS55+'EXP FD C'!AS55</f>
        <v>1</v>
      </c>
      <c r="AT55">
        <f>'EXP FD A'!AT55+'EXP FD B'!AT55+'EXP FD C'!AT55</f>
        <v>1</v>
      </c>
      <c r="AU55">
        <f>'EXP FD A'!AU55+'EXP FD B'!AU55+'EXP FD C'!AU55</f>
        <v>1</v>
      </c>
      <c r="AV55">
        <f>'EXP FD A'!AV55+'EXP FD B'!AV55+'EXP FD C'!AV55</f>
        <v>1</v>
      </c>
      <c r="AW55">
        <f>'EXP FD A'!AW55+'EXP FD B'!AW55+'EXP FD C'!AW55</f>
        <v>1</v>
      </c>
      <c r="AX55">
        <f>'EXP FD A'!AX55+'EXP FD B'!AX55+'EXP FD C'!AX55</f>
        <v>1</v>
      </c>
      <c r="AY55">
        <f>'EXP FD A'!AY55+'EXP FD B'!AY55+'EXP FD C'!AY55</f>
        <v>1</v>
      </c>
      <c r="AZ55">
        <f>'EXP FD A'!AZ55+'EXP FD B'!AZ55+'EXP FD C'!AZ55</f>
        <v>1</v>
      </c>
      <c r="BA55" s="6"/>
    </row>
    <row r="56" spans="1:53" x14ac:dyDescent="0.2">
      <c r="A56">
        <f t="shared" si="1"/>
        <v>9</v>
      </c>
      <c r="B56" s="3">
        <f t="shared" si="2"/>
        <v>18</v>
      </c>
      <c r="C56">
        <f>'EXP FD A'!C56+'EXP FD B'!C56+'EXP FD C'!C56</f>
        <v>1</v>
      </c>
      <c r="D56">
        <f>'EXP FD A'!D56+'EXP FD B'!D56+'EXP FD C'!D56</f>
        <v>1</v>
      </c>
      <c r="E56">
        <f>'EXP FD A'!E56+'EXP FD B'!E56+'EXP FD C'!E56</f>
        <v>1</v>
      </c>
      <c r="F56">
        <f>'EXP FD A'!F56+'EXP FD B'!F56+'EXP FD C'!F56</f>
        <v>1</v>
      </c>
      <c r="G56">
        <f>'EXP FD A'!G56+'EXP FD B'!G56+'EXP FD C'!G56</f>
        <v>1</v>
      </c>
      <c r="H56">
        <f>'EXP FD A'!H56+'EXP FD B'!H56+'EXP FD C'!H56</f>
        <v>1</v>
      </c>
      <c r="I56">
        <f>'EXP FD A'!I56+'EXP FD B'!I56+'EXP FD C'!I56</f>
        <v>1</v>
      </c>
      <c r="J56">
        <f>'EXP FD A'!J56+'EXP FD B'!J56+'EXP FD C'!J56</f>
        <v>1</v>
      </c>
      <c r="K56">
        <f>'EXP FD A'!K56+'EXP FD B'!K56+'EXP FD C'!K56</f>
        <v>1</v>
      </c>
      <c r="L56">
        <f>'EXP FD A'!L56+'EXP FD B'!L56+'EXP FD C'!L56</f>
        <v>1</v>
      </c>
      <c r="M56">
        <f>'EXP FD A'!M56+'EXP FD B'!M56+'EXP FD C'!M56</f>
        <v>1</v>
      </c>
      <c r="N56">
        <f>'EXP FD A'!N56+'EXP FD B'!N56+'EXP FD C'!N56</f>
        <v>1</v>
      </c>
      <c r="O56">
        <f>'EXP FD A'!O56+'EXP FD B'!O56+'EXP FD C'!O56</f>
        <v>1</v>
      </c>
      <c r="P56">
        <f>'EXP FD A'!P56+'EXP FD B'!P56+'EXP FD C'!P56</f>
        <v>1</v>
      </c>
      <c r="Q56">
        <f>'EXP FD A'!Q56+'EXP FD B'!Q56+'EXP FD C'!Q56</f>
        <v>1</v>
      </c>
      <c r="R56">
        <f>'EXP FD A'!R56+'EXP FD B'!R56+'EXP FD C'!R56</f>
        <v>1</v>
      </c>
      <c r="S56">
        <f>'EXP FD A'!S56+'EXP FD B'!S56+'EXP FD C'!S56</f>
        <v>1</v>
      </c>
      <c r="T56">
        <f>'EXP FD A'!T56+'EXP FD B'!T56+'EXP FD C'!T56</f>
        <v>1</v>
      </c>
      <c r="U56">
        <f>'EXP FD A'!U56+'EXP FD B'!U56+'EXP FD C'!U56</f>
        <v>1</v>
      </c>
      <c r="V56">
        <f>'EXP FD A'!V56+'EXP FD B'!V56+'EXP FD C'!V56</f>
        <v>1</v>
      </c>
      <c r="W56">
        <f>'EXP FD A'!W56+'EXP FD B'!W56+'EXP FD C'!W56</f>
        <v>1</v>
      </c>
      <c r="X56">
        <f>'EXP FD A'!X56+'EXP FD B'!X56+'EXP FD C'!X56</f>
        <v>1</v>
      </c>
      <c r="Y56">
        <f>'EXP FD A'!Y56+'EXP FD B'!Y56+'EXP FD C'!Y56</f>
        <v>1</v>
      </c>
      <c r="Z56">
        <f>'EXP FD A'!Z56+'EXP FD B'!Z56+'EXP FD C'!Z56</f>
        <v>1</v>
      </c>
      <c r="AA56">
        <f>'EXP FD A'!AA56+'EXP FD B'!AA56+'EXP FD C'!AA56</f>
        <v>1</v>
      </c>
      <c r="AB56">
        <f>'EXP FD A'!AB56+'EXP FD B'!AB56+'EXP FD C'!AB56</f>
        <v>1</v>
      </c>
      <c r="AC56">
        <f>'EXP FD A'!AC56+'EXP FD B'!AC56+'EXP FD C'!AC56</f>
        <v>1</v>
      </c>
      <c r="AD56">
        <f>'EXP FD A'!AD56+'EXP FD B'!AD56+'EXP FD C'!AD56</f>
        <v>1</v>
      </c>
      <c r="AE56">
        <f>'EXP FD A'!AE56+'EXP FD B'!AE56+'EXP FD C'!AE56</f>
        <v>1</v>
      </c>
      <c r="AF56">
        <f>'EXP FD A'!AF56+'EXP FD B'!AF56+'EXP FD C'!AF56</f>
        <v>1</v>
      </c>
      <c r="AG56">
        <f>'EXP FD A'!AG56+'EXP FD B'!AG56+'EXP FD C'!AG56</f>
        <v>1</v>
      </c>
      <c r="AH56">
        <f>'EXP FD A'!AH56+'EXP FD B'!AH56+'EXP FD C'!AH56</f>
        <v>1</v>
      </c>
      <c r="AI56">
        <f>'EXP FD A'!AI56+'EXP FD B'!AI56+'EXP FD C'!AI56</f>
        <v>1</v>
      </c>
      <c r="AJ56">
        <f>'EXP FD A'!AJ56+'EXP FD B'!AJ56+'EXP FD C'!AJ56</f>
        <v>1</v>
      </c>
      <c r="AK56">
        <f>'EXP FD A'!AK56+'EXP FD B'!AK56+'EXP FD C'!AK56</f>
        <v>1</v>
      </c>
      <c r="AL56">
        <f>'EXP FD A'!AL56+'EXP FD B'!AL56+'EXP FD C'!AL56</f>
        <v>1</v>
      </c>
      <c r="AM56">
        <f>'EXP FD A'!AM56+'EXP FD B'!AM56+'EXP FD C'!AM56</f>
        <v>1</v>
      </c>
      <c r="AN56">
        <f>'EXP FD A'!AN56+'EXP FD B'!AN56+'EXP FD C'!AN56</f>
        <v>1</v>
      </c>
      <c r="AO56">
        <f>'EXP FD A'!AO56+'EXP FD B'!AO56+'EXP FD C'!AO56</f>
        <v>1</v>
      </c>
      <c r="AP56">
        <f>'EXP FD A'!AP56+'EXP FD B'!AP56+'EXP FD C'!AP56</f>
        <v>1</v>
      </c>
      <c r="AQ56">
        <f>'EXP FD A'!AQ56+'EXP FD B'!AQ56+'EXP FD C'!AQ56</f>
        <v>1</v>
      </c>
      <c r="AR56">
        <f>'EXP FD A'!AR56+'EXP FD B'!AR56+'EXP FD C'!AR56</f>
        <v>1</v>
      </c>
      <c r="AS56">
        <f>'EXP FD A'!AS56+'EXP FD B'!AS56+'EXP FD C'!AS56</f>
        <v>1</v>
      </c>
      <c r="AT56">
        <f>'EXP FD A'!AT56+'EXP FD B'!AT56+'EXP FD C'!AT56</f>
        <v>1</v>
      </c>
      <c r="AU56">
        <f>'EXP FD A'!AU56+'EXP FD B'!AU56+'EXP FD C'!AU56</f>
        <v>1</v>
      </c>
      <c r="AV56">
        <f>'EXP FD A'!AV56+'EXP FD B'!AV56+'EXP FD C'!AV56</f>
        <v>1</v>
      </c>
      <c r="AW56">
        <f>'EXP FD A'!AW56+'EXP FD B'!AW56+'EXP FD C'!AW56</f>
        <v>1</v>
      </c>
      <c r="AX56">
        <f>'EXP FD A'!AX56+'EXP FD B'!AX56+'EXP FD C'!AX56</f>
        <v>1</v>
      </c>
      <c r="AY56">
        <f>'EXP FD A'!AY56+'EXP FD B'!AY56+'EXP FD C'!AY56</f>
        <v>1</v>
      </c>
      <c r="AZ56">
        <f>'EXP FD A'!AZ56+'EXP FD B'!AZ56+'EXP FD C'!AZ56</f>
        <v>1</v>
      </c>
      <c r="BA56" s="6"/>
    </row>
    <row r="57" spans="1:53" x14ac:dyDescent="0.2">
      <c r="A57">
        <f t="shared" si="1"/>
        <v>8</v>
      </c>
      <c r="B57" s="3">
        <f t="shared" si="2"/>
        <v>16</v>
      </c>
      <c r="C57">
        <f>'EXP FD A'!C57+'EXP FD B'!C57+'EXP FD C'!C57</f>
        <v>1</v>
      </c>
      <c r="D57">
        <f>'EXP FD A'!D57+'EXP FD B'!D57+'EXP FD C'!D57</f>
        <v>1</v>
      </c>
      <c r="E57">
        <f>'EXP FD A'!E57+'EXP FD B'!E57+'EXP FD C'!E57</f>
        <v>1</v>
      </c>
      <c r="F57">
        <f>'EXP FD A'!F57+'EXP FD B'!F57+'EXP FD C'!F57</f>
        <v>1</v>
      </c>
      <c r="G57">
        <f>'EXP FD A'!G57+'EXP FD B'!G57+'EXP FD C'!G57</f>
        <v>1</v>
      </c>
      <c r="H57">
        <f>'EXP FD A'!H57+'EXP FD B'!H57+'EXP FD C'!H57</f>
        <v>1</v>
      </c>
      <c r="I57">
        <f>'EXP FD A'!I57+'EXP FD B'!I57+'EXP FD C'!I57</f>
        <v>1</v>
      </c>
      <c r="J57">
        <f>'EXP FD A'!J57+'EXP FD B'!J57+'EXP FD C'!J57</f>
        <v>1</v>
      </c>
      <c r="K57">
        <f>'EXP FD A'!K57+'EXP FD B'!K57+'EXP FD C'!K57</f>
        <v>1</v>
      </c>
      <c r="L57">
        <f>'EXP FD A'!L57+'EXP FD B'!L57+'EXP FD C'!L57</f>
        <v>1</v>
      </c>
      <c r="M57">
        <f>'EXP FD A'!M57+'EXP FD B'!M57+'EXP FD C'!M57</f>
        <v>1</v>
      </c>
      <c r="N57">
        <f>'EXP FD A'!N57+'EXP FD B'!N57+'EXP FD C'!N57</f>
        <v>1</v>
      </c>
      <c r="O57">
        <f>'EXP FD A'!O57+'EXP FD B'!O57+'EXP FD C'!O57</f>
        <v>1</v>
      </c>
      <c r="P57">
        <f>'EXP FD A'!P57+'EXP FD B'!P57+'EXP FD C'!P57</f>
        <v>1</v>
      </c>
      <c r="Q57">
        <f>'EXP FD A'!Q57+'EXP FD B'!Q57+'EXP FD C'!Q57</f>
        <v>1</v>
      </c>
      <c r="R57">
        <f>'EXP FD A'!R57+'EXP FD B'!R57+'EXP FD C'!R57</f>
        <v>1</v>
      </c>
      <c r="S57">
        <f>'EXP FD A'!S57+'EXP FD B'!S57+'EXP FD C'!S57</f>
        <v>1</v>
      </c>
      <c r="T57">
        <f>'EXP FD A'!T57+'EXP FD B'!T57+'EXP FD C'!T57</f>
        <v>1</v>
      </c>
      <c r="U57">
        <f>'EXP FD A'!U57+'EXP FD B'!U57+'EXP FD C'!U57</f>
        <v>1</v>
      </c>
      <c r="V57">
        <f>'EXP FD A'!V57+'EXP FD B'!V57+'EXP FD C'!V57</f>
        <v>1</v>
      </c>
      <c r="W57">
        <f>'EXP FD A'!W57+'EXP FD B'!W57+'EXP FD C'!W57</f>
        <v>1</v>
      </c>
      <c r="X57">
        <f>'EXP FD A'!X57+'EXP FD B'!X57+'EXP FD C'!X57</f>
        <v>1</v>
      </c>
      <c r="Y57">
        <f>'EXP FD A'!Y57+'EXP FD B'!Y57+'EXP FD C'!Y57</f>
        <v>1</v>
      </c>
      <c r="Z57">
        <f>'EXP FD A'!Z57+'EXP FD B'!Z57+'EXP FD C'!Z57</f>
        <v>1</v>
      </c>
      <c r="AA57">
        <f>'EXP FD A'!AA57+'EXP FD B'!AA57+'EXP FD C'!AA57</f>
        <v>1</v>
      </c>
      <c r="AB57">
        <f>'EXP FD A'!AB57+'EXP FD B'!AB57+'EXP FD C'!AB57</f>
        <v>1</v>
      </c>
      <c r="AC57">
        <f>'EXP FD A'!AC57+'EXP FD B'!AC57+'EXP FD C'!AC57</f>
        <v>1</v>
      </c>
      <c r="AD57">
        <f>'EXP FD A'!AD57+'EXP FD B'!AD57+'EXP FD C'!AD57</f>
        <v>1</v>
      </c>
      <c r="AE57">
        <f>'EXP FD A'!AE57+'EXP FD B'!AE57+'EXP FD C'!AE57</f>
        <v>1</v>
      </c>
      <c r="AF57">
        <f>'EXP FD A'!AF57+'EXP FD B'!AF57+'EXP FD C'!AF57</f>
        <v>1</v>
      </c>
      <c r="AG57">
        <f>'EXP FD A'!AG57+'EXP FD B'!AG57+'EXP FD C'!AG57</f>
        <v>1</v>
      </c>
      <c r="AH57">
        <f>'EXP FD A'!AH57+'EXP FD B'!AH57+'EXP FD C'!AH57</f>
        <v>1</v>
      </c>
      <c r="AI57">
        <f>'EXP FD A'!AI57+'EXP FD B'!AI57+'EXP FD C'!AI57</f>
        <v>1</v>
      </c>
      <c r="AJ57">
        <f>'EXP FD A'!AJ57+'EXP FD B'!AJ57+'EXP FD C'!AJ57</f>
        <v>1</v>
      </c>
      <c r="AK57">
        <f>'EXP FD A'!AK57+'EXP FD B'!AK57+'EXP FD C'!AK57</f>
        <v>1</v>
      </c>
      <c r="AL57">
        <f>'EXP FD A'!AL57+'EXP FD B'!AL57+'EXP FD C'!AL57</f>
        <v>1</v>
      </c>
      <c r="AM57">
        <f>'EXP FD A'!AM57+'EXP FD B'!AM57+'EXP FD C'!AM57</f>
        <v>1</v>
      </c>
      <c r="AN57">
        <f>'EXP FD A'!AN57+'EXP FD B'!AN57+'EXP FD C'!AN57</f>
        <v>1</v>
      </c>
      <c r="AO57">
        <f>'EXP FD A'!AO57+'EXP FD B'!AO57+'EXP FD C'!AO57</f>
        <v>1</v>
      </c>
      <c r="AP57">
        <f>'EXP FD A'!AP57+'EXP FD B'!AP57+'EXP FD C'!AP57</f>
        <v>1</v>
      </c>
      <c r="AQ57">
        <f>'EXP FD A'!AQ57+'EXP FD B'!AQ57+'EXP FD C'!AQ57</f>
        <v>1</v>
      </c>
      <c r="AR57">
        <f>'EXP FD A'!AR57+'EXP FD B'!AR57+'EXP FD C'!AR57</f>
        <v>1</v>
      </c>
      <c r="AS57">
        <f>'EXP FD A'!AS57+'EXP FD B'!AS57+'EXP FD C'!AS57</f>
        <v>1</v>
      </c>
      <c r="AT57">
        <f>'EXP FD A'!AT57+'EXP FD B'!AT57+'EXP FD C'!AT57</f>
        <v>1</v>
      </c>
      <c r="AU57">
        <f>'EXP FD A'!AU57+'EXP FD B'!AU57+'EXP FD C'!AU57</f>
        <v>1</v>
      </c>
      <c r="AV57">
        <f>'EXP FD A'!AV57+'EXP FD B'!AV57+'EXP FD C'!AV57</f>
        <v>1</v>
      </c>
      <c r="AW57">
        <f>'EXP FD A'!AW57+'EXP FD B'!AW57+'EXP FD C'!AW57</f>
        <v>1</v>
      </c>
      <c r="AX57">
        <f>'EXP FD A'!AX57+'EXP FD B'!AX57+'EXP FD C'!AX57</f>
        <v>1</v>
      </c>
      <c r="AY57">
        <f>'EXP FD A'!AY57+'EXP FD B'!AY57+'EXP FD C'!AY57</f>
        <v>1</v>
      </c>
      <c r="AZ57">
        <f>'EXP FD A'!AZ57+'EXP FD B'!AZ57+'EXP FD C'!AZ57</f>
        <v>1</v>
      </c>
      <c r="BA57" s="6"/>
    </row>
    <row r="58" spans="1:53" x14ac:dyDescent="0.2">
      <c r="A58">
        <f t="shared" si="1"/>
        <v>7</v>
      </c>
      <c r="B58" s="3">
        <f t="shared" si="2"/>
        <v>14</v>
      </c>
      <c r="C58">
        <f>'EXP FD A'!C58+'EXP FD B'!C58+'EXP FD C'!C58</f>
        <v>1</v>
      </c>
      <c r="D58">
        <f>'EXP FD A'!D58+'EXP FD B'!D58+'EXP FD C'!D58</f>
        <v>1</v>
      </c>
      <c r="E58">
        <f>'EXP FD A'!E58+'EXP FD B'!E58+'EXP FD C'!E58</f>
        <v>1</v>
      </c>
      <c r="F58">
        <f>'EXP FD A'!F58+'EXP FD B'!F58+'EXP FD C'!F58</f>
        <v>1</v>
      </c>
      <c r="G58">
        <f>'EXP FD A'!G58+'EXP FD B'!G58+'EXP FD C'!G58</f>
        <v>1</v>
      </c>
      <c r="H58">
        <f>'EXP FD A'!H58+'EXP FD B'!H58+'EXP FD C'!H58</f>
        <v>1</v>
      </c>
      <c r="I58">
        <f>'EXP FD A'!I58+'EXP FD B'!I58+'EXP FD C'!I58</f>
        <v>1</v>
      </c>
      <c r="J58">
        <f>'EXP FD A'!J58+'EXP FD B'!J58+'EXP FD C'!J58</f>
        <v>1</v>
      </c>
      <c r="K58">
        <f>'EXP FD A'!K58+'EXP FD B'!K58+'EXP FD C'!K58</f>
        <v>1</v>
      </c>
      <c r="L58">
        <f>'EXP FD A'!L58+'EXP FD B'!L58+'EXP FD C'!L58</f>
        <v>1</v>
      </c>
      <c r="M58">
        <f>'EXP FD A'!M58+'EXP FD B'!M58+'EXP FD C'!M58</f>
        <v>1</v>
      </c>
      <c r="N58">
        <f>'EXP FD A'!N58+'EXP FD B'!N58+'EXP FD C'!N58</f>
        <v>1</v>
      </c>
      <c r="O58">
        <f>'EXP FD A'!O58+'EXP FD B'!O58+'EXP FD C'!O58</f>
        <v>1</v>
      </c>
      <c r="P58">
        <f>'EXP FD A'!P58+'EXP FD B'!P58+'EXP FD C'!P58</f>
        <v>1</v>
      </c>
      <c r="Q58">
        <f>'EXP FD A'!Q58+'EXP FD B'!Q58+'EXP FD C'!Q58</f>
        <v>1</v>
      </c>
      <c r="R58">
        <f>'EXP FD A'!R58+'EXP FD B'!R58+'EXP FD C'!R58</f>
        <v>1</v>
      </c>
      <c r="S58">
        <f>'EXP FD A'!S58+'EXP FD B'!S58+'EXP FD C'!S58</f>
        <v>1</v>
      </c>
      <c r="T58">
        <f>'EXP FD A'!T58+'EXP FD B'!T58+'EXP FD C'!T58</f>
        <v>1</v>
      </c>
      <c r="U58">
        <f>'EXP FD A'!U58+'EXP FD B'!U58+'EXP FD C'!U58</f>
        <v>1</v>
      </c>
      <c r="V58">
        <f>'EXP FD A'!V58+'EXP FD B'!V58+'EXP FD C'!V58</f>
        <v>1</v>
      </c>
      <c r="W58">
        <f>'EXP FD A'!W58+'EXP FD B'!W58+'EXP FD C'!W58</f>
        <v>1</v>
      </c>
      <c r="X58">
        <f>'EXP FD A'!X58+'EXP FD B'!X58+'EXP FD C'!X58</f>
        <v>1</v>
      </c>
      <c r="Y58">
        <f>'EXP FD A'!Y58+'EXP FD B'!Y58+'EXP FD C'!Y58</f>
        <v>1</v>
      </c>
      <c r="Z58">
        <f>'EXP FD A'!Z58+'EXP FD B'!Z58+'EXP FD C'!Z58</f>
        <v>1</v>
      </c>
      <c r="AA58">
        <f>'EXP FD A'!AA58+'EXP FD B'!AA58+'EXP FD C'!AA58</f>
        <v>1</v>
      </c>
      <c r="AB58">
        <f>'EXP FD A'!AB58+'EXP FD B'!AB58+'EXP FD C'!AB58</f>
        <v>1</v>
      </c>
      <c r="AC58">
        <f>'EXP FD A'!AC58+'EXP FD B'!AC58+'EXP FD C'!AC58</f>
        <v>1</v>
      </c>
      <c r="AD58">
        <f>'EXP FD A'!AD58+'EXP FD B'!AD58+'EXP FD C'!AD58</f>
        <v>1</v>
      </c>
      <c r="AE58">
        <f>'EXP FD A'!AE58+'EXP FD B'!AE58+'EXP FD C'!AE58</f>
        <v>1</v>
      </c>
      <c r="AF58">
        <f>'EXP FD A'!AF58+'EXP FD B'!AF58+'EXP FD C'!AF58</f>
        <v>1</v>
      </c>
      <c r="AG58">
        <f>'EXP FD A'!AG58+'EXP FD B'!AG58+'EXP FD C'!AG58</f>
        <v>1</v>
      </c>
      <c r="AH58">
        <f>'EXP FD A'!AH58+'EXP FD B'!AH58+'EXP FD C'!AH58</f>
        <v>1</v>
      </c>
      <c r="AI58">
        <f>'EXP FD A'!AI58+'EXP FD B'!AI58+'EXP FD C'!AI58</f>
        <v>1</v>
      </c>
      <c r="AJ58">
        <f>'EXP FD A'!AJ58+'EXP FD B'!AJ58+'EXP FD C'!AJ58</f>
        <v>1</v>
      </c>
      <c r="AK58">
        <f>'EXP FD A'!AK58+'EXP FD B'!AK58+'EXP FD C'!AK58</f>
        <v>1</v>
      </c>
      <c r="AL58">
        <f>'EXP FD A'!AL58+'EXP FD B'!AL58+'EXP FD C'!AL58</f>
        <v>1</v>
      </c>
      <c r="AM58">
        <f>'EXP FD A'!AM58+'EXP FD B'!AM58+'EXP FD C'!AM58</f>
        <v>1</v>
      </c>
      <c r="AN58">
        <f>'EXP FD A'!AN58+'EXP FD B'!AN58+'EXP FD C'!AN58</f>
        <v>1</v>
      </c>
      <c r="AO58">
        <f>'EXP FD A'!AO58+'EXP FD B'!AO58+'EXP FD C'!AO58</f>
        <v>1</v>
      </c>
      <c r="AP58">
        <f>'EXP FD A'!AP58+'EXP FD B'!AP58+'EXP FD C'!AP58</f>
        <v>1</v>
      </c>
      <c r="AQ58">
        <f>'EXP FD A'!AQ58+'EXP FD B'!AQ58+'EXP FD C'!AQ58</f>
        <v>1</v>
      </c>
      <c r="AR58">
        <f>'EXP FD A'!AR58+'EXP FD B'!AR58+'EXP FD C'!AR58</f>
        <v>1</v>
      </c>
      <c r="AS58">
        <f>'EXP FD A'!AS58+'EXP FD B'!AS58+'EXP FD C'!AS58</f>
        <v>1</v>
      </c>
      <c r="AT58">
        <f>'EXP FD A'!AT58+'EXP FD B'!AT58+'EXP FD C'!AT58</f>
        <v>1</v>
      </c>
      <c r="AU58">
        <f>'EXP FD A'!AU58+'EXP FD B'!AU58+'EXP FD C'!AU58</f>
        <v>1</v>
      </c>
      <c r="AV58">
        <f>'EXP FD A'!AV58+'EXP FD B'!AV58+'EXP FD C'!AV58</f>
        <v>1</v>
      </c>
      <c r="AW58">
        <f>'EXP FD A'!AW58+'EXP FD B'!AW58+'EXP FD C'!AW58</f>
        <v>1</v>
      </c>
      <c r="AX58">
        <f>'EXP FD A'!AX58+'EXP FD B'!AX58+'EXP FD C'!AX58</f>
        <v>1</v>
      </c>
      <c r="AY58">
        <f>'EXP FD A'!AY58+'EXP FD B'!AY58+'EXP FD C'!AY58</f>
        <v>1</v>
      </c>
      <c r="AZ58">
        <f>'EXP FD A'!AZ58+'EXP FD B'!AZ58+'EXP FD C'!AZ58</f>
        <v>1</v>
      </c>
      <c r="BA58" s="6"/>
    </row>
    <row r="59" spans="1:53" x14ac:dyDescent="0.2">
      <c r="A59">
        <f t="shared" si="1"/>
        <v>6</v>
      </c>
      <c r="B59" s="3">
        <f t="shared" si="2"/>
        <v>12</v>
      </c>
      <c r="C59">
        <f>'EXP FD A'!C59+'EXP FD B'!C59+'EXP FD C'!C59</f>
        <v>1</v>
      </c>
      <c r="D59">
        <f>'EXP FD A'!D59+'EXP FD B'!D59+'EXP FD C'!D59</f>
        <v>1</v>
      </c>
      <c r="E59">
        <f>'EXP FD A'!E59+'EXP FD B'!E59+'EXP FD C'!E59</f>
        <v>1</v>
      </c>
      <c r="F59">
        <f>'EXP FD A'!F59+'EXP FD B'!F59+'EXP FD C'!F59</f>
        <v>1</v>
      </c>
      <c r="G59">
        <f>'EXP FD A'!G59+'EXP FD B'!G59+'EXP FD C'!G59</f>
        <v>1</v>
      </c>
      <c r="H59">
        <f>'EXP FD A'!H59+'EXP FD B'!H59+'EXP FD C'!H59</f>
        <v>1</v>
      </c>
      <c r="I59">
        <f>'EXP FD A'!I59+'EXP FD B'!I59+'EXP FD C'!I59</f>
        <v>1</v>
      </c>
      <c r="J59">
        <f>'EXP FD A'!J59+'EXP FD B'!J59+'EXP FD C'!J59</f>
        <v>1</v>
      </c>
      <c r="K59">
        <f>'EXP FD A'!K59+'EXP FD B'!K59+'EXP FD C'!K59</f>
        <v>1</v>
      </c>
      <c r="L59">
        <f>'EXP FD A'!L59+'EXP FD B'!L59+'EXP FD C'!L59</f>
        <v>1</v>
      </c>
      <c r="M59">
        <f>'EXP FD A'!M59+'EXP FD B'!M59+'EXP FD C'!M59</f>
        <v>1</v>
      </c>
      <c r="N59">
        <f>'EXP FD A'!N59+'EXP FD B'!N59+'EXP FD C'!N59</f>
        <v>1</v>
      </c>
      <c r="O59">
        <f>'EXP FD A'!O59+'EXP FD B'!O59+'EXP FD C'!O59</f>
        <v>1</v>
      </c>
      <c r="P59">
        <f>'EXP FD A'!P59+'EXP FD B'!P59+'EXP FD C'!P59</f>
        <v>1</v>
      </c>
      <c r="Q59">
        <f>'EXP FD A'!Q59+'EXP FD B'!Q59+'EXP FD C'!Q59</f>
        <v>1</v>
      </c>
      <c r="R59">
        <f>'EXP FD A'!R59+'EXP FD B'!R59+'EXP FD C'!R59</f>
        <v>1</v>
      </c>
      <c r="S59">
        <f>'EXP FD A'!S59+'EXP FD B'!S59+'EXP FD C'!S59</f>
        <v>1</v>
      </c>
      <c r="T59">
        <f>'EXP FD A'!T59+'EXP FD B'!T59+'EXP FD C'!T59</f>
        <v>1</v>
      </c>
      <c r="U59">
        <f>'EXP FD A'!U59+'EXP FD B'!U59+'EXP FD C'!U59</f>
        <v>1</v>
      </c>
      <c r="V59">
        <f>'EXP FD A'!V59+'EXP FD B'!V59+'EXP FD C'!V59</f>
        <v>1</v>
      </c>
      <c r="W59">
        <f>'EXP FD A'!W59+'EXP FD B'!W59+'EXP FD C'!W59</f>
        <v>1</v>
      </c>
      <c r="X59">
        <f>'EXP FD A'!X59+'EXP FD B'!X59+'EXP FD C'!X59</f>
        <v>1</v>
      </c>
      <c r="Y59">
        <f>'EXP FD A'!Y59+'EXP FD B'!Y59+'EXP FD C'!Y59</f>
        <v>1</v>
      </c>
      <c r="Z59">
        <f>'EXP FD A'!Z59+'EXP FD B'!Z59+'EXP FD C'!Z59</f>
        <v>1</v>
      </c>
      <c r="AA59">
        <f>'EXP FD A'!AA59+'EXP FD B'!AA59+'EXP FD C'!AA59</f>
        <v>1</v>
      </c>
      <c r="AB59">
        <f>'EXP FD A'!AB59+'EXP FD B'!AB59+'EXP FD C'!AB59</f>
        <v>1</v>
      </c>
      <c r="AC59">
        <f>'EXP FD A'!AC59+'EXP FD B'!AC59+'EXP FD C'!AC59</f>
        <v>1</v>
      </c>
      <c r="AD59">
        <f>'EXP FD A'!AD59+'EXP FD B'!AD59+'EXP FD C'!AD59</f>
        <v>1</v>
      </c>
      <c r="AE59">
        <f>'EXP FD A'!AE59+'EXP FD B'!AE59+'EXP FD C'!AE59</f>
        <v>1</v>
      </c>
      <c r="AF59">
        <f>'EXP FD A'!AF59+'EXP FD B'!AF59+'EXP FD C'!AF59</f>
        <v>1</v>
      </c>
      <c r="AG59">
        <f>'EXP FD A'!AG59+'EXP FD B'!AG59+'EXP FD C'!AG59</f>
        <v>1</v>
      </c>
      <c r="AH59">
        <f>'EXP FD A'!AH59+'EXP FD B'!AH59+'EXP FD C'!AH59</f>
        <v>1</v>
      </c>
      <c r="AI59">
        <f>'EXP FD A'!AI59+'EXP FD B'!AI59+'EXP FD C'!AI59</f>
        <v>1</v>
      </c>
      <c r="AJ59">
        <f>'EXP FD A'!AJ59+'EXP FD B'!AJ59+'EXP FD C'!AJ59</f>
        <v>1</v>
      </c>
      <c r="AK59">
        <f>'EXP FD A'!AK59+'EXP FD B'!AK59+'EXP FD C'!AK59</f>
        <v>1</v>
      </c>
      <c r="AL59">
        <f>'EXP FD A'!AL59+'EXP FD B'!AL59+'EXP FD C'!AL59</f>
        <v>1</v>
      </c>
      <c r="AM59">
        <f>'EXP FD A'!AM59+'EXP FD B'!AM59+'EXP FD C'!AM59</f>
        <v>1</v>
      </c>
      <c r="AN59">
        <f>'EXP FD A'!AN59+'EXP FD B'!AN59+'EXP FD C'!AN59</f>
        <v>1</v>
      </c>
      <c r="AO59">
        <f>'EXP FD A'!AO59+'EXP FD B'!AO59+'EXP FD C'!AO59</f>
        <v>1</v>
      </c>
      <c r="AP59">
        <f>'EXP FD A'!AP59+'EXP FD B'!AP59+'EXP FD C'!AP59</f>
        <v>1</v>
      </c>
      <c r="AQ59">
        <f>'EXP FD A'!AQ59+'EXP FD B'!AQ59+'EXP FD C'!AQ59</f>
        <v>1</v>
      </c>
      <c r="AR59">
        <f>'EXP FD A'!AR59+'EXP FD B'!AR59+'EXP FD C'!AR59</f>
        <v>1</v>
      </c>
      <c r="AS59">
        <f>'EXP FD A'!AS59+'EXP FD B'!AS59+'EXP FD C'!AS59</f>
        <v>1</v>
      </c>
      <c r="AT59">
        <f>'EXP FD A'!AT59+'EXP FD B'!AT59+'EXP FD C'!AT59</f>
        <v>1</v>
      </c>
      <c r="AU59">
        <f>'EXP FD A'!AU59+'EXP FD B'!AU59+'EXP FD C'!AU59</f>
        <v>1</v>
      </c>
      <c r="AV59">
        <f>'EXP FD A'!AV59+'EXP FD B'!AV59+'EXP FD C'!AV59</f>
        <v>1</v>
      </c>
      <c r="AW59">
        <f>'EXP FD A'!AW59+'EXP FD B'!AW59+'EXP FD C'!AW59</f>
        <v>1</v>
      </c>
      <c r="AX59">
        <f>'EXP FD A'!AX59+'EXP FD B'!AX59+'EXP FD C'!AX59</f>
        <v>1</v>
      </c>
      <c r="AY59">
        <f>'EXP FD A'!AY59+'EXP FD B'!AY59+'EXP FD C'!AY59</f>
        <v>1</v>
      </c>
      <c r="AZ59">
        <f>'EXP FD A'!AZ59+'EXP FD B'!AZ59+'EXP FD C'!AZ59</f>
        <v>1</v>
      </c>
      <c r="BA59" s="6"/>
    </row>
    <row r="60" spans="1:53" x14ac:dyDescent="0.2">
      <c r="A60">
        <f t="shared" si="1"/>
        <v>5</v>
      </c>
      <c r="B60" s="3">
        <f t="shared" si="2"/>
        <v>10</v>
      </c>
      <c r="C60">
        <f>'EXP FD A'!C60+'EXP FD B'!C60+'EXP FD C'!C60</f>
        <v>1</v>
      </c>
      <c r="D60">
        <f>'EXP FD A'!D60+'EXP FD B'!D60+'EXP FD C'!D60</f>
        <v>1</v>
      </c>
      <c r="E60">
        <f>'EXP FD A'!E60+'EXP FD B'!E60+'EXP FD C'!E60</f>
        <v>1</v>
      </c>
      <c r="F60">
        <f>'EXP FD A'!F60+'EXP FD B'!F60+'EXP FD C'!F60</f>
        <v>1</v>
      </c>
      <c r="G60">
        <f>'EXP FD A'!G60+'EXP FD B'!G60+'EXP FD C'!G60</f>
        <v>1</v>
      </c>
      <c r="H60">
        <f>'EXP FD A'!H60+'EXP FD B'!H60+'EXP FD C'!H60</f>
        <v>1</v>
      </c>
      <c r="I60">
        <f>'EXP FD A'!I60+'EXP FD B'!I60+'EXP FD C'!I60</f>
        <v>1</v>
      </c>
      <c r="J60">
        <f>'EXP FD A'!J60+'EXP FD B'!J60+'EXP FD C'!J60</f>
        <v>1</v>
      </c>
      <c r="K60">
        <f>'EXP FD A'!K60+'EXP FD B'!K60+'EXP FD C'!K60</f>
        <v>1</v>
      </c>
      <c r="L60">
        <f>'EXP FD A'!L60+'EXP FD B'!L60+'EXP FD C'!L60</f>
        <v>1</v>
      </c>
      <c r="M60">
        <f>'EXP FD A'!M60+'EXP FD B'!M60+'EXP FD C'!M60</f>
        <v>1</v>
      </c>
      <c r="N60">
        <f>'EXP FD A'!N60+'EXP FD B'!N60+'EXP FD C'!N60</f>
        <v>1</v>
      </c>
      <c r="O60">
        <f>'EXP FD A'!O60+'EXP FD B'!O60+'EXP FD C'!O60</f>
        <v>1</v>
      </c>
      <c r="P60">
        <f>'EXP FD A'!P60+'EXP FD B'!P60+'EXP FD C'!P60</f>
        <v>1</v>
      </c>
      <c r="Q60">
        <f>'EXP FD A'!Q60+'EXP FD B'!Q60+'EXP FD C'!Q60</f>
        <v>1</v>
      </c>
      <c r="R60">
        <f>'EXP FD A'!R60+'EXP FD B'!R60+'EXP FD C'!R60</f>
        <v>1</v>
      </c>
      <c r="S60">
        <f>'EXP FD A'!S60+'EXP FD B'!S60+'EXP FD C'!S60</f>
        <v>1</v>
      </c>
      <c r="T60">
        <f>'EXP FD A'!T60+'EXP FD B'!T60+'EXP FD C'!T60</f>
        <v>1</v>
      </c>
      <c r="U60">
        <f>'EXP FD A'!U60+'EXP FD B'!U60+'EXP FD C'!U60</f>
        <v>1</v>
      </c>
      <c r="V60">
        <f>'EXP FD A'!V60+'EXP FD B'!V60+'EXP FD C'!V60</f>
        <v>1</v>
      </c>
      <c r="W60">
        <f>'EXP FD A'!W60+'EXP FD B'!W60+'EXP FD C'!W60</f>
        <v>1</v>
      </c>
      <c r="X60">
        <f>'EXP FD A'!X60+'EXP FD B'!X60+'EXP FD C'!X60</f>
        <v>1</v>
      </c>
      <c r="Y60">
        <f>'EXP FD A'!Y60+'EXP FD B'!Y60+'EXP FD C'!Y60</f>
        <v>1</v>
      </c>
      <c r="Z60">
        <f>'EXP FD A'!Z60+'EXP FD B'!Z60+'EXP FD C'!Z60</f>
        <v>1</v>
      </c>
      <c r="AA60">
        <f>'EXP FD A'!AA60+'EXP FD B'!AA60+'EXP FD C'!AA60</f>
        <v>1</v>
      </c>
      <c r="AB60">
        <f>'EXP FD A'!AB60+'EXP FD B'!AB60+'EXP FD C'!AB60</f>
        <v>1</v>
      </c>
      <c r="AC60">
        <f>'EXP FD A'!AC60+'EXP FD B'!AC60+'EXP FD C'!AC60</f>
        <v>1</v>
      </c>
      <c r="AD60">
        <f>'EXP FD A'!AD60+'EXP FD B'!AD60+'EXP FD C'!AD60</f>
        <v>1</v>
      </c>
      <c r="AE60">
        <f>'EXP FD A'!AE60+'EXP FD B'!AE60+'EXP FD C'!AE60</f>
        <v>1</v>
      </c>
      <c r="AF60">
        <f>'EXP FD A'!AF60+'EXP FD B'!AF60+'EXP FD C'!AF60</f>
        <v>1</v>
      </c>
      <c r="AG60">
        <f>'EXP FD A'!AG60+'EXP FD B'!AG60+'EXP FD C'!AG60</f>
        <v>1</v>
      </c>
      <c r="AH60">
        <f>'EXP FD A'!AH60+'EXP FD B'!AH60+'EXP FD C'!AH60</f>
        <v>1</v>
      </c>
      <c r="AI60">
        <f>'EXP FD A'!AI60+'EXP FD B'!AI60+'EXP FD C'!AI60</f>
        <v>1</v>
      </c>
      <c r="AJ60">
        <f>'EXP FD A'!AJ60+'EXP FD B'!AJ60+'EXP FD C'!AJ60</f>
        <v>1</v>
      </c>
      <c r="AK60">
        <f>'EXP FD A'!AK60+'EXP FD B'!AK60+'EXP FD C'!AK60</f>
        <v>1</v>
      </c>
      <c r="AL60">
        <f>'EXP FD A'!AL60+'EXP FD B'!AL60+'EXP FD C'!AL60</f>
        <v>1</v>
      </c>
      <c r="AM60">
        <f>'EXP FD A'!AM60+'EXP FD B'!AM60+'EXP FD C'!AM60</f>
        <v>1</v>
      </c>
      <c r="AN60">
        <f>'EXP FD A'!AN60+'EXP FD B'!AN60+'EXP FD C'!AN60</f>
        <v>1</v>
      </c>
      <c r="AO60">
        <f>'EXP FD A'!AO60+'EXP FD B'!AO60+'EXP FD C'!AO60</f>
        <v>1</v>
      </c>
      <c r="AP60">
        <f>'EXP FD A'!AP60+'EXP FD B'!AP60+'EXP FD C'!AP60</f>
        <v>1</v>
      </c>
      <c r="AQ60">
        <f>'EXP FD A'!AQ60+'EXP FD B'!AQ60+'EXP FD C'!AQ60</f>
        <v>1</v>
      </c>
      <c r="AR60">
        <f>'EXP FD A'!AR60+'EXP FD B'!AR60+'EXP FD C'!AR60</f>
        <v>1</v>
      </c>
      <c r="AS60">
        <f>'EXP FD A'!AS60+'EXP FD B'!AS60+'EXP FD C'!AS60</f>
        <v>1</v>
      </c>
      <c r="AT60">
        <f>'EXP FD A'!AT60+'EXP FD B'!AT60+'EXP FD C'!AT60</f>
        <v>1</v>
      </c>
      <c r="AU60">
        <f>'EXP FD A'!AU60+'EXP FD B'!AU60+'EXP FD C'!AU60</f>
        <v>1</v>
      </c>
      <c r="AV60">
        <f>'EXP FD A'!AV60+'EXP FD B'!AV60+'EXP FD C'!AV60</f>
        <v>1</v>
      </c>
      <c r="AW60">
        <f>'EXP FD A'!AW60+'EXP FD B'!AW60+'EXP FD C'!AW60</f>
        <v>1</v>
      </c>
      <c r="AX60">
        <f>'EXP FD A'!AX60+'EXP FD B'!AX60+'EXP FD C'!AX60</f>
        <v>1</v>
      </c>
      <c r="AY60">
        <f>'EXP FD A'!AY60+'EXP FD B'!AY60+'EXP FD C'!AY60</f>
        <v>1</v>
      </c>
      <c r="AZ60">
        <f>'EXP FD A'!AZ60+'EXP FD B'!AZ60+'EXP FD C'!AZ60</f>
        <v>1</v>
      </c>
      <c r="BA60" s="6"/>
    </row>
    <row r="61" spans="1:53" x14ac:dyDescent="0.2">
      <c r="A61">
        <f t="shared" si="1"/>
        <v>4</v>
      </c>
      <c r="B61" s="3">
        <f t="shared" si="2"/>
        <v>8</v>
      </c>
      <c r="C61">
        <f>'EXP FD A'!C61+'EXP FD B'!C61+'EXP FD C'!C61</f>
        <v>1</v>
      </c>
      <c r="D61">
        <f>'EXP FD A'!D61+'EXP FD B'!D61+'EXP FD C'!D61</f>
        <v>1</v>
      </c>
      <c r="E61">
        <f>'EXP FD A'!E61+'EXP FD B'!E61+'EXP FD C'!E61</f>
        <v>1</v>
      </c>
      <c r="F61">
        <f>'EXP FD A'!F61+'EXP FD B'!F61+'EXP FD C'!F61</f>
        <v>1</v>
      </c>
      <c r="G61">
        <f>'EXP FD A'!G61+'EXP FD B'!G61+'EXP FD C'!G61</f>
        <v>1</v>
      </c>
      <c r="H61">
        <f>'EXP FD A'!H61+'EXP FD B'!H61+'EXP FD C'!H61</f>
        <v>1</v>
      </c>
      <c r="I61">
        <f>'EXP FD A'!I61+'EXP FD B'!I61+'EXP FD C'!I61</f>
        <v>1</v>
      </c>
      <c r="J61">
        <f>'EXP FD A'!J61+'EXP FD B'!J61+'EXP FD C'!J61</f>
        <v>1</v>
      </c>
      <c r="K61">
        <f>'EXP FD A'!K61+'EXP FD B'!K61+'EXP FD C'!K61</f>
        <v>1</v>
      </c>
      <c r="L61">
        <f>'EXP FD A'!L61+'EXP FD B'!L61+'EXP FD C'!L61</f>
        <v>1</v>
      </c>
      <c r="M61">
        <f>'EXP FD A'!M61+'EXP FD B'!M61+'EXP FD C'!M61</f>
        <v>1</v>
      </c>
      <c r="N61">
        <f>'EXP FD A'!N61+'EXP FD B'!N61+'EXP FD C'!N61</f>
        <v>1</v>
      </c>
      <c r="O61">
        <f>'EXP FD A'!O61+'EXP FD B'!O61+'EXP FD C'!O61</f>
        <v>1</v>
      </c>
      <c r="P61">
        <f>'EXP FD A'!P61+'EXP FD B'!P61+'EXP FD C'!P61</f>
        <v>1</v>
      </c>
      <c r="Q61">
        <f>'EXP FD A'!Q61+'EXP FD B'!Q61+'EXP FD C'!Q61</f>
        <v>1</v>
      </c>
      <c r="R61">
        <f>'EXP FD A'!R61+'EXP FD B'!R61+'EXP FD C'!R61</f>
        <v>1</v>
      </c>
      <c r="S61">
        <f>'EXP FD A'!S61+'EXP FD B'!S61+'EXP FD C'!S61</f>
        <v>1</v>
      </c>
      <c r="T61">
        <f>'EXP FD A'!T61+'EXP FD B'!T61+'EXP FD C'!T61</f>
        <v>1</v>
      </c>
      <c r="U61">
        <f>'EXP FD A'!U61+'EXP FD B'!U61+'EXP FD C'!U61</f>
        <v>1</v>
      </c>
      <c r="V61">
        <f>'EXP FD A'!V61+'EXP FD B'!V61+'EXP FD C'!V61</f>
        <v>1</v>
      </c>
      <c r="W61">
        <f>'EXP FD A'!W61+'EXP FD B'!W61+'EXP FD C'!W61</f>
        <v>1</v>
      </c>
      <c r="X61">
        <f>'EXP FD A'!X61+'EXP FD B'!X61+'EXP FD C'!X61</f>
        <v>1</v>
      </c>
      <c r="Y61">
        <f>'EXP FD A'!Y61+'EXP FD B'!Y61+'EXP FD C'!Y61</f>
        <v>1</v>
      </c>
      <c r="Z61">
        <f>'EXP FD A'!Z61+'EXP FD B'!Z61+'EXP FD C'!Z61</f>
        <v>1</v>
      </c>
      <c r="AA61">
        <f>'EXP FD A'!AA61+'EXP FD B'!AA61+'EXP FD C'!AA61</f>
        <v>1</v>
      </c>
      <c r="AB61">
        <f>'EXP FD A'!AB61+'EXP FD B'!AB61+'EXP FD C'!AB61</f>
        <v>1</v>
      </c>
      <c r="AC61">
        <f>'EXP FD A'!AC61+'EXP FD B'!AC61+'EXP FD C'!AC61</f>
        <v>1</v>
      </c>
      <c r="AD61">
        <f>'EXP FD A'!AD61+'EXP FD B'!AD61+'EXP FD C'!AD61</f>
        <v>1</v>
      </c>
      <c r="AE61">
        <f>'EXP FD A'!AE61+'EXP FD B'!AE61+'EXP FD C'!AE61</f>
        <v>1</v>
      </c>
      <c r="AF61">
        <f>'EXP FD A'!AF61+'EXP FD B'!AF61+'EXP FD C'!AF61</f>
        <v>1</v>
      </c>
      <c r="AG61">
        <f>'EXP FD A'!AG61+'EXP FD B'!AG61+'EXP FD C'!AG61</f>
        <v>1</v>
      </c>
      <c r="AH61">
        <f>'EXP FD A'!AH61+'EXP FD B'!AH61+'EXP FD C'!AH61</f>
        <v>1</v>
      </c>
      <c r="AI61">
        <f>'EXP FD A'!AI61+'EXP FD B'!AI61+'EXP FD C'!AI61</f>
        <v>1</v>
      </c>
      <c r="AJ61">
        <f>'EXP FD A'!AJ61+'EXP FD B'!AJ61+'EXP FD C'!AJ61</f>
        <v>1</v>
      </c>
      <c r="AK61">
        <f>'EXP FD A'!AK61+'EXP FD B'!AK61+'EXP FD C'!AK61</f>
        <v>1</v>
      </c>
      <c r="AL61">
        <f>'EXP FD A'!AL61+'EXP FD B'!AL61+'EXP FD C'!AL61</f>
        <v>1</v>
      </c>
      <c r="AM61">
        <f>'EXP FD A'!AM61+'EXP FD B'!AM61+'EXP FD C'!AM61</f>
        <v>1</v>
      </c>
      <c r="AN61">
        <f>'EXP FD A'!AN61+'EXP FD B'!AN61+'EXP FD C'!AN61</f>
        <v>1</v>
      </c>
      <c r="AO61">
        <f>'EXP FD A'!AO61+'EXP FD B'!AO61+'EXP FD C'!AO61</f>
        <v>1</v>
      </c>
      <c r="AP61">
        <f>'EXP FD A'!AP61+'EXP FD B'!AP61+'EXP FD C'!AP61</f>
        <v>1</v>
      </c>
      <c r="AQ61">
        <f>'EXP FD A'!AQ61+'EXP FD B'!AQ61+'EXP FD C'!AQ61</f>
        <v>1</v>
      </c>
      <c r="AR61">
        <f>'EXP FD A'!AR61+'EXP FD B'!AR61+'EXP FD C'!AR61</f>
        <v>1</v>
      </c>
      <c r="AS61">
        <f>'EXP FD A'!AS61+'EXP FD B'!AS61+'EXP FD C'!AS61</f>
        <v>1</v>
      </c>
      <c r="AT61">
        <f>'EXP FD A'!AT61+'EXP FD B'!AT61+'EXP FD C'!AT61</f>
        <v>1</v>
      </c>
      <c r="AU61">
        <f>'EXP FD A'!AU61+'EXP FD B'!AU61+'EXP FD C'!AU61</f>
        <v>1</v>
      </c>
      <c r="AV61">
        <f>'EXP FD A'!AV61+'EXP FD B'!AV61+'EXP FD C'!AV61</f>
        <v>1</v>
      </c>
      <c r="AW61">
        <f>'EXP FD A'!AW61+'EXP FD B'!AW61+'EXP FD C'!AW61</f>
        <v>1</v>
      </c>
      <c r="AX61">
        <f>'EXP FD A'!AX61+'EXP FD B'!AX61+'EXP FD C'!AX61</f>
        <v>1</v>
      </c>
      <c r="AY61">
        <f>'EXP FD A'!AY61+'EXP FD B'!AY61+'EXP FD C'!AY61</f>
        <v>1</v>
      </c>
      <c r="AZ61">
        <f>'EXP FD A'!AZ61+'EXP FD B'!AZ61+'EXP FD C'!AZ61</f>
        <v>1</v>
      </c>
      <c r="BA61" s="6"/>
    </row>
    <row r="62" spans="1:53" x14ac:dyDescent="0.2">
      <c r="A62">
        <f t="shared" si="1"/>
        <v>3</v>
      </c>
      <c r="B62" s="3">
        <f t="shared" si="2"/>
        <v>6</v>
      </c>
      <c r="C62">
        <f>'EXP FD A'!C62+'EXP FD B'!C62+'EXP FD C'!C62</f>
        <v>0.99999999999999989</v>
      </c>
      <c r="D62">
        <f>'EXP FD A'!D62+'EXP FD B'!D62+'EXP FD C'!D62</f>
        <v>0.99999999999999989</v>
      </c>
      <c r="E62">
        <f>'EXP FD A'!E62+'EXP FD B'!E62+'EXP FD C'!E62</f>
        <v>0.99999999999999989</v>
      </c>
      <c r="F62">
        <f>'EXP FD A'!F62+'EXP FD B'!F62+'EXP FD C'!F62</f>
        <v>0.99999999999999989</v>
      </c>
      <c r="G62">
        <f>'EXP FD A'!G62+'EXP FD B'!G62+'EXP FD C'!G62</f>
        <v>0.99999999999999989</v>
      </c>
      <c r="H62">
        <f>'EXP FD A'!H62+'EXP FD B'!H62+'EXP FD C'!H62</f>
        <v>0.99999999999999989</v>
      </c>
      <c r="I62">
        <f>'EXP FD A'!I62+'EXP FD B'!I62+'EXP FD C'!I62</f>
        <v>0.99999999999999989</v>
      </c>
      <c r="J62">
        <f>'EXP FD A'!J62+'EXP FD B'!J62+'EXP FD C'!J62</f>
        <v>0.99999999999999989</v>
      </c>
      <c r="K62">
        <f>'EXP FD A'!K62+'EXP FD B'!K62+'EXP FD C'!K62</f>
        <v>0.99999999999999989</v>
      </c>
      <c r="L62">
        <f>'EXP FD A'!L62+'EXP FD B'!L62+'EXP FD C'!L62</f>
        <v>0.99999999999999989</v>
      </c>
      <c r="M62">
        <f>'EXP FD A'!M62+'EXP FD B'!M62+'EXP FD C'!M62</f>
        <v>0.99999999999999989</v>
      </c>
      <c r="N62">
        <f>'EXP FD A'!N62+'EXP FD B'!N62+'EXP FD C'!N62</f>
        <v>0.99999999999999989</v>
      </c>
      <c r="O62">
        <f>'EXP FD A'!O62+'EXP FD B'!O62+'EXP FD C'!O62</f>
        <v>0.99999999999999989</v>
      </c>
      <c r="P62">
        <f>'EXP FD A'!P62+'EXP FD B'!P62+'EXP FD C'!P62</f>
        <v>0.99999999999999989</v>
      </c>
      <c r="Q62">
        <f>'EXP FD A'!Q62+'EXP FD B'!Q62+'EXP FD C'!Q62</f>
        <v>0.99999999999999989</v>
      </c>
      <c r="R62">
        <f>'EXP FD A'!R62+'EXP FD B'!R62+'EXP FD C'!R62</f>
        <v>0.99999999999999989</v>
      </c>
      <c r="S62">
        <f>'EXP FD A'!S62+'EXP FD B'!S62+'EXP FD C'!S62</f>
        <v>0.99999999999999989</v>
      </c>
      <c r="T62">
        <f>'EXP FD A'!T62+'EXP FD B'!T62+'EXP FD C'!T62</f>
        <v>0.99999999999999989</v>
      </c>
      <c r="U62">
        <f>'EXP FD A'!U62+'EXP FD B'!U62+'EXP FD C'!U62</f>
        <v>0.99999999999999989</v>
      </c>
      <c r="V62">
        <f>'EXP FD A'!V62+'EXP FD B'!V62+'EXP FD C'!V62</f>
        <v>0.99999999999999989</v>
      </c>
      <c r="W62">
        <f>'EXP FD A'!W62+'EXP FD B'!W62+'EXP FD C'!W62</f>
        <v>0.99999999999999989</v>
      </c>
      <c r="X62">
        <f>'EXP FD A'!X62+'EXP FD B'!X62+'EXP FD C'!X62</f>
        <v>0.99999999999999989</v>
      </c>
      <c r="Y62">
        <f>'EXP FD A'!Y62+'EXP FD B'!Y62+'EXP FD C'!Y62</f>
        <v>0.99999999999999989</v>
      </c>
      <c r="Z62">
        <f>'EXP FD A'!Z62+'EXP FD B'!Z62+'EXP FD C'!Z62</f>
        <v>0.99999999999999989</v>
      </c>
      <c r="AA62">
        <f>'EXP FD A'!AA62+'EXP FD B'!AA62+'EXP FD C'!AA62</f>
        <v>0.99999999999999989</v>
      </c>
      <c r="AB62">
        <f>'EXP FD A'!AB62+'EXP FD B'!AB62+'EXP FD C'!AB62</f>
        <v>0.99999999999999989</v>
      </c>
      <c r="AC62">
        <f>'EXP FD A'!AC62+'EXP FD B'!AC62+'EXP FD C'!AC62</f>
        <v>0.99999999999999989</v>
      </c>
      <c r="AD62">
        <f>'EXP FD A'!AD62+'EXP FD B'!AD62+'EXP FD C'!AD62</f>
        <v>0.99999999999999989</v>
      </c>
      <c r="AE62">
        <f>'EXP FD A'!AE62+'EXP FD B'!AE62+'EXP FD C'!AE62</f>
        <v>0.99999999999999989</v>
      </c>
      <c r="AF62">
        <f>'EXP FD A'!AF62+'EXP FD B'!AF62+'EXP FD C'!AF62</f>
        <v>0.99999999999999989</v>
      </c>
      <c r="AG62">
        <f>'EXP FD A'!AG62+'EXP FD B'!AG62+'EXP FD C'!AG62</f>
        <v>0.99999999999999989</v>
      </c>
      <c r="AH62">
        <f>'EXP FD A'!AH62+'EXP FD B'!AH62+'EXP FD C'!AH62</f>
        <v>0.99999999999999989</v>
      </c>
      <c r="AI62">
        <f>'EXP FD A'!AI62+'EXP FD B'!AI62+'EXP FD C'!AI62</f>
        <v>0.99999999999999989</v>
      </c>
      <c r="AJ62">
        <f>'EXP FD A'!AJ62+'EXP FD B'!AJ62+'EXP FD C'!AJ62</f>
        <v>0.99999999999999989</v>
      </c>
      <c r="AK62">
        <f>'EXP FD A'!AK62+'EXP FD B'!AK62+'EXP FD C'!AK62</f>
        <v>0.99999999999999989</v>
      </c>
      <c r="AL62">
        <f>'EXP FD A'!AL62+'EXP FD B'!AL62+'EXP FD C'!AL62</f>
        <v>0.99999999999999989</v>
      </c>
      <c r="AM62">
        <f>'EXP FD A'!AM62+'EXP FD B'!AM62+'EXP FD C'!AM62</f>
        <v>0.99999999999999989</v>
      </c>
      <c r="AN62">
        <f>'EXP FD A'!AN62+'EXP FD B'!AN62+'EXP FD C'!AN62</f>
        <v>0.99999999999999989</v>
      </c>
      <c r="AO62">
        <f>'EXP FD A'!AO62+'EXP FD B'!AO62+'EXP FD C'!AO62</f>
        <v>0.99999999999999989</v>
      </c>
      <c r="AP62">
        <f>'EXP FD A'!AP62+'EXP FD B'!AP62+'EXP FD C'!AP62</f>
        <v>0.99999999999999989</v>
      </c>
      <c r="AQ62">
        <f>'EXP FD A'!AQ62+'EXP FD B'!AQ62+'EXP FD C'!AQ62</f>
        <v>0.99999999999999989</v>
      </c>
      <c r="AR62">
        <f>'EXP FD A'!AR62+'EXP FD B'!AR62+'EXP FD C'!AR62</f>
        <v>0.99999999999999989</v>
      </c>
      <c r="AS62">
        <f>'EXP FD A'!AS62+'EXP FD B'!AS62+'EXP FD C'!AS62</f>
        <v>0.99999999999999989</v>
      </c>
      <c r="AT62">
        <f>'EXP FD A'!AT62+'EXP FD B'!AT62+'EXP FD C'!AT62</f>
        <v>0.99999999999999989</v>
      </c>
      <c r="AU62">
        <f>'EXP FD A'!AU62+'EXP FD B'!AU62+'EXP FD C'!AU62</f>
        <v>0.99999999999999989</v>
      </c>
      <c r="AV62">
        <f>'EXP FD A'!AV62+'EXP FD B'!AV62+'EXP FD C'!AV62</f>
        <v>0.99999999999999989</v>
      </c>
      <c r="AW62">
        <f>'EXP FD A'!AW62+'EXP FD B'!AW62+'EXP FD C'!AW62</f>
        <v>0.99999999999999989</v>
      </c>
      <c r="AX62">
        <f>'EXP FD A'!AX62+'EXP FD B'!AX62+'EXP FD C'!AX62</f>
        <v>0.99999999999999989</v>
      </c>
      <c r="AY62">
        <f>'EXP FD A'!AY62+'EXP FD B'!AY62+'EXP FD C'!AY62</f>
        <v>0.99999999999999989</v>
      </c>
      <c r="AZ62">
        <f>'EXP FD A'!AZ62+'EXP FD B'!AZ62+'EXP FD C'!AZ62</f>
        <v>0.99999999999999989</v>
      </c>
      <c r="BA62" s="6"/>
    </row>
    <row r="63" spans="1:53" x14ac:dyDescent="0.2">
      <c r="A63">
        <f t="shared" si="1"/>
        <v>2</v>
      </c>
      <c r="B63" s="3">
        <f t="shared" si="2"/>
        <v>4</v>
      </c>
      <c r="C63">
        <f>'EXP FD A'!C63+'EXP FD B'!C63+'EXP FD C'!C63</f>
        <v>1</v>
      </c>
      <c r="D63">
        <f>'EXP FD A'!D63+'EXP FD B'!D63+'EXP FD C'!D63</f>
        <v>1</v>
      </c>
      <c r="E63">
        <f>'EXP FD A'!E63+'EXP FD B'!E63+'EXP FD C'!E63</f>
        <v>1</v>
      </c>
      <c r="F63">
        <f>'EXP FD A'!F63+'EXP FD B'!F63+'EXP FD C'!F63</f>
        <v>1</v>
      </c>
      <c r="G63">
        <f>'EXP FD A'!G63+'EXP FD B'!G63+'EXP FD C'!G63</f>
        <v>1</v>
      </c>
      <c r="H63">
        <f>'EXP FD A'!H63+'EXP FD B'!H63+'EXP FD C'!H63</f>
        <v>1</v>
      </c>
      <c r="I63">
        <f>'EXP FD A'!I63+'EXP FD B'!I63+'EXP FD C'!I63</f>
        <v>1</v>
      </c>
      <c r="J63">
        <f>'EXP FD A'!J63+'EXP FD B'!J63+'EXP FD C'!J63</f>
        <v>1</v>
      </c>
      <c r="K63">
        <f>'EXP FD A'!K63+'EXP FD B'!K63+'EXP FD C'!K63</f>
        <v>1</v>
      </c>
      <c r="L63">
        <f>'EXP FD A'!L63+'EXP FD B'!L63+'EXP FD C'!L63</f>
        <v>1</v>
      </c>
      <c r="M63">
        <f>'EXP FD A'!M63+'EXP FD B'!M63+'EXP FD C'!M63</f>
        <v>1</v>
      </c>
      <c r="N63">
        <f>'EXP FD A'!N63+'EXP FD B'!N63+'EXP FD C'!N63</f>
        <v>1</v>
      </c>
      <c r="O63">
        <f>'EXP FD A'!O63+'EXP FD B'!O63+'EXP FD C'!O63</f>
        <v>1</v>
      </c>
      <c r="P63">
        <f>'EXP FD A'!P63+'EXP FD B'!P63+'EXP FD C'!P63</f>
        <v>1</v>
      </c>
      <c r="Q63">
        <f>'EXP FD A'!Q63+'EXP FD B'!Q63+'EXP FD C'!Q63</f>
        <v>1</v>
      </c>
      <c r="R63">
        <f>'EXP FD A'!R63+'EXP FD B'!R63+'EXP FD C'!R63</f>
        <v>1</v>
      </c>
      <c r="S63">
        <f>'EXP FD A'!S63+'EXP FD B'!S63+'EXP FD C'!S63</f>
        <v>1</v>
      </c>
      <c r="T63">
        <f>'EXP FD A'!T63+'EXP FD B'!T63+'EXP FD C'!T63</f>
        <v>1</v>
      </c>
      <c r="U63">
        <f>'EXP FD A'!U63+'EXP FD B'!U63+'EXP FD C'!U63</f>
        <v>1</v>
      </c>
      <c r="V63">
        <f>'EXP FD A'!V63+'EXP FD B'!V63+'EXP FD C'!V63</f>
        <v>1</v>
      </c>
      <c r="W63">
        <f>'EXP FD A'!W63+'EXP FD B'!W63+'EXP FD C'!W63</f>
        <v>1</v>
      </c>
      <c r="X63">
        <f>'EXP FD A'!X63+'EXP FD B'!X63+'EXP FD C'!X63</f>
        <v>1</v>
      </c>
      <c r="Y63">
        <f>'EXP FD A'!Y63+'EXP FD B'!Y63+'EXP FD C'!Y63</f>
        <v>1</v>
      </c>
      <c r="Z63">
        <f>'EXP FD A'!Z63+'EXP FD B'!Z63+'EXP FD C'!Z63</f>
        <v>1</v>
      </c>
      <c r="AA63">
        <f>'EXP FD A'!AA63+'EXP FD B'!AA63+'EXP FD C'!AA63</f>
        <v>1</v>
      </c>
      <c r="AB63">
        <f>'EXP FD A'!AB63+'EXP FD B'!AB63+'EXP FD C'!AB63</f>
        <v>1</v>
      </c>
      <c r="AC63">
        <f>'EXP FD A'!AC63+'EXP FD B'!AC63+'EXP FD C'!AC63</f>
        <v>1</v>
      </c>
      <c r="AD63">
        <f>'EXP FD A'!AD63+'EXP FD B'!AD63+'EXP FD C'!AD63</f>
        <v>1</v>
      </c>
      <c r="AE63">
        <f>'EXP FD A'!AE63+'EXP FD B'!AE63+'EXP FD C'!AE63</f>
        <v>1</v>
      </c>
      <c r="AF63">
        <f>'EXP FD A'!AF63+'EXP FD B'!AF63+'EXP FD C'!AF63</f>
        <v>1</v>
      </c>
      <c r="AG63">
        <f>'EXP FD A'!AG63+'EXP FD B'!AG63+'EXP FD C'!AG63</f>
        <v>1</v>
      </c>
      <c r="AH63">
        <f>'EXP FD A'!AH63+'EXP FD B'!AH63+'EXP FD C'!AH63</f>
        <v>1</v>
      </c>
      <c r="AI63">
        <f>'EXP FD A'!AI63+'EXP FD B'!AI63+'EXP FD C'!AI63</f>
        <v>1</v>
      </c>
      <c r="AJ63">
        <f>'EXP FD A'!AJ63+'EXP FD B'!AJ63+'EXP FD C'!AJ63</f>
        <v>1</v>
      </c>
      <c r="AK63">
        <f>'EXP FD A'!AK63+'EXP FD B'!AK63+'EXP FD C'!AK63</f>
        <v>1</v>
      </c>
      <c r="AL63">
        <f>'EXP FD A'!AL63+'EXP FD B'!AL63+'EXP FD C'!AL63</f>
        <v>1</v>
      </c>
      <c r="AM63">
        <f>'EXP FD A'!AM63+'EXP FD B'!AM63+'EXP FD C'!AM63</f>
        <v>1</v>
      </c>
      <c r="AN63">
        <f>'EXP FD A'!AN63+'EXP FD B'!AN63+'EXP FD C'!AN63</f>
        <v>1</v>
      </c>
      <c r="AO63">
        <f>'EXP FD A'!AO63+'EXP FD B'!AO63+'EXP FD C'!AO63</f>
        <v>1</v>
      </c>
      <c r="AP63">
        <f>'EXP FD A'!AP63+'EXP FD B'!AP63+'EXP FD C'!AP63</f>
        <v>1</v>
      </c>
      <c r="AQ63">
        <f>'EXP FD A'!AQ63+'EXP FD B'!AQ63+'EXP FD C'!AQ63</f>
        <v>1</v>
      </c>
      <c r="AR63">
        <f>'EXP FD A'!AR63+'EXP FD B'!AR63+'EXP FD C'!AR63</f>
        <v>1</v>
      </c>
      <c r="AS63">
        <f>'EXP FD A'!AS63+'EXP FD B'!AS63+'EXP FD C'!AS63</f>
        <v>1</v>
      </c>
      <c r="AT63">
        <f>'EXP FD A'!AT63+'EXP FD B'!AT63+'EXP FD C'!AT63</f>
        <v>1</v>
      </c>
      <c r="AU63">
        <f>'EXP FD A'!AU63+'EXP FD B'!AU63+'EXP FD C'!AU63</f>
        <v>1</v>
      </c>
      <c r="AV63">
        <f>'EXP FD A'!AV63+'EXP FD B'!AV63+'EXP FD C'!AV63</f>
        <v>1</v>
      </c>
      <c r="AW63">
        <f>'EXP FD A'!AW63+'EXP FD B'!AW63+'EXP FD C'!AW63</f>
        <v>1</v>
      </c>
      <c r="AX63">
        <f>'EXP FD A'!AX63+'EXP FD B'!AX63+'EXP FD C'!AX63</f>
        <v>1</v>
      </c>
      <c r="AY63">
        <f>'EXP FD A'!AY63+'EXP FD B'!AY63+'EXP FD C'!AY63</f>
        <v>1</v>
      </c>
      <c r="AZ63">
        <f>'EXP FD A'!AZ63+'EXP FD B'!AZ63+'EXP FD C'!AZ63</f>
        <v>1</v>
      </c>
      <c r="BA63" s="6"/>
    </row>
    <row r="64" spans="1:53" x14ac:dyDescent="0.2">
      <c r="A64">
        <f t="shared" si="1"/>
        <v>1</v>
      </c>
      <c r="B64" s="3">
        <f t="shared" si="2"/>
        <v>2</v>
      </c>
      <c r="C64">
        <f>'EXP FD A'!C64+'EXP FD B'!C64+'EXP FD C'!C64</f>
        <v>1</v>
      </c>
      <c r="D64">
        <f>'EXP FD A'!D64+'EXP FD B'!D64+'EXP FD C'!D64</f>
        <v>1</v>
      </c>
      <c r="E64">
        <f>'EXP FD A'!E64+'EXP FD B'!E64+'EXP FD C'!E64</f>
        <v>1</v>
      </c>
      <c r="F64">
        <f>'EXP FD A'!F64+'EXP FD B'!F64+'EXP FD C'!F64</f>
        <v>1</v>
      </c>
      <c r="G64">
        <f>'EXP FD A'!G64+'EXP FD B'!G64+'EXP FD C'!G64</f>
        <v>1</v>
      </c>
      <c r="H64">
        <f>'EXP FD A'!H64+'EXP FD B'!H64+'EXP FD C'!H64</f>
        <v>1</v>
      </c>
      <c r="I64">
        <f>'EXP FD A'!I64+'EXP FD B'!I64+'EXP FD C'!I64</f>
        <v>1</v>
      </c>
      <c r="J64">
        <f>'EXP FD A'!J64+'EXP FD B'!J64+'EXP FD C'!J64</f>
        <v>1</v>
      </c>
      <c r="K64">
        <f>'EXP FD A'!K64+'EXP FD B'!K64+'EXP FD C'!K64</f>
        <v>1</v>
      </c>
      <c r="L64">
        <f>'EXP FD A'!L64+'EXP FD B'!L64+'EXP FD C'!L64</f>
        <v>1</v>
      </c>
      <c r="M64">
        <f>'EXP FD A'!M64+'EXP FD B'!M64+'EXP FD C'!M64</f>
        <v>1</v>
      </c>
      <c r="N64">
        <f>'EXP FD A'!N64+'EXP FD B'!N64+'EXP FD C'!N64</f>
        <v>1</v>
      </c>
      <c r="O64">
        <f>'EXP FD A'!O64+'EXP FD B'!O64+'EXP FD C'!O64</f>
        <v>1</v>
      </c>
      <c r="P64">
        <f>'EXP FD A'!P64+'EXP FD B'!P64+'EXP FD C'!P64</f>
        <v>1</v>
      </c>
      <c r="Q64">
        <f>'EXP FD A'!Q64+'EXP FD B'!Q64+'EXP FD C'!Q64</f>
        <v>1</v>
      </c>
      <c r="R64">
        <f>'EXP FD A'!R64+'EXP FD B'!R64+'EXP FD C'!R64</f>
        <v>1</v>
      </c>
      <c r="S64">
        <f>'EXP FD A'!S64+'EXP FD B'!S64+'EXP FD C'!S64</f>
        <v>1</v>
      </c>
      <c r="T64">
        <f>'EXP FD A'!T64+'EXP FD B'!T64+'EXP FD C'!T64</f>
        <v>1</v>
      </c>
      <c r="U64">
        <f>'EXP FD A'!U64+'EXP FD B'!U64+'EXP FD C'!U64</f>
        <v>1</v>
      </c>
      <c r="V64">
        <f>'EXP FD A'!V64+'EXP FD B'!V64+'EXP FD C'!V64</f>
        <v>1</v>
      </c>
      <c r="W64">
        <f>'EXP FD A'!W64+'EXP FD B'!W64+'EXP FD C'!W64</f>
        <v>1</v>
      </c>
      <c r="X64">
        <f>'EXP FD A'!X64+'EXP FD B'!X64+'EXP FD C'!X64</f>
        <v>1</v>
      </c>
      <c r="Y64">
        <f>'EXP FD A'!Y64+'EXP FD B'!Y64+'EXP FD C'!Y64</f>
        <v>1</v>
      </c>
      <c r="Z64">
        <f>'EXP FD A'!Z64+'EXP FD B'!Z64+'EXP FD C'!Z64</f>
        <v>1</v>
      </c>
      <c r="AA64">
        <f>'EXP FD A'!AA64+'EXP FD B'!AA64+'EXP FD C'!AA64</f>
        <v>1</v>
      </c>
      <c r="AB64">
        <f>'EXP FD A'!AB64+'EXP FD B'!AB64+'EXP FD C'!AB64</f>
        <v>1</v>
      </c>
      <c r="AC64">
        <f>'EXP FD A'!AC64+'EXP FD B'!AC64+'EXP FD C'!AC64</f>
        <v>1</v>
      </c>
      <c r="AD64">
        <f>'EXP FD A'!AD64+'EXP FD B'!AD64+'EXP FD C'!AD64</f>
        <v>1</v>
      </c>
      <c r="AE64">
        <f>'EXP FD A'!AE64+'EXP FD B'!AE64+'EXP FD C'!AE64</f>
        <v>1</v>
      </c>
      <c r="AF64">
        <f>'EXP FD A'!AF64+'EXP FD B'!AF64+'EXP FD C'!AF64</f>
        <v>1</v>
      </c>
      <c r="AG64">
        <f>'EXP FD A'!AG64+'EXP FD B'!AG64+'EXP FD C'!AG64</f>
        <v>1</v>
      </c>
      <c r="AH64">
        <f>'EXP FD A'!AH64+'EXP FD B'!AH64+'EXP FD C'!AH64</f>
        <v>1</v>
      </c>
      <c r="AI64">
        <f>'EXP FD A'!AI64+'EXP FD B'!AI64+'EXP FD C'!AI64</f>
        <v>1</v>
      </c>
      <c r="AJ64">
        <f>'EXP FD A'!AJ64+'EXP FD B'!AJ64+'EXP FD C'!AJ64</f>
        <v>1</v>
      </c>
      <c r="AK64">
        <f>'EXP FD A'!AK64+'EXP FD B'!AK64+'EXP FD C'!AK64</f>
        <v>1</v>
      </c>
      <c r="AL64">
        <f>'EXP FD A'!AL64+'EXP FD B'!AL64+'EXP FD C'!AL64</f>
        <v>1</v>
      </c>
      <c r="AM64">
        <f>'EXP FD A'!AM64+'EXP FD B'!AM64+'EXP FD C'!AM64</f>
        <v>1</v>
      </c>
      <c r="AN64">
        <f>'EXP FD A'!AN64+'EXP FD B'!AN64+'EXP FD C'!AN64</f>
        <v>1</v>
      </c>
      <c r="AO64">
        <f>'EXP FD A'!AO64+'EXP FD B'!AO64+'EXP FD C'!AO64</f>
        <v>1</v>
      </c>
      <c r="AP64">
        <f>'EXP FD A'!AP64+'EXP FD B'!AP64+'EXP FD C'!AP64</f>
        <v>1</v>
      </c>
      <c r="AQ64">
        <f>'EXP FD A'!AQ64+'EXP FD B'!AQ64+'EXP FD C'!AQ64</f>
        <v>1</v>
      </c>
      <c r="AR64">
        <f>'EXP FD A'!AR64+'EXP FD B'!AR64+'EXP FD C'!AR64</f>
        <v>1</v>
      </c>
      <c r="AS64">
        <f>'EXP FD A'!AS64+'EXP FD B'!AS64+'EXP FD C'!AS64</f>
        <v>1</v>
      </c>
      <c r="AT64">
        <f>'EXP FD A'!AT64+'EXP FD B'!AT64+'EXP FD C'!AT64</f>
        <v>1</v>
      </c>
      <c r="AU64">
        <f>'EXP FD A'!AU64+'EXP FD B'!AU64+'EXP FD C'!AU64</f>
        <v>1</v>
      </c>
      <c r="AV64">
        <f>'EXP FD A'!AV64+'EXP FD B'!AV64+'EXP FD C'!AV64</f>
        <v>1</v>
      </c>
      <c r="AW64">
        <f>'EXP FD A'!AW64+'EXP FD B'!AW64+'EXP FD C'!AW64</f>
        <v>1</v>
      </c>
      <c r="AX64">
        <f>'EXP FD A'!AX64+'EXP FD B'!AX64+'EXP FD C'!AX64</f>
        <v>1</v>
      </c>
      <c r="AY64">
        <f>'EXP FD A'!AY64+'EXP FD B'!AY64+'EXP FD C'!AY64</f>
        <v>1</v>
      </c>
      <c r="AZ64">
        <f>'EXP FD A'!AZ64+'EXP FD B'!AZ64+'EXP FD C'!AZ64</f>
        <v>1</v>
      </c>
      <c r="BA64" s="6"/>
    </row>
    <row r="65" spans="1:53" x14ac:dyDescent="0.2">
      <c r="A65">
        <f t="shared" si="1"/>
        <v>0</v>
      </c>
      <c r="B65" s="3">
        <f t="shared" si="2"/>
        <v>0</v>
      </c>
      <c r="C65" s="2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</row>
    <row r="66" spans="1:53" x14ac:dyDescent="0.2">
      <c r="A66" s="1" t="s">
        <v>3</v>
      </c>
      <c r="B66" s="4">
        <v>0</v>
      </c>
      <c r="C66" s="1">
        <v>0</v>
      </c>
      <c r="D66" s="5">
        <f t="shared" ref="D66:AI66" si="3">D67*dt</f>
        <v>0.01</v>
      </c>
      <c r="E66" s="5">
        <f t="shared" si="3"/>
        <v>0.02</v>
      </c>
      <c r="F66" s="5">
        <f t="shared" si="3"/>
        <v>0.03</v>
      </c>
      <c r="G66" s="5">
        <f t="shared" si="3"/>
        <v>0.04</v>
      </c>
      <c r="H66" s="5">
        <f t="shared" si="3"/>
        <v>0.05</v>
      </c>
      <c r="I66" s="5">
        <f t="shared" si="3"/>
        <v>0.06</v>
      </c>
      <c r="J66" s="5">
        <f t="shared" si="3"/>
        <v>7.0000000000000007E-2</v>
      </c>
      <c r="K66" s="5">
        <f t="shared" si="3"/>
        <v>0.08</v>
      </c>
      <c r="L66" s="5">
        <f t="shared" si="3"/>
        <v>0.09</v>
      </c>
      <c r="M66" s="5">
        <f t="shared" si="3"/>
        <v>0.1</v>
      </c>
      <c r="N66" s="5">
        <f t="shared" si="3"/>
        <v>0.11</v>
      </c>
      <c r="O66" s="5">
        <f t="shared" si="3"/>
        <v>0.12</v>
      </c>
      <c r="P66" s="5">
        <f t="shared" si="3"/>
        <v>0.13</v>
      </c>
      <c r="Q66" s="5">
        <f t="shared" si="3"/>
        <v>0.14000000000000001</v>
      </c>
      <c r="R66" s="5">
        <f t="shared" si="3"/>
        <v>0.15</v>
      </c>
      <c r="S66" s="5">
        <f t="shared" si="3"/>
        <v>0.16</v>
      </c>
      <c r="T66" s="5">
        <f t="shared" si="3"/>
        <v>0.17</v>
      </c>
      <c r="U66" s="5">
        <f t="shared" si="3"/>
        <v>0.18</v>
      </c>
      <c r="V66" s="5">
        <f t="shared" si="3"/>
        <v>0.19</v>
      </c>
      <c r="W66" s="5">
        <f t="shared" si="3"/>
        <v>0.2</v>
      </c>
      <c r="X66" s="5">
        <f t="shared" si="3"/>
        <v>0.21</v>
      </c>
      <c r="Y66" s="5">
        <f t="shared" si="3"/>
        <v>0.22</v>
      </c>
      <c r="Z66" s="5">
        <f t="shared" si="3"/>
        <v>0.23</v>
      </c>
      <c r="AA66" s="5">
        <f t="shared" si="3"/>
        <v>0.24</v>
      </c>
      <c r="AB66" s="5">
        <f t="shared" si="3"/>
        <v>0.25</v>
      </c>
      <c r="AC66" s="5">
        <f t="shared" si="3"/>
        <v>0.26</v>
      </c>
      <c r="AD66" s="5">
        <f t="shared" si="3"/>
        <v>0.27</v>
      </c>
      <c r="AE66" s="5">
        <f t="shared" si="3"/>
        <v>0.28000000000000003</v>
      </c>
      <c r="AF66" s="5">
        <f t="shared" si="3"/>
        <v>0.28999999999999998</v>
      </c>
      <c r="AG66" s="5">
        <f t="shared" si="3"/>
        <v>0.3</v>
      </c>
      <c r="AH66" s="5">
        <f t="shared" si="3"/>
        <v>0.31</v>
      </c>
      <c r="AI66" s="5">
        <f t="shared" si="3"/>
        <v>0.32</v>
      </c>
      <c r="AJ66" s="5">
        <f t="shared" ref="AJ66:BA66" si="4">AJ67*dt</f>
        <v>0.33</v>
      </c>
      <c r="AK66" s="5">
        <f t="shared" si="4"/>
        <v>0.34</v>
      </c>
      <c r="AL66" s="5">
        <f t="shared" si="4"/>
        <v>0.35000000000000003</v>
      </c>
      <c r="AM66" s="5">
        <f t="shared" si="4"/>
        <v>0.36</v>
      </c>
      <c r="AN66" s="5">
        <f t="shared" si="4"/>
        <v>0.37</v>
      </c>
      <c r="AO66" s="5">
        <f t="shared" si="4"/>
        <v>0.38</v>
      </c>
      <c r="AP66" s="5">
        <f t="shared" si="4"/>
        <v>0.39</v>
      </c>
      <c r="AQ66" s="5">
        <f t="shared" si="4"/>
        <v>0.4</v>
      </c>
      <c r="AR66" s="5">
        <f t="shared" si="4"/>
        <v>0.41000000000000003</v>
      </c>
      <c r="AS66" s="5">
        <f t="shared" si="4"/>
        <v>0.42</v>
      </c>
      <c r="AT66" s="5">
        <f t="shared" si="4"/>
        <v>0.43</v>
      </c>
      <c r="AU66" s="5">
        <f t="shared" si="4"/>
        <v>0.44</v>
      </c>
      <c r="AV66" s="5">
        <f t="shared" si="4"/>
        <v>0.45</v>
      </c>
      <c r="AW66" s="5">
        <f t="shared" si="4"/>
        <v>0.46</v>
      </c>
      <c r="AX66" s="5">
        <f t="shared" si="4"/>
        <v>0.47000000000000003</v>
      </c>
      <c r="AY66" s="5">
        <f t="shared" si="4"/>
        <v>0.48</v>
      </c>
      <c r="AZ66" s="5">
        <f t="shared" si="4"/>
        <v>0.49</v>
      </c>
      <c r="BA66" s="5">
        <f t="shared" si="4"/>
        <v>0.5</v>
      </c>
    </row>
    <row r="67" spans="1:53" x14ac:dyDescent="0.2">
      <c r="A67" s="2" t="s">
        <v>4</v>
      </c>
      <c r="B67" s="3">
        <v>0</v>
      </c>
      <c r="C67" s="2">
        <v>0</v>
      </c>
      <c r="D67" s="2">
        <f>B67+1</f>
        <v>1</v>
      </c>
      <c r="E67" s="2">
        <f>D67+1</f>
        <v>2</v>
      </c>
      <c r="F67" s="2">
        <f>E67+1</f>
        <v>3</v>
      </c>
      <c r="G67" s="2">
        <f t="shared" ref="G67:BA67" si="5">F67+1</f>
        <v>4</v>
      </c>
      <c r="H67" s="2">
        <f t="shared" si="5"/>
        <v>5</v>
      </c>
      <c r="I67" s="2">
        <f t="shared" si="5"/>
        <v>6</v>
      </c>
      <c r="J67" s="2">
        <f t="shared" si="5"/>
        <v>7</v>
      </c>
      <c r="K67" s="2">
        <f t="shared" si="5"/>
        <v>8</v>
      </c>
      <c r="L67" s="2">
        <f t="shared" si="5"/>
        <v>9</v>
      </c>
      <c r="M67" s="2">
        <f t="shared" si="5"/>
        <v>10</v>
      </c>
      <c r="N67" s="2">
        <f t="shared" si="5"/>
        <v>11</v>
      </c>
      <c r="O67" s="2">
        <f t="shared" si="5"/>
        <v>12</v>
      </c>
      <c r="P67" s="2">
        <f t="shared" si="5"/>
        <v>13</v>
      </c>
      <c r="Q67" s="2">
        <f t="shared" si="5"/>
        <v>14</v>
      </c>
      <c r="R67" s="2">
        <f t="shared" si="5"/>
        <v>15</v>
      </c>
      <c r="S67" s="2">
        <f t="shared" si="5"/>
        <v>16</v>
      </c>
      <c r="T67" s="2">
        <f t="shared" si="5"/>
        <v>17</v>
      </c>
      <c r="U67" s="2">
        <f t="shared" si="5"/>
        <v>18</v>
      </c>
      <c r="V67" s="2">
        <f t="shared" si="5"/>
        <v>19</v>
      </c>
      <c r="W67" s="2">
        <f t="shared" si="5"/>
        <v>20</v>
      </c>
      <c r="X67" s="2">
        <f t="shared" si="5"/>
        <v>21</v>
      </c>
      <c r="Y67" s="2">
        <f t="shared" si="5"/>
        <v>22</v>
      </c>
      <c r="Z67" s="2">
        <f t="shared" si="5"/>
        <v>23</v>
      </c>
      <c r="AA67" s="2">
        <f t="shared" si="5"/>
        <v>24</v>
      </c>
      <c r="AB67" s="2">
        <f t="shared" si="5"/>
        <v>25</v>
      </c>
      <c r="AC67" s="2">
        <f t="shared" si="5"/>
        <v>26</v>
      </c>
      <c r="AD67" s="2">
        <f t="shared" si="5"/>
        <v>27</v>
      </c>
      <c r="AE67" s="2">
        <f t="shared" si="5"/>
        <v>28</v>
      </c>
      <c r="AF67" s="2">
        <f t="shared" si="5"/>
        <v>29</v>
      </c>
      <c r="AG67" s="2">
        <f t="shared" si="5"/>
        <v>30</v>
      </c>
      <c r="AH67" s="2">
        <f t="shared" si="5"/>
        <v>31</v>
      </c>
      <c r="AI67" s="2">
        <f t="shared" si="5"/>
        <v>32</v>
      </c>
      <c r="AJ67" s="2">
        <f t="shared" si="5"/>
        <v>33</v>
      </c>
      <c r="AK67" s="2">
        <f t="shared" si="5"/>
        <v>34</v>
      </c>
      <c r="AL67" s="2">
        <f t="shared" si="5"/>
        <v>35</v>
      </c>
      <c r="AM67" s="2">
        <f t="shared" si="5"/>
        <v>36</v>
      </c>
      <c r="AN67" s="2">
        <f t="shared" si="5"/>
        <v>37</v>
      </c>
      <c r="AO67" s="2">
        <f t="shared" si="5"/>
        <v>38</v>
      </c>
      <c r="AP67" s="2">
        <f t="shared" si="5"/>
        <v>39</v>
      </c>
      <c r="AQ67" s="2">
        <f t="shared" si="5"/>
        <v>40</v>
      </c>
      <c r="AR67" s="2">
        <f t="shared" si="5"/>
        <v>41</v>
      </c>
      <c r="AS67" s="2">
        <f t="shared" si="5"/>
        <v>42</v>
      </c>
      <c r="AT67" s="2">
        <f t="shared" si="5"/>
        <v>43</v>
      </c>
      <c r="AU67" s="2">
        <f t="shared" si="5"/>
        <v>44</v>
      </c>
      <c r="AV67" s="2">
        <f t="shared" si="5"/>
        <v>45</v>
      </c>
      <c r="AW67" s="2">
        <f t="shared" si="5"/>
        <v>46</v>
      </c>
      <c r="AX67" s="2">
        <f t="shared" si="5"/>
        <v>47</v>
      </c>
      <c r="AY67" s="2">
        <f t="shared" si="5"/>
        <v>48</v>
      </c>
      <c r="AZ67" s="2">
        <f t="shared" si="5"/>
        <v>49</v>
      </c>
      <c r="BA67" s="2">
        <f t="shared" si="5"/>
        <v>50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B452"/>
  <sheetViews>
    <sheetView tabSelected="1" topLeftCell="A7" workbookViewId="0">
      <selection activeCell="K49" sqref="K49"/>
    </sheetView>
  </sheetViews>
  <sheetFormatPr defaultRowHeight="12.75" x14ac:dyDescent="0.2"/>
  <cols>
    <col min="7" max="7" width="9.5703125" bestFit="1" customWidth="1"/>
    <col min="9" max="9" width="26.140625" bestFit="1" customWidth="1"/>
  </cols>
  <sheetData>
    <row r="1" spans="1:54" x14ac:dyDescent="0.2">
      <c r="A1" s="23" t="s">
        <v>26</v>
      </c>
      <c r="B1">
        <v>40</v>
      </c>
      <c r="D1" s="23" t="s">
        <v>25</v>
      </c>
      <c r="E1" s="23" t="s">
        <v>24</v>
      </c>
      <c r="F1" s="23" t="s">
        <v>18</v>
      </c>
      <c r="G1" s="23" t="s">
        <v>19</v>
      </c>
      <c r="H1" s="23" t="s">
        <v>20</v>
      </c>
      <c r="I1" s="23" t="s">
        <v>21</v>
      </c>
      <c r="L1" s="23" t="s">
        <v>25</v>
      </c>
      <c r="M1" s="23" t="s">
        <v>24</v>
      </c>
      <c r="N1" s="23" t="s">
        <v>18</v>
      </c>
      <c r="O1" s="23" t="s">
        <v>19</v>
      </c>
      <c r="P1" s="23" t="s">
        <v>20</v>
      </c>
      <c r="Q1" s="23" t="s">
        <v>21</v>
      </c>
    </row>
    <row r="2" spans="1:54" x14ac:dyDescent="0.2">
      <c r="A2" s="23" t="s">
        <v>27</v>
      </c>
      <c r="B2">
        <v>500</v>
      </c>
      <c r="D2">
        <v>5000</v>
      </c>
      <c r="E2">
        <v>40</v>
      </c>
      <c r="F2">
        <v>2.8154649208876572</v>
      </c>
      <c r="G2" s="31">
        <v>0.6</v>
      </c>
      <c r="H2" s="33">
        <v>2.8154484440601522</v>
      </c>
      <c r="I2" s="23">
        <f>F2-H2</f>
        <v>1.6476827505051972E-5</v>
      </c>
      <c r="L2">
        <v>5000</v>
      </c>
      <c r="M2">
        <v>40</v>
      </c>
      <c r="N2">
        <v>2.2455059493852043</v>
      </c>
      <c r="O2">
        <v>0</v>
      </c>
      <c r="P2" s="29">
        <v>2.3023528749002828</v>
      </c>
      <c r="Q2" s="29">
        <f>N2-P2</f>
        <v>-5.6846925515078528E-2</v>
      </c>
    </row>
    <row r="3" spans="1:54" x14ac:dyDescent="0.2">
      <c r="A3" s="23" t="s">
        <v>28</v>
      </c>
      <c r="B3">
        <v>20</v>
      </c>
      <c r="D3">
        <v>5000</v>
      </c>
      <c r="E3">
        <v>60</v>
      </c>
      <c r="F3">
        <v>2.8154522449318455</v>
      </c>
      <c r="G3" s="31">
        <v>0.39999999999999858</v>
      </c>
      <c r="H3" s="33">
        <v>2.8154484440601522</v>
      </c>
      <c r="I3" s="23">
        <f t="shared" ref="I3:I25" si="0">F3-H3</f>
        <v>3.8008716933823905E-6</v>
      </c>
      <c r="L3">
        <v>5000</v>
      </c>
      <c r="M3">
        <v>60</v>
      </c>
      <c r="N3">
        <v>2.277721983288612</v>
      </c>
      <c r="O3">
        <v>0</v>
      </c>
      <c r="P3" s="29">
        <v>2.3023528749002828</v>
      </c>
      <c r="Q3" s="29">
        <f t="shared" ref="Q3:Q25" si="1">N3-P3</f>
        <v>-2.4630891611670869E-2</v>
      </c>
    </row>
    <row r="4" spans="1:54" x14ac:dyDescent="0.2">
      <c r="D4">
        <v>5000</v>
      </c>
      <c r="E4">
        <v>80</v>
      </c>
      <c r="F4">
        <v>2.8109435838544812</v>
      </c>
      <c r="G4" s="31">
        <v>0.2</v>
      </c>
      <c r="H4" s="33">
        <v>2.8154484440601522</v>
      </c>
      <c r="I4" s="23">
        <f t="shared" si="0"/>
        <v>-4.5048602056709797E-3</v>
      </c>
      <c r="L4">
        <v>5000</v>
      </c>
      <c r="M4">
        <v>80</v>
      </c>
      <c r="N4">
        <v>2.288627745159828</v>
      </c>
      <c r="O4">
        <v>0</v>
      </c>
      <c r="P4" s="29">
        <v>2.3023528749002828</v>
      </c>
      <c r="Q4" s="29">
        <f t="shared" si="1"/>
        <v>-1.3725129740454811E-2</v>
      </c>
    </row>
    <row r="5" spans="1:54" x14ac:dyDescent="0.2">
      <c r="D5">
        <v>5000</v>
      </c>
      <c r="E5">
        <v>100</v>
      </c>
      <c r="F5">
        <v>2.8068432266222398</v>
      </c>
      <c r="G5" s="31">
        <v>0</v>
      </c>
      <c r="H5" s="33">
        <v>2.8154484440601522</v>
      </c>
      <c r="I5" s="23">
        <f t="shared" si="0"/>
        <v>-8.6052174379123159E-3</v>
      </c>
      <c r="L5">
        <v>5000</v>
      </c>
      <c r="M5">
        <v>100</v>
      </c>
      <c r="N5">
        <v>2.2936191272702837</v>
      </c>
      <c r="O5">
        <v>0</v>
      </c>
      <c r="P5" s="29">
        <v>2.3023528749002828</v>
      </c>
      <c r="Q5" s="29">
        <f t="shared" si="1"/>
        <v>-8.7337476299991224E-3</v>
      </c>
    </row>
    <row r="6" spans="1:54" x14ac:dyDescent="0.2">
      <c r="D6">
        <v>5000</v>
      </c>
      <c r="E6">
        <v>120</v>
      </c>
      <c r="F6">
        <v>2.8134918260319361</v>
      </c>
      <c r="G6" s="31">
        <v>0.79999999999999716</v>
      </c>
      <c r="H6" s="33">
        <v>2.8154484440601522</v>
      </c>
      <c r="I6" s="23">
        <f t="shared" si="0"/>
        <v>-1.9566180282160062E-3</v>
      </c>
      <c r="L6">
        <v>5000</v>
      </c>
      <c r="M6">
        <v>120</v>
      </c>
      <c r="N6">
        <v>2.2963161953231008</v>
      </c>
      <c r="O6">
        <v>0</v>
      </c>
      <c r="P6" s="29">
        <v>2.3023528749002828</v>
      </c>
      <c r="Q6" s="29">
        <f t="shared" si="1"/>
        <v>-6.0366795771820136E-3</v>
      </c>
    </row>
    <row r="7" spans="1:54" x14ac:dyDescent="0.2">
      <c r="D7">
        <v>5000</v>
      </c>
      <c r="E7">
        <v>140</v>
      </c>
      <c r="F7">
        <v>2.8154922613742146</v>
      </c>
      <c r="G7" s="31">
        <v>0.60000000000000286</v>
      </c>
      <c r="H7" s="33">
        <v>2.8154484440601522</v>
      </c>
      <c r="I7" s="23">
        <f t="shared" si="0"/>
        <v>4.3817314062444268E-5</v>
      </c>
      <c r="L7">
        <v>5000</v>
      </c>
      <c r="M7">
        <v>140</v>
      </c>
      <c r="N7">
        <v>2.2979376818816855</v>
      </c>
      <c r="O7">
        <v>0</v>
      </c>
      <c r="P7" s="29">
        <v>2.3023528749002828</v>
      </c>
      <c r="Q7" s="29">
        <f t="shared" si="1"/>
        <v>-4.4151930185973853E-3</v>
      </c>
    </row>
    <row r="8" spans="1:54" x14ac:dyDescent="0.2">
      <c r="D8">
        <v>5000</v>
      </c>
      <c r="E8">
        <v>160</v>
      </c>
      <c r="F8">
        <v>2.8154936646160422</v>
      </c>
      <c r="G8" s="31">
        <v>0.4</v>
      </c>
      <c r="H8" s="33">
        <v>2.8154484440601522</v>
      </c>
      <c r="I8" s="23">
        <f t="shared" si="0"/>
        <v>4.5220555890068681E-5</v>
      </c>
      <c r="L8">
        <v>5000</v>
      </c>
      <c r="M8">
        <v>160</v>
      </c>
      <c r="N8">
        <v>2.2989881958892058</v>
      </c>
      <c r="O8">
        <v>0</v>
      </c>
      <c r="P8" s="29">
        <v>2.3023528749002828</v>
      </c>
      <c r="Q8" s="29">
        <f t="shared" si="1"/>
        <v>-3.3646790110770652E-3</v>
      </c>
    </row>
    <row r="9" spans="1:54" x14ac:dyDescent="0.2">
      <c r="D9">
        <v>5000</v>
      </c>
      <c r="E9">
        <v>180</v>
      </c>
      <c r="F9">
        <v>2.8146095523274575</v>
      </c>
      <c r="G9" s="31">
        <v>0.19999999999999288</v>
      </c>
      <c r="H9" s="33">
        <v>2.8154484440601522</v>
      </c>
      <c r="I9" s="23">
        <f t="shared" si="0"/>
        <v>-8.3889173269469097E-4</v>
      </c>
      <c r="L9">
        <v>5000</v>
      </c>
      <c r="M9">
        <v>180</v>
      </c>
      <c r="N9">
        <v>2.299707570327739</v>
      </c>
      <c r="O9">
        <v>0</v>
      </c>
      <c r="P9" s="29">
        <v>2.3023528749002828</v>
      </c>
      <c r="Q9" s="29">
        <f t="shared" si="1"/>
        <v>-2.6453045725438606E-3</v>
      </c>
    </row>
    <row r="10" spans="1:54" x14ac:dyDescent="0.2">
      <c r="D10">
        <v>5000</v>
      </c>
      <c r="E10">
        <v>200</v>
      </c>
      <c r="F10">
        <v>2.8133464829693873</v>
      </c>
      <c r="G10" s="31">
        <v>0</v>
      </c>
      <c r="H10" s="33">
        <v>2.8154484440601522</v>
      </c>
      <c r="I10" s="23">
        <f t="shared" si="0"/>
        <v>-2.1019610907648811E-3</v>
      </c>
      <c r="L10">
        <v>5000</v>
      </c>
      <c r="M10">
        <v>200</v>
      </c>
      <c r="N10">
        <v>2.3002217103746903</v>
      </c>
      <c r="O10">
        <v>0</v>
      </c>
      <c r="P10" s="29">
        <v>2.3023528749002828</v>
      </c>
      <c r="Q10" s="29">
        <f t="shared" si="1"/>
        <v>-2.1311645255925882E-3</v>
      </c>
    </row>
    <row r="11" spans="1:54" x14ac:dyDescent="0.2">
      <c r="D11">
        <v>5000</v>
      </c>
      <c r="E11">
        <v>220</v>
      </c>
      <c r="F11">
        <v>2.8149056339296843</v>
      </c>
      <c r="G11" s="31">
        <v>0.80000000000000715</v>
      </c>
      <c r="H11" s="33">
        <v>2.8154484440601522</v>
      </c>
      <c r="I11" s="23">
        <f t="shared" si="0"/>
        <v>-5.4281013046786342E-4</v>
      </c>
      <c r="L11">
        <v>5000</v>
      </c>
      <c r="M11">
        <v>220</v>
      </c>
      <c r="N11">
        <v>2.3006018889307724</v>
      </c>
      <c r="O11">
        <v>0</v>
      </c>
      <c r="P11" s="29">
        <v>2.3023528749002828</v>
      </c>
      <c r="Q11" s="29">
        <f t="shared" si="1"/>
        <v>-1.7509859695103991E-3</v>
      </c>
    </row>
    <row r="12" spans="1:54" x14ac:dyDescent="0.2">
      <c r="D12">
        <v>5000</v>
      </c>
      <c r="E12">
        <v>240</v>
      </c>
      <c r="F12">
        <v>2.8154985296400667</v>
      </c>
      <c r="G12" s="31">
        <v>0.6</v>
      </c>
      <c r="H12" s="33">
        <v>2.8154484440601522</v>
      </c>
      <c r="I12" s="23">
        <f t="shared" si="0"/>
        <v>5.0085579914593836E-5</v>
      </c>
      <c r="L12">
        <v>5000</v>
      </c>
      <c r="M12">
        <v>240</v>
      </c>
      <c r="N12">
        <v>2.3008909170162792</v>
      </c>
      <c r="O12">
        <v>0</v>
      </c>
      <c r="P12" s="29">
        <v>2.3023528749002828</v>
      </c>
      <c r="Q12" s="29">
        <f t="shared" si="1"/>
        <v>-1.4619578840036063E-3</v>
      </c>
    </row>
    <row r="13" spans="1:54" x14ac:dyDescent="0.2">
      <c r="D13">
        <v>5000</v>
      </c>
      <c r="E13">
        <v>260</v>
      </c>
      <c r="F13">
        <v>2.8154988524073237</v>
      </c>
      <c r="G13" s="31">
        <v>0.39999999999999858</v>
      </c>
      <c r="H13" s="33">
        <v>2.8154484440601522</v>
      </c>
      <c r="I13" s="23">
        <f t="shared" si="0"/>
        <v>5.0408347171515544E-5</v>
      </c>
      <c r="L13">
        <v>5000</v>
      </c>
      <c r="M13">
        <v>260</v>
      </c>
      <c r="N13">
        <v>2.3011157719286932</v>
      </c>
      <c r="O13">
        <v>0</v>
      </c>
      <c r="P13" s="29">
        <v>2.3023528749002828</v>
      </c>
      <c r="Q13" s="29">
        <f t="shared" si="1"/>
        <v>-1.237102971589632E-3</v>
      </c>
    </row>
    <row r="14" spans="1:54" x14ac:dyDescent="0.2">
      <c r="D14">
        <v>5000</v>
      </c>
      <c r="E14">
        <v>280</v>
      </c>
      <c r="F14">
        <v>2.8151337053434697</v>
      </c>
      <c r="G14" s="31">
        <v>0.19999999999999432</v>
      </c>
      <c r="H14" s="33">
        <v>2.8154484440601522</v>
      </c>
      <c r="I14" s="23">
        <f t="shared" si="0"/>
        <v>-3.1473871668241671E-4</v>
      </c>
      <c r="L14">
        <v>5000</v>
      </c>
      <c r="M14">
        <v>280</v>
      </c>
      <c r="N14">
        <v>2.3012941395980619</v>
      </c>
      <c r="O14">
        <v>0</v>
      </c>
      <c r="P14" s="29">
        <v>2.3023528749002828</v>
      </c>
      <c r="Q14" s="29">
        <f t="shared" si="1"/>
        <v>-1.0587353022208923E-3</v>
      </c>
      <c r="BB14" s="23" t="s">
        <v>21</v>
      </c>
    </row>
    <row r="15" spans="1:54" x14ac:dyDescent="0.2">
      <c r="D15">
        <v>5000</v>
      </c>
      <c r="E15">
        <v>300</v>
      </c>
      <c r="F15">
        <v>2.8145447465972708</v>
      </c>
      <c r="G15" s="31">
        <v>0</v>
      </c>
      <c r="H15" s="33">
        <v>2.8154484440601522</v>
      </c>
      <c r="I15" s="23">
        <f t="shared" si="0"/>
        <v>-9.0369746288132546E-4</v>
      </c>
      <c r="L15">
        <v>5000</v>
      </c>
      <c r="M15">
        <v>300</v>
      </c>
      <c r="N15">
        <v>2.3014380067311517</v>
      </c>
      <c r="O15">
        <v>0</v>
      </c>
      <c r="P15" s="29">
        <v>2.3023528749002828</v>
      </c>
      <c r="Q15" s="29">
        <f t="shared" si="1"/>
        <v>-9.1486816913111113E-4</v>
      </c>
    </row>
    <row r="16" spans="1:54" x14ac:dyDescent="0.2">
      <c r="D16">
        <v>5000</v>
      </c>
      <c r="E16">
        <v>320</v>
      </c>
      <c r="F16">
        <v>2.8152202923052032</v>
      </c>
      <c r="G16" s="31">
        <v>0.8</v>
      </c>
      <c r="H16" s="33">
        <v>2.8154484440601522</v>
      </c>
      <c r="I16" s="23">
        <f t="shared" si="0"/>
        <v>-2.2815175494894646E-4</v>
      </c>
      <c r="L16">
        <v>5000</v>
      </c>
      <c r="M16">
        <v>320</v>
      </c>
      <c r="N16">
        <v>2.3015557309894215</v>
      </c>
      <c r="O16">
        <v>0</v>
      </c>
      <c r="P16" s="29">
        <v>2.3023528749002828</v>
      </c>
      <c r="Q16" s="29">
        <f t="shared" si="1"/>
        <v>-7.9714391086138647E-4</v>
      </c>
    </row>
    <row r="17" spans="3:17" x14ac:dyDescent="0.2">
      <c r="D17">
        <v>5000</v>
      </c>
      <c r="E17">
        <v>340</v>
      </c>
      <c r="F17">
        <v>2.8155002537617975</v>
      </c>
      <c r="G17" s="31">
        <v>0.59999999999998577</v>
      </c>
      <c r="H17" s="33">
        <v>2.8154484440601522</v>
      </c>
      <c r="I17" s="23">
        <f t="shared" si="0"/>
        <v>5.1809701645311179E-5</v>
      </c>
      <c r="L17">
        <v>5000</v>
      </c>
      <c r="M17">
        <v>340</v>
      </c>
      <c r="N17">
        <v>2.3016532840365707</v>
      </c>
      <c r="O17">
        <v>0</v>
      </c>
      <c r="P17" s="29">
        <v>2.3023528749002828</v>
      </c>
      <c r="Q17" s="29">
        <f t="shared" si="1"/>
        <v>-6.9959086371218504E-4</v>
      </c>
    </row>
    <row r="18" spans="3:17" x14ac:dyDescent="0.2">
      <c r="D18">
        <v>5000</v>
      </c>
      <c r="E18">
        <v>360</v>
      </c>
      <c r="F18">
        <v>2.8155003732951331</v>
      </c>
      <c r="G18" s="31">
        <v>0.39999999999998576</v>
      </c>
      <c r="H18" s="33">
        <v>2.8154484440601522</v>
      </c>
      <c r="I18" s="23">
        <f t="shared" si="0"/>
        <v>5.1929234980985228E-5</v>
      </c>
      <c r="L18">
        <v>5000</v>
      </c>
      <c r="M18">
        <v>360</v>
      </c>
      <c r="N18">
        <v>2.301735024716439</v>
      </c>
      <c r="O18">
        <v>0</v>
      </c>
      <c r="P18" s="29">
        <v>2.3023528749002828</v>
      </c>
      <c r="Q18" s="29">
        <f t="shared" si="1"/>
        <v>-6.1785018384385992E-4</v>
      </c>
    </row>
    <row r="19" spans="3:17" x14ac:dyDescent="0.2">
      <c r="D19">
        <v>5000</v>
      </c>
      <c r="E19">
        <v>380</v>
      </c>
      <c r="F19">
        <v>2.8153021456957799</v>
      </c>
      <c r="G19" s="31">
        <v>0.2000000000000057</v>
      </c>
      <c r="H19" s="33">
        <v>2.8154484440601522</v>
      </c>
      <c r="I19" s="23">
        <f t="shared" si="0"/>
        <v>-1.4629836437229926E-4</v>
      </c>
      <c r="L19">
        <v>5000</v>
      </c>
      <c r="M19">
        <v>380</v>
      </c>
      <c r="N19">
        <v>2.30180419492793</v>
      </c>
      <c r="O19">
        <v>0</v>
      </c>
      <c r="P19" s="29">
        <v>2.3023528749002828</v>
      </c>
      <c r="Q19" s="29">
        <f t="shared" si="1"/>
        <v>-5.4867997235286126E-4</v>
      </c>
    </row>
    <row r="20" spans="3:17" x14ac:dyDescent="0.2">
      <c r="D20">
        <v>5000</v>
      </c>
      <c r="E20">
        <v>400</v>
      </c>
      <c r="F20">
        <v>2.8149637004810244</v>
      </c>
      <c r="G20" s="31">
        <v>0</v>
      </c>
      <c r="H20" s="33">
        <v>2.8154484440601522</v>
      </c>
      <c r="I20" s="23">
        <f t="shared" si="0"/>
        <v>-4.8474357912775545E-4</v>
      </c>
      <c r="L20">
        <v>5000</v>
      </c>
      <c r="M20">
        <v>400</v>
      </c>
      <c r="N20">
        <v>2.301863246312875</v>
      </c>
      <c r="O20">
        <v>0</v>
      </c>
      <c r="P20" s="29">
        <v>2.3023528749002828</v>
      </c>
      <c r="Q20" s="29">
        <f t="shared" si="1"/>
        <v>-4.896285874078643E-4</v>
      </c>
    </row>
    <row r="21" spans="3:17" x14ac:dyDescent="0.2">
      <c r="D21">
        <v>5000</v>
      </c>
      <c r="E21">
        <v>420</v>
      </c>
      <c r="F21">
        <v>2.8153385087048797</v>
      </c>
      <c r="G21" s="31">
        <v>0.79999999999999716</v>
      </c>
      <c r="H21" s="33">
        <v>2.8154484440601522</v>
      </c>
      <c r="I21" s="23">
        <f t="shared" si="0"/>
        <v>-1.0993535527248355E-4</v>
      </c>
      <c r="L21">
        <v>5000</v>
      </c>
      <c r="M21">
        <v>420</v>
      </c>
      <c r="N21">
        <v>2.3019140606569874</v>
      </c>
      <c r="O21">
        <v>0</v>
      </c>
      <c r="P21" s="29">
        <v>2.3023528749002828</v>
      </c>
      <c r="Q21" s="29">
        <f t="shared" si="1"/>
        <v>-4.3881424329539342E-4</v>
      </c>
    </row>
    <row r="22" spans="3:17" x14ac:dyDescent="0.2">
      <c r="D22">
        <v>5000</v>
      </c>
      <c r="E22">
        <v>440</v>
      </c>
      <c r="F22">
        <v>2.8155009582393093</v>
      </c>
      <c r="G22" s="31">
        <v>0.60000000000001708</v>
      </c>
      <c r="H22" s="33">
        <v>2.8154484440601522</v>
      </c>
      <c r="I22" s="23">
        <f t="shared" si="0"/>
        <v>5.2514179157192586E-5</v>
      </c>
      <c r="L22">
        <v>5000</v>
      </c>
      <c r="M22">
        <v>440</v>
      </c>
      <c r="N22">
        <v>2.3019581017667194</v>
      </c>
      <c r="O22">
        <v>0</v>
      </c>
      <c r="P22" s="29">
        <v>2.3023528749002828</v>
      </c>
      <c r="Q22" s="29">
        <f t="shared" si="1"/>
        <v>-3.9477313356339749E-4</v>
      </c>
    </row>
    <row r="23" spans="3:17" x14ac:dyDescent="0.2">
      <c r="D23">
        <v>5000</v>
      </c>
      <c r="E23">
        <v>460</v>
      </c>
      <c r="F23">
        <v>2.8155010148459994</v>
      </c>
      <c r="G23" s="31">
        <v>0.40000000000000996</v>
      </c>
      <c r="H23" s="33">
        <v>2.8154484440601522</v>
      </c>
      <c r="I23" s="23">
        <f t="shared" si="0"/>
        <v>5.2570785847194657E-5</v>
      </c>
      <c r="L23">
        <v>5000</v>
      </c>
      <c r="M23">
        <v>460</v>
      </c>
      <c r="N23">
        <v>2.3019965221330714</v>
      </c>
      <c r="O23">
        <v>0</v>
      </c>
      <c r="P23" s="29">
        <v>2.3023528749002828</v>
      </c>
      <c r="Q23" s="29">
        <f t="shared" si="1"/>
        <v>-3.5635276721146525E-4</v>
      </c>
    </row>
    <row r="24" spans="3:17" x14ac:dyDescent="0.2">
      <c r="D24">
        <v>5000</v>
      </c>
      <c r="E24">
        <v>480</v>
      </c>
      <c r="F24">
        <v>2.8153767811156136</v>
      </c>
      <c r="G24" s="31">
        <v>0.19999999999998863</v>
      </c>
      <c r="H24" s="33">
        <v>2.8154484440601522</v>
      </c>
      <c r="I24" s="23">
        <f t="shared" si="0"/>
        <v>-7.1662944538530837E-5</v>
      </c>
      <c r="L24">
        <v>5000</v>
      </c>
      <c r="M24">
        <v>480</v>
      </c>
      <c r="N24">
        <v>2.3020302391365037</v>
      </c>
      <c r="O24">
        <v>0</v>
      </c>
      <c r="P24" s="29">
        <v>2.3023528749002828</v>
      </c>
      <c r="Q24" s="29">
        <f t="shared" si="1"/>
        <v>-3.2263576377911107E-4</v>
      </c>
    </row>
    <row r="25" spans="3:17" x14ac:dyDescent="0.2">
      <c r="D25">
        <v>5000</v>
      </c>
      <c r="E25">
        <v>500</v>
      </c>
      <c r="F25">
        <v>2.8151575396190736</v>
      </c>
      <c r="G25" s="31">
        <v>0</v>
      </c>
      <c r="H25" s="33">
        <v>2.8154484440601522</v>
      </c>
      <c r="I25" s="23">
        <f t="shared" si="0"/>
        <v>-2.9090444107859881E-4</v>
      </c>
      <c r="L25">
        <v>5000</v>
      </c>
      <c r="M25">
        <v>500</v>
      </c>
      <c r="N25">
        <v>2.3020599903434666</v>
      </c>
      <c r="O25">
        <v>0</v>
      </c>
      <c r="P25" s="29">
        <v>2.3023528749002828</v>
      </c>
      <c r="Q25" s="29">
        <f t="shared" si="1"/>
        <v>-2.9288455681619752E-4</v>
      </c>
    </row>
    <row r="26" spans="3:17" x14ac:dyDescent="0.2">
      <c r="H26" s="29"/>
      <c r="I26" s="30"/>
    </row>
    <row r="27" spans="3:17" x14ac:dyDescent="0.2">
      <c r="H27" s="29"/>
      <c r="I27" s="30"/>
    </row>
    <row r="28" spans="3:17" x14ac:dyDescent="0.2">
      <c r="H28" s="29"/>
      <c r="I28" s="30"/>
    </row>
    <row r="29" spans="3:17" x14ac:dyDescent="0.2">
      <c r="H29" s="29"/>
      <c r="I29" s="30"/>
    </row>
    <row r="30" spans="3:17" x14ac:dyDescent="0.2">
      <c r="H30" s="29"/>
      <c r="I30" s="30"/>
    </row>
    <row r="31" spans="3:17" x14ac:dyDescent="0.2">
      <c r="H31" s="29"/>
      <c r="I31" s="30"/>
    </row>
    <row r="32" spans="3:17" x14ac:dyDescent="0.2">
      <c r="C32" s="32" t="s">
        <v>22</v>
      </c>
      <c r="H32" s="29"/>
      <c r="I32" s="30"/>
      <c r="K32" s="32" t="s">
        <v>23</v>
      </c>
    </row>
    <row r="33" spans="4:12" x14ac:dyDescent="0.2">
      <c r="H33" s="29"/>
      <c r="I33" s="30"/>
    </row>
    <row r="34" spans="4:12" x14ac:dyDescent="0.2">
      <c r="H34" s="29"/>
      <c r="I34" s="30"/>
    </row>
    <row r="35" spans="4:12" x14ac:dyDescent="0.2">
      <c r="H35" s="29"/>
      <c r="I35" s="30"/>
    </row>
    <row r="36" spans="4:12" x14ac:dyDescent="0.2">
      <c r="H36" s="29"/>
      <c r="I36" s="30"/>
    </row>
    <row r="37" spans="4:12" x14ac:dyDescent="0.2">
      <c r="H37" s="29"/>
      <c r="I37" s="30"/>
    </row>
    <row r="38" spans="4:12" x14ac:dyDescent="0.2">
      <c r="H38" s="29"/>
      <c r="I38" s="30"/>
    </row>
    <row r="39" spans="4:12" x14ac:dyDescent="0.2">
      <c r="H39" s="29"/>
      <c r="I39" s="30"/>
    </row>
    <row r="40" spans="4:12" x14ac:dyDescent="0.2">
      <c r="H40" s="29"/>
      <c r="I40" s="30"/>
    </row>
    <row r="41" spans="4:12" x14ac:dyDescent="0.2">
      <c r="H41" s="29"/>
      <c r="I41" s="30"/>
    </row>
    <row r="42" spans="4:12" x14ac:dyDescent="0.2">
      <c r="H42" s="29"/>
      <c r="I42" s="30"/>
    </row>
    <row r="43" spans="4:12" x14ac:dyDescent="0.2">
      <c r="H43" s="29"/>
      <c r="I43" s="30"/>
    </row>
    <row r="44" spans="4:12" x14ac:dyDescent="0.2">
      <c r="H44" s="29"/>
      <c r="I44" s="30"/>
    </row>
    <row r="45" spans="4:12" x14ac:dyDescent="0.2">
      <c r="D45" t="s">
        <v>29</v>
      </c>
      <c r="H45" s="29"/>
      <c r="I45" s="30"/>
      <c r="L45" t="s">
        <v>30</v>
      </c>
    </row>
    <row r="46" spans="4:12" x14ac:dyDescent="0.2">
      <c r="H46" s="29"/>
      <c r="I46" s="30"/>
    </row>
    <row r="47" spans="4:12" x14ac:dyDescent="0.2">
      <c r="H47" s="29"/>
      <c r="I47" s="30"/>
    </row>
    <row r="102" spans="4:7" x14ac:dyDescent="0.2">
      <c r="D102">
        <v>50</v>
      </c>
      <c r="E102">
        <v>150</v>
      </c>
      <c r="F102">
        <v>-672846280591428.12</v>
      </c>
      <c r="G102">
        <v>1.0000000000000071</v>
      </c>
    </row>
    <row r="152" spans="4:7" x14ac:dyDescent="0.2">
      <c r="D152">
        <v>50</v>
      </c>
      <c r="E152">
        <v>200</v>
      </c>
      <c r="F152">
        <v>-6.9653197379304078E+29</v>
      </c>
      <c r="G152">
        <v>1</v>
      </c>
    </row>
    <row r="202" spans="7:7" x14ac:dyDescent="0.2">
      <c r="G202">
        <v>0.99999999999999645</v>
      </c>
    </row>
    <row r="252" spans="7:7" x14ac:dyDescent="0.2">
      <c r="G252">
        <v>1.0000000000000071</v>
      </c>
    </row>
    <row r="302" spans="7:7" x14ac:dyDescent="0.2">
      <c r="G302">
        <v>0.99999999999999645</v>
      </c>
    </row>
    <row r="352" spans="7:7" x14ac:dyDescent="0.2">
      <c r="G352">
        <v>1</v>
      </c>
    </row>
    <row r="402" spans="7:7" x14ac:dyDescent="0.2">
      <c r="G402">
        <v>0.99999999999999645</v>
      </c>
    </row>
    <row r="452" spans="7:7" x14ac:dyDescent="0.2">
      <c r="G452">
        <v>0.99999999999997868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EurCall</vt:lpstr>
      <vt:lpstr>EXP FD A</vt:lpstr>
      <vt:lpstr>EXP FD B</vt:lpstr>
      <vt:lpstr>EXP FD C</vt:lpstr>
      <vt:lpstr>Check(A+B+C)</vt:lpstr>
      <vt:lpstr>VBA</vt:lpstr>
      <vt:lpstr>d</vt:lpstr>
      <vt:lpstr>dS</vt:lpstr>
      <vt:lpstr>dt</vt:lpstr>
      <vt:lpstr>K</vt:lpstr>
      <vt:lpstr>nS</vt:lpstr>
      <vt:lpstr>nt</vt:lpstr>
      <vt:lpstr>rate</vt:lpstr>
      <vt:lpstr>S0</vt:lpstr>
      <vt:lpstr>sigma</vt:lpstr>
      <vt:lpstr>Smax</vt:lpstr>
      <vt:lpstr>Smin</vt:lpstr>
      <vt:lpstr>T</vt:lpstr>
    </vt:vector>
  </TitlesOfParts>
  <Company>University of Illinois - CBA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pearson2</dc:creator>
  <cp:lastModifiedBy>Widdicks, Martin</cp:lastModifiedBy>
  <dcterms:created xsi:type="dcterms:W3CDTF">2002-02-24T18:19:42Z</dcterms:created>
  <dcterms:modified xsi:type="dcterms:W3CDTF">2015-04-06T15:22:04Z</dcterms:modified>
</cp:coreProperties>
</file>